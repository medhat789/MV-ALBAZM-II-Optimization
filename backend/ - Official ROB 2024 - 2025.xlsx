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showObjects="placeholders" codeName="ThisWorkbook" defaultThemeVersion="124226"/>
  <mc:AlternateContent xmlns:mc="http://schemas.openxmlformats.org/markup-compatibility/2006">
    <mc:Choice Requires="x15">
      <x15ac:absPath xmlns:x15ac="http://schemas.microsoft.com/office/spreadsheetml/2010/11/ac" url="Z:\fc\task\"/>
    </mc:Choice>
  </mc:AlternateContent>
  <xr:revisionPtr revIDLastSave="0" documentId="8_{4A95A782-2045-455C-8275-B7EF986E03CE}" xr6:coauthVersionLast="47" xr6:coauthVersionMax="47" xr10:uidLastSave="{00000000-0000-0000-0000-000000000000}"/>
  <bookViews>
    <workbookView xWindow="1170" yWindow="1170" windowWidth="14400" windowHeight="8145" tabRatio="419" xr2:uid="{00000000-000D-0000-FFFF-FFFF00000000}"/>
  </bookViews>
  <sheets>
    <sheet name="ROB 2025" sheetId="343" r:id="rId1"/>
  </sheets>
  <definedNames>
    <definedName name="_xlnm._FilterDatabase" localSheetId="0" hidden="1">'ROB 2025'!$A$1:$BGS$10681</definedName>
    <definedName name="Date" localSheetId="0">#REF!</definedName>
    <definedName name="Date">#REF!</definedName>
    <definedName name="_xlnm.Print_Area" localSheetId="0">'ROB 2025'!#REF!</definedName>
    <definedName name="Print_Area_MI" localSheetId="0">#REF!</definedName>
    <definedName name="Print_Area_MI">#REF!</definedName>
    <definedName name="_xlnm.Print_Titles" localSheetId="0">#REF!</definedName>
    <definedName name="Totals" localSheetId="0">#REF!</definedName>
    <definedName name="Totals">#REF!</definedName>
    <definedName name="TPR" localSheetId="0">#REF!</definedName>
    <definedName name="TPR">#REF!</definedName>
  </definedNames>
  <calcPr calcId="191029"/>
  <customWorkbookViews>
    <customWorkbookView name="form 18" guid="{CF346C00-EE84-11D4-8780-0030654C48F8}" maximized="1" yWindow="21" windowWidth="1025" windowHeight="637" tabRatio="419" activeSheetId="107" showObjects="placeholders"/>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1" i="343" l="1"/>
  <c r="M741" i="343" s="1"/>
  <c r="H717" i="343"/>
  <c r="M717" i="343" s="1"/>
  <c r="H738" i="343" l="1"/>
  <c r="M738" i="343" s="1"/>
  <c r="H735" i="343"/>
  <c r="M735" i="343" s="1"/>
  <c r="H732" i="343"/>
  <c r="M732" i="343" s="1"/>
  <c r="H729" i="343"/>
  <c r="M729" i="343" s="1"/>
  <c r="H726" i="343"/>
  <c r="M726" i="343" s="1"/>
  <c r="H723" i="343"/>
  <c r="M723" i="343" s="1"/>
  <c r="H720" i="343" l="1"/>
  <c r="M720" i="343" s="1"/>
  <c r="H714" i="343"/>
  <c r="M714" i="343" s="1"/>
  <c r="H711" i="343"/>
  <c r="M711" i="343" s="1"/>
  <c r="H708" i="343"/>
  <c r="M708" i="343" s="1"/>
  <c r="H705" i="343"/>
  <c r="M705" i="343" s="1"/>
  <c r="H681" i="343" l="1"/>
  <c r="H702" i="343" l="1"/>
  <c r="M702" i="343" s="1"/>
  <c r="H699" i="343"/>
  <c r="M699" i="343" s="1"/>
  <c r="H696" i="343"/>
  <c r="M696" i="343" s="1"/>
  <c r="H693" i="343"/>
  <c r="M693" i="343" s="1"/>
  <c r="H690" i="343"/>
  <c r="M690" i="343" s="1"/>
  <c r="H687" i="343"/>
  <c r="M687" i="343" s="1"/>
  <c r="H666" i="343" l="1"/>
  <c r="M666" i="343" l="1"/>
  <c r="H669" i="343"/>
  <c r="M669" i="343" s="1"/>
  <c r="H672" i="343"/>
  <c r="M672" i="343" s="1"/>
  <c r="H675" i="343"/>
  <c r="M675" i="343" s="1"/>
  <c r="H678" i="343"/>
  <c r="M678" i="343" s="1"/>
  <c r="M681" i="343"/>
  <c r="H684" i="343"/>
  <c r="M684" i="343" s="1"/>
  <c r="H663" i="343" l="1"/>
  <c r="M663" i="343" s="1"/>
  <c r="H660" i="343"/>
  <c r="M660" i="343" s="1"/>
  <c r="H657" i="343"/>
  <c r="M657" i="343" s="1"/>
  <c r="H654" i="343"/>
  <c r="M654" i="343" s="1"/>
  <c r="H651" i="343"/>
  <c r="M651" i="343" s="1"/>
  <c r="H648" i="343"/>
  <c r="M648" i="343" s="1"/>
  <c r="H645" i="343"/>
  <c r="M645" i="343" s="1"/>
  <c r="H642" i="343"/>
  <c r="M642" i="343" s="1"/>
  <c r="H639" i="343"/>
  <c r="M639" i="343" s="1"/>
  <c r="H636" i="343"/>
  <c r="M636" i="343" s="1"/>
  <c r="H633" i="343"/>
  <c r="M633" i="343" s="1"/>
  <c r="H630" i="343"/>
  <c r="M630" i="343" s="1"/>
  <c r="H627" i="343"/>
  <c r="M627" i="343" s="1"/>
  <c r="H624" i="343"/>
  <c r="M624" i="343" s="1"/>
  <c r="H621" i="343" l="1"/>
  <c r="M621" i="343" s="1"/>
  <c r="H618" i="343"/>
  <c r="M618" i="343" s="1"/>
  <c r="H615" i="343"/>
  <c r="M615" i="343" s="1"/>
  <c r="H612" i="343"/>
  <c r="M612" i="343" s="1"/>
  <c r="H609" i="343" l="1"/>
  <c r="M609" i="343" s="1"/>
  <c r="H606" i="343"/>
  <c r="M606" i="343" s="1"/>
  <c r="H603" i="343" l="1"/>
  <c r="M603" i="343" s="1"/>
  <c r="H600" i="343"/>
  <c r="M600" i="343" s="1"/>
  <c r="H597" i="343" l="1"/>
  <c r="M597" i="343" s="1"/>
  <c r="H594" i="343"/>
  <c r="M594" i="343" s="1"/>
  <c r="H591" i="343" l="1"/>
  <c r="M591" i="343" s="1"/>
  <c r="H588" i="343"/>
  <c r="M588" i="343" s="1"/>
  <c r="H585" i="343"/>
  <c r="M585" i="343" s="1"/>
  <c r="H582" i="343" l="1"/>
  <c r="M582" i="343" s="1"/>
  <c r="H579" i="343" l="1"/>
  <c r="M579" i="343" s="1"/>
  <c r="H576" i="343"/>
  <c r="M576" i="343" s="1"/>
  <c r="H573" i="343" l="1"/>
  <c r="M573" i="343" s="1"/>
  <c r="H570" i="343"/>
  <c r="M570" i="343" s="1"/>
  <c r="H567" i="343" l="1"/>
  <c r="M567" i="343" s="1"/>
  <c r="H564" i="343"/>
  <c r="M564" i="343" s="1"/>
  <c r="H561" i="343" l="1"/>
  <c r="M561" i="343" s="1"/>
  <c r="H558" i="343"/>
  <c r="M558" i="343" s="1"/>
  <c r="H555" i="343" l="1"/>
  <c r="M555" i="343" s="1"/>
  <c r="H552" i="343"/>
  <c r="M552" i="343" s="1"/>
  <c r="H549" i="343" l="1"/>
  <c r="M549" i="343" s="1"/>
  <c r="H546" i="343"/>
  <c r="M546" i="343" s="1"/>
  <c r="H543" i="343" l="1"/>
  <c r="M543" i="343" s="1"/>
  <c r="H540" i="343"/>
  <c r="M540" i="343" s="1"/>
  <c r="H537" i="343" l="1"/>
  <c r="M537" i="343" s="1"/>
  <c r="H534" i="343"/>
  <c r="M534" i="343" s="1"/>
  <c r="H531" i="343" l="1"/>
  <c r="M531" i="343" s="1"/>
  <c r="H528" i="343"/>
  <c r="M528" i="343" s="1"/>
  <c r="H525" i="343" l="1"/>
  <c r="M525" i="343" s="1"/>
  <c r="H522" i="343"/>
  <c r="M522" i="343" s="1"/>
  <c r="H519" i="343" l="1"/>
  <c r="M519" i="343" s="1"/>
  <c r="H516" i="343"/>
  <c r="M516" i="343" s="1"/>
  <c r="H513" i="343" l="1"/>
  <c r="M513" i="343" s="1"/>
  <c r="H510" i="343"/>
  <c r="M510" i="343" s="1"/>
  <c r="H507" i="343" l="1"/>
  <c r="M507" i="343" s="1"/>
  <c r="H504" i="343"/>
  <c r="M504" i="343" s="1"/>
  <c r="H501" i="343" l="1"/>
  <c r="M501" i="343" s="1"/>
  <c r="H498" i="343"/>
  <c r="M498" i="343" s="1"/>
  <c r="H495" i="343" l="1"/>
  <c r="M495" i="343" s="1"/>
  <c r="H492" i="343"/>
  <c r="M492" i="343" s="1"/>
  <c r="H489" i="343" l="1"/>
  <c r="M489" i="343" s="1"/>
  <c r="H486" i="343"/>
  <c r="M486" i="343" s="1"/>
  <c r="H483" i="343" l="1"/>
  <c r="M483" i="343" s="1"/>
  <c r="H480" i="343"/>
  <c r="M480" i="343" s="1"/>
  <c r="H477" i="343" l="1"/>
  <c r="M477" i="343" s="1"/>
  <c r="H474" i="343"/>
  <c r="M474" i="343" s="1"/>
  <c r="H471" i="343" l="1"/>
  <c r="M471" i="343" s="1"/>
  <c r="H468" i="343"/>
  <c r="M468" i="343" s="1"/>
  <c r="H465" i="343" l="1"/>
  <c r="M465" i="343" s="1"/>
  <c r="H462" i="343"/>
  <c r="M462" i="343" s="1"/>
  <c r="H459" i="343" l="1"/>
  <c r="M459" i="343" s="1"/>
  <c r="H456" i="343"/>
  <c r="M456" i="343" s="1"/>
  <c r="H453" i="343" l="1"/>
  <c r="M453" i="343" s="1"/>
  <c r="H450" i="343"/>
  <c r="M450" i="343" s="1"/>
  <c r="H447" i="343" l="1"/>
  <c r="M447" i="343" s="1"/>
  <c r="H444" i="343"/>
  <c r="M444" i="343" s="1"/>
  <c r="H441" i="343" l="1"/>
  <c r="M441" i="343" s="1"/>
  <c r="H438" i="343"/>
  <c r="M438" i="343" s="1"/>
  <c r="H435" i="343" l="1"/>
  <c r="M435" i="343" s="1"/>
  <c r="H432" i="343"/>
  <c r="M432" i="343" s="1"/>
  <c r="H429" i="343" l="1"/>
  <c r="M429" i="343" s="1"/>
  <c r="H426" i="343"/>
  <c r="M426" i="343" s="1"/>
  <c r="H423" i="343" l="1"/>
  <c r="M423" i="343" s="1"/>
  <c r="H420" i="343"/>
  <c r="M420" i="343" s="1"/>
  <c r="H417" i="343" l="1"/>
  <c r="M417" i="343" s="1"/>
  <c r="H414" i="343"/>
  <c r="M414" i="343" s="1"/>
  <c r="H411" i="343" l="1"/>
  <c r="M411" i="343" s="1"/>
  <c r="H408" i="343"/>
  <c r="M408" i="343" s="1"/>
  <c r="H405" i="343" l="1"/>
  <c r="M405" i="343" s="1"/>
  <c r="H402" i="343"/>
  <c r="M402" i="343" s="1"/>
  <c r="H399" i="343" l="1"/>
  <c r="M399" i="343" s="1"/>
  <c r="H396" i="343"/>
  <c r="M396" i="343" s="1"/>
  <c r="H393" i="343" l="1"/>
  <c r="M393" i="343" s="1"/>
  <c r="H390" i="343" l="1"/>
  <c r="M390" i="343" s="1"/>
  <c r="H387" i="343"/>
  <c r="M387" i="343" s="1"/>
  <c r="H204" i="343" l="1"/>
  <c r="M204" i="343" s="1"/>
  <c r="H207" i="343"/>
  <c r="M207" i="343" s="1"/>
  <c r="H120" i="343" l="1"/>
  <c r="M120" i="343" s="1"/>
  <c r="H99" i="343" l="1"/>
  <c r="M99" i="343" s="1"/>
  <c r="H84" i="343" l="1"/>
  <c r="H81" i="343"/>
  <c r="H78" i="343"/>
  <c r="H75" i="343"/>
  <c r="H72" i="343"/>
  <c r="H384" i="343" l="1"/>
  <c r="M384" i="343" s="1"/>
  <c r="H381" i="343"/>
  <c r="M381" i="343" s="1"/>
  <c r="H378" i="343"/>
  <c r="M378" i="343" s="1"/>
  <c r="H375" i="343"/>
  <c r="M375" i="343" s="1"/>
  <c r="H372" i="343"/>
  <c r="M372" i="343" s="1"/>
  <c r="H369" i="343"/>
  <c r="H366" i="343"/>
  <c r="H363" i="343"/>
  <c r="M363" i="343" s="1"/>
  <c r="H360" i="343"/>
  <c r="M360" i="343" s="1"/>
  <c r="H357" i="343"/>
  <c r="H354" i="343"/>
  <c r="H351" i="343"/>
  <c r="H348" i="343"/>
  <c r="H345" i="343"/>
  <c r="M345" i="343" s="1"/>
  <c r="H342" i="343"/>
  <c r="M342" i="343" s="1"/>
  <c r="H339" i="343"/>
  <c r="M339" i="343" s="1"/>
  <c r="H336" i="343"/>
  <c r="M336" i="343" s="1"/>
  <c r="H333" i="343"/>
  <c r="H330" i="343"/>
  <c r="H327" i="343"/>
  <c r="H324" i="343"/>
  <c r="H321" i="343"/>
  <c r="M321" i="343" s="1"/>
  <c r="H318" i="343"/>
  <c r="M318" i="343" s="1"/>
  <c r="H315" i="343"/>
  <c r="M315" i="343" s="1"/>
  <c r="H312" i="343"/>
  <c r="M312" i="343" s="1"/>
  <c r="H309" i="343"/>
  <c r="H306" i="343"/>
  <c r="M306" i="343" s="1"/>
  <c r="H303" i="343"/>
  <c r="H300" i="343"/>
  <c r="M300" i="343" s="1"/>
  <c r="H297" i="343"/>
  <c r="H294" i="343"/>
  <c r="M294" i="343" s="1"/>
  <c r="H291" i="343"/>
  <c r="M291" i="343" s="1"/>
  <c r="H288" i="343"/>
  <c r="M288" i="343" s="1"/>
  <c r="H285" i="343"/>
  <c r="M285" i="343" s="1"/>
  <c r="H282" i="343"/>
  <c r="M282" i="343" s="1"/>
  <c r="H279" i="343"/>
  <c r="M279" i="343" s="1"/>
  <c r="H276" i="343"/>
  <c r="M276" i="343" s="1"/>
  <c r="H273" i="343"/>
  <c r="M273" i="343" s="1"/>
  <c r="H270" i="343"/>
  <c r="M270" i="343" s="1"/>
  <c r="H267" i="343"/>
  <c r="M267" i="343" s="1"/>
  <c r="H264" i="343"/>
  <c r="M264" i="343" s="1"/>
  <c r="H261" i="343"/>
  <c r="M261" i="343" s="1"/>
  <c r="H258" i="343"/>
  <c r="M258" i="343" s="1"/>
  <c r="H255" i="343"/>
  <c r="M255" i="343" s="1"/>
  <c r="H252" i="343"/>
  <c r="M252" i="343" s="1"/>
  <c r="H249" i="343"/>
  <c r="M249" i="343" s="1"/>
  <c r="H246" i="343"/>
  <c r="M246" i="343" s="1"/>
  <c r="H243" i="343"/>
  <c r="M243" i="343" s="1"/>
  <c r="H240" i="343"/>
  <c r="M240" i="343" s="1"/>
  <c r="H237" i="343"/>
  <c r="M237" i="343" s="1"/>
  <c r="H234" i="343"/>
  <c r="M234" i="343" s="1"/>
  <c r="H231" i="343"/>
  <c r="M231" i="343" s="1"/>
  <c r="H228" i="343"/>
  <c r="M228" i="343" s="1"/>
  <c r="H225" i="343"/>
  <c r="M225" i="343" s="1"/>
  <c r="H222" i="343"/>
  <c r="M222" i="343" s="1"/>
  <c r="H219" i="343"/>
  <c r="M219" i="343" s="1"/>
  <c r="H216" i="343"/>
  <c r="M216" i="343" s="1"/>
  <c r="H213" i="343"/>
  <c r="M213" i="343" s="1"/>
  <c r="H210" i="343"/>
  <c r="M210" i="343" s="1"/>
  <c r="H201" i="343"/>
  <c r="M201" i="343" s="1"/>
  <c r="H198" i="343"/>
  <c r="M198" i="343" s="1"/>
  <c r="H195" i="343"/>
  <c r="M195" i="343" s="1"/>
  <c r="H192" i="343"/>
  <c r="M192" i="343" s="1"/>
  <c r="H189" i="343"/>
  <c r="M189" i="343" s="1"/>
  <c r="H186" i="343"/>
  <c r="M186" i="343" s="1"/>
  <c r="H183" i="343"/>
  <c r="M183" i="343" s="1"/>
  <c r="H180" i="343"/>
  <c r="M180" i="343" s="1"/>
  <c r="H177" i="343"/>
  <c r="M177" i="343" s="1"/>
  <c r="H174" i="343"/>
  <c r="M174" i="343" s="1"/>
  <c r="H171" i="343"/>
  <c r="M171" i="343" s="1"/>
  <c r="H168" i="343"/>
  <c r="M168" i="343" s="1"/>
  <c r="H165" i="343"/>
  <c r="M165" i="343" s="1"/>
  <c r="H162" i="343"/>
  <c r="M162" i="343" s="1"/>
  <c r="H159" i="343"/>
  <c r="M159" i="343" s="1"/>
  <c r="H156" i="343"/>
  <c r="M156" i="343" s="1"/>
  <c r="H153" i="343"/>
  <c r="M153" i="343" s="1"/>
  <c r="H150" i="343"/>
  <c r="M150" i="343" s="1"/>
  <c r="H147" i="343"/>
  <c r="M147" i="343" s="1"/>
  <c r="H144" i="343"/>
  <c r="M144" i="343" s="1"/>
  <c r="H141" i="343"/>
  <c r="M141" i="343" s="1"/>
  <c r="H138" i="343"/>
  <c r="M138" i="343" s="1"/>
  <c r="H135" i="343"/>
  <c r="M135" i="343" s="1"/>
  <c r="H132" i="343"/>
  <c r="M132" i="343" s="1"/>
  <c r="H129" i="343"/>
  <c r="M129" i="343" s="1"/>
  <c r="H126" i="343"/>
  <c r="M126" i="343" s="1"/>
  <c r="H123" i="343"/>
  <c r="M123" i="343" s="1"/>
  <c r="H117" i="343"/>
  <c r="M117" i="343" s="1"/>
  <c r="H114" i="343"/>
  <c r="M114" i="343" s="1"/>
  <c r="H111" i="343"/>
  <c r="M111" i="343" s="1"/>
  <c r="H108" i="343"/>
  <c r="M108" i="343" s="1"/>
  <c r="H105" i="343"/>
  <c r="M105" i="343" s="1"/>
  <c r="H102" i="343"/>
  <c r="M102" i="343" s="1"/>
  <c r="H96" i="343"/>
  <c r="M96" i="343" s="1"/>
  <c r="H93" i="343"/>
  <c r="M93" i="343" s="1"/>
  <c r="H90" i="343"/>
  <c r="M90" i="343" s="1"/>
  <c r="H87" i="343"/>
  <c r="M87" i="343" s="1"/>
  <c r="M84" i="343"/>
  <c r="M81" i="343"/>
  <c r="M78" i="343"/>
  <c r="M72" i="343"/>
  <c r="H54" i="343"/>
  <c r="M54" i="343" s="1"/>
  <c r="H69" i="343"/>
  <c r="M69" i="343" s="1"/>
  <c r="H66" i="343"/>
  <c r="M66" i="343" s="1"/>
  <c r="H48" i="343"/>
  <c r="H51" i="343"/>
  <c r="H60" i="343"/>
  <c r="M60" i="343" s="1"/>
  <c r="H57" i="343"/>
  <c r="M57" i="343" s="1"/>
  <c r="H45" i="343"/>
  <c r="H42" i="343"/>
  <c r="H39" i="343"/>
  <c r="H36" i="343"/>
  <c r="M75" i="343"/>
  <c r="M369" i="343" l="1"/>
  <c r="M366" i="343"/>
  <c r="M357" i="343"/>
  <c r="M354" i="343"/>
  <c r="M351" i="343"/>
  <c r="M348" i="343"/>
  <c r="M333" i="343"/>
  <c r="M324" i="343"/>
  <c r="M330" i="343"/>
  <c r="M327" i="343"/>
  <c r="M309" i="343"/>
  <c r="M303" i="343"/>
  <c r="M297" i="343"/>
  <c r="H6" i="343" l="1"/>
  <c r="M36" i="343" l="1"/>
  <c r="M39" i="343"/>
  <c r="M42" i="343"/>
  <c r="M45" i="343"/>
  <c r="M48" i="343"/>
  <c r="M51" i="343"/>
  <c r="H33" i="343" l="1"/>
  <c r="M33" i="343" s="1"/>
  <c r="H30" i="343"/>
  <c r="M30" i="343" s="1"/>
  <c r="H27" i="343"/>
  <c r="M27" i="343" s="1"/>
  <c r="H24" i="343"/>
  <c r="M24" i="343" s="1"/>
  <c r="H21" i="343"/>
  <c r="M21" i="343" s="1"/>
  <c r="H18" i="343"/>
  <c r="M18" i="343" s="1"/>
  <c r="H15" i="343"/>
  <c r="M15" i="343" s="1"/>
  <c r="H12" i="343"/>
  <c r="M12" i="343" s="1"/>
  <c r="H9" i="343"/>
  <c r="M9" i="343" s="1"/>
  <c r="M6" i="343"/>
</calcChain>
</file>

<file path=xl/sharedStrings.xml><?xml version="1.0" encoding="utf-8"?>
<sst xmlns="http://schemas.openxmlformats.org/spreadsheetml/2006/main" count="1732" uniqueCount="80">
  <si>
    <t>Slip</t>
  </si>
  <si>
    <t>FOC</t>
  </si>
  <si>
    <t>S t a t u s</t>
  </si>
  <si>
    <t>EOSP</t>
  </si>
  <si>
    <t>FAOP</t>
  </si>
  <si>
    <t>Arrival .RWS</t>
  </si>
  <si>
    <t xml:space="preserve">Arrival.KHL .KP </t>
  </si>
  <si>
    <t>Out to Sea ( RWS → KP  )</t>
  </si>
  <si>
    <t>Out to Sea (  KP  → RWS )</t>
  </si>
  <si>
    <t>RPM</t>
  </si>
  <si>
    <t xml:space="preserve">LOAD </t>
  </si>
  <si>
    <t>HAND OVER</t>
  </si>
  <si>
    <t>Out to Sea (KP→ RWS )</t>
  </si>
  <si>
    <t>Arrival .KP</t>
  </si>
  <si>
    <t>`</t>
  </si>
  <si>
    <t>Time</t>
  </si>
  <si>
    <t>Arrival .CSP</t>
  </si>
  <si>
    <t xml:space="preserve"> </t>
  </si>
  <si>
    <t>Total Distance</t>
  </si>
  <si>
    <t>Avg speed</t>
  </si>
  <si>
    <t>Total trip time</t>
  </si>
  <si>
    <t xml:space="preserve">5.8 </t>
  </si>
  <si>
    <t>5.5</t>
  </si>
  <si>
    <t>5.7</t>
  </si>
  <si>
    <t>6.3</t>
  </si>
  <si>
    <t>5.8</t>
  </si>
  <si>
    <t>5.9</t>
  </si>
  <si>
    <t>Event</t>
  </si>
  <si>
    <t>Date</t>
  </si>
  <si>
    <t>Place</t>
  </si>
  <si>
    <t>7.3  </t>
  </si>
  <si>
    <t>7.1  </t>
  </si>
  <si>
    <t>7.6  </t>
  </si>
  <si>
    <t>7.8  </t>
  </si>
  <si>
    <t>6  </t>
  </si>
  <si>
    <t>5.9  </t>
  </si>
  <si>
    <t>5.6  </t>
  </si>
  <si>
    <t>6.7  </t>
  </si>
  <si>
    <t>6.3  </t>
  </si>
  <si>
    <t>6.4  </t>
  </si>
  <si>
    <t>5.8  </t>
  </si>
  <si>
    <t>6.2  </t>
  </si>
  <si>
    <t>6.1  </t>
  </si>
  <si>
    <t>6.6  </t>
  </si>
  <si>
    <t>6.5  </t>
  </si>
  <si>
    <t>8.4  </t>
  </si>
  <si>
    <t>8.2  </t>
  </si>
  <si>
    <t>1.3  </t>
  </si>
  <si>
    <t>7.4  </t>
  </si>
  <si>
    <t>7.7  </t>
  </si>
  <si>
    <t>8.1  </t>
  </si>
  <si>
    <t>7.2  </t>
  </si>
  <si>
    <t>6.8  </t>
  </si>
  <si>
    <t>6.9  </t>
  </si>
  <si>
    <t>5.7  </t>
  </si>
  <si>
    <t>8.8  </t>
  </si>
  <si>
    <t>8.3  </t>
  </si>
  <si>
    <t>52.  </t>
  </si>
  <si>
    <t>5.37  </t>
  </si>
  <si>
    <t>8.7  </t>
  </si>
  <si>
    <t>7.5  </t>
  </si>
  <si>
    <t>4.9  </t>
  </si>
  <si>
    <t>5.5  </t>
  </si>
  <si>
    <t>4.6  </t>
  </si>
  <si>
    <t>4.4  </t>
  </si>
  <si>
    <t>3.4  </t>
  </si>
  <si>
    <t>5.3  </t>
  </si>
  <si>
    <t>4.3  </t>
  </si>
  <si>
    <t>5.1  </t>
  </si>
  <si>
    <t>5.2  </t>
  </si>
  <si>
    <t>5.4  </t>
  </si>
  <si>
    <t>7.9  </t>
  </si>
  <si>
    <t>5  </t>
  </si>
  <si>
    <t>5.8 </t>
  </si>
  <si>
    <t xml:space="preserve">  </t>
  </si>
  <si>
    <t>8.  </t>
  </si>
  <si>
    <t>7.  </t>
  </si>
  <si>
    <t>6.  </t>
  </si>
  <si>
    <t>9.  </t>
  </si>
  <si>
    <t>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</si>
</sst>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h:mm;@"/>
    <numFmt numFmtId="166" formatCode="[$-1010000]d/m/yyyy;@"/>
  </numFmts>
  <fonts count="17" x14ac:knownFonts="1">
    <font>
      <sz val="10"/>
      <name val="Arial"/>
    </font>
    <font>
      <b/>
      <sz val="10"/>
      <name val="Arial"/>
      <family val="2"/>
    </font>
    <font>
      <sz val="10"/>
      <name val="Arial"/>
      <family val="2"/>
    </font>
    <font>
      <sz val="10"/>
      <name val="MS Sans Serif"/>
      <family val="2"/>
    </font>
    <font>
      <sz val="11"/>
      <name val="Calibri"/>
      <family val="2"/>
      <scheme val="minor"/>
    </font>
    <font>
      <b/>
      <sz val="11"/>
      <name val="Calibri"/>
      <family val="2"/>
      <scheme val="minor"/>
    </font>
    <font>
      <sz val="10"/>
      <name val="Calibri"/>
      <family val="2"/>
      <scheme val="minor"/>
    </font>
    <font>
      <sz val="11"/>
      <name val="Arial"/>
      <family val="2"/>
    </font>
    <font>
      <b/>
      <sz val="11"/>
      <name val="Arial"/>
      <family val="2"/>
    </font>
    <font>
      <b/>
      <sz val="11"/>
      <color rgb="FFFF0000"/>
      <name val="Calibri"/>
      <family val="2"/>
      <scheme val="minor"/>
    </font>
    <font>
      <sz val="10"/>
      <color rgb="FFFF0000"/>
      <name val="Arial"/>
      <family val="2"/>
    </font>
    <font>
      <b/>
      <sz val="9"/>
      <color rgb="FFFF0000"/>
      <name val="Arial Black"/>
      <family val="2"/>
    </font>
    <font>
      <sz val="11"/>
      <color rgb="FFFF0000"/>
      <name val="Calibri"/>
      <family val="2"/>
      <scheme val="minor"/>
    </font>
    <font>
      <sz val="10"/>
      <color rgb="FFFF0000"/>
      <name val="Calibri"/>
      <family val="2"/>
      <scheme val="minor"/>
    </font>
    <font>
      <b/>
      <sz val="10"/>
      <name val="Calibri"/>
      <family val="2"/>
      <scheme val="minor"/>
    </font>
    <font>
      <b/>
      <sz val="28"/>
      <name val="Arial"/>
      <family val="2"/>
    </font>
    <font>
      <sz val="10"/>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dotted">
        <color indexed="64"/>
      </left>
      <right/>
      <top/>
      <bottom/>
      <diagonal/>
    </border>
  </borders>
  <cellStyleXfs count="2">
    <xf numFmtId="0" fontId="0" fillId="0" borderId="0"/>
    <xf numFmtId="0" fontId="3" fillId="0" borderId="0"/>
  </cellStyleXfs>
  <cellXfs count="66">
    <xf numFmtId="0" fontId="0" fillId="0" borderId="0" xfId="0"/>
    <xf numFmtId="0" fontId="10" fillId="0" borderId="0" xfId="0" applyFont="1"/>
    <xf numFmtId="0" fontId="2" fillId="0" borderId="0" xfId="0" applyFont="1"/>
    <xf numFmtId="0" fontId="15" fillId="0" borderId="0" xfId="0" applyFont="1"/>
    <xf numFmtId="166" fontId="15" fillId="0" borderId="0" xfId="0" applyNumberFormat="1" applyFont="1"/>
    <xf numFmtId="165" fontId="15" fillId="0" borderId="0" xfId="0" applyNumberFormat="1" applyFont="1"/>
    <xf numFmtId="164" fontId="15" fillId="0" borderId="0" xfId="0" applyNumberFormat="1" applyFont="1"/>
    <xf numFmtId="9" fontId="15" fillId="0" borderId="0" xfId="0" applyNumberFormat="1" applyFont="1"/>
    <xf numFmtId="1" fontId="15" fillId="0" borderId="0" xfId="0" applyNumberFormat="1" applyFont="1"/>
    <xf numFmtId="0" fontId="1" fillId="0" borderId="0" xfId="0" applyFont="1" applyAlignment="1">
      <alignment horizontal="center"/>
    </xf>
    <xf numFmtId="0" fontId="3" fillId="0" borderId="0" xfId="1"/>
    <xf numFmtId="0" fontId="11" fillId="0" borderId="0" xfId="0" applyFont="1" applyAlignment="1">
      <alignment horizontal="center"/>
    </xf>
    <xf numFmtId="0" fontId="2" fillId="0" borderId="0" xfId="0" applyFont="1" applyAlignment="1">
      <alignment horizontal="center"/>
    </xf>
    <xf numFmtId="164" fontId="13" fillId="0" borderId="0" xfId="0" applyNumberFormat="1" applyFont="1" applyAlignment="1">
      <alignment horizontal="center" vertical="center"/>
    </xf>
    <xf numFmtId="0" fontId="2" fillId="0" borderId="0" xfId="0" applyFont="1" applyAlignment="1">
      <alignment horizontal="center" vertical="center"/>
    </xf>
    <xf numFmtId="164" fontId="13" fillId="0" borderId="0" xfId="0" applyNumberFormat="1" applyFont="1" applyAlignment="1">
      <alignment horizontal="center"/>
    </xf>
    <xf numFmtId="164" fontId="6" fillId="0" borderId="0" xfId="0" applyNumberFormat="1" applyFont="1" applyAlignment="1">
      <alignment horizontal="center" vertical="center"/>
    </xf>
    <xf numFmtId="164" fontId="6" fillId="0" borderId="0" xfId="0" applyNumberFormat="1" applyFont="1" applyAlignment="1">
      <alignment horizontal="center"/>
    </xf>
    <xf numFmtId="0" fontId="14" fillId="0" borderId="0" xfId="0" applyFont="1" applyAlignment="1" applyProtection="1">
      <alignment horizontal="center" vertical="center"/>
      <protection locked="0"/>
    </xf>
    <xf numFmtId="16" fontId="6" fillId="0" borderId="0" xfId="0" applyNumberFormat="1" applyFont="1" applyAlignment="1">
      <alignment horizontal="center" vertical="center"/>
    </xf>
    <xf numFmtId="16" fontId="4" fillId="0" borderId="0" xfId="0" applyNumberFormat="1" applyFont="1" applyAlignment="1">
      <alignment horizontal="center" vertical="center"/>
    </xf>
    <xf numFmtId="0" fontId="4" fillId="0" borderId="0" xfId="0" applyFont="1" applyAlignment="1">
      <alignment horizontal="center" vertical="center"/>
    </xf>
    <xf numFmtId="166" fontId="4" fillId="0" borderId="0" xfId="0" applyNumberFormat="1" applyFont="1" applyAlignment="1">
      <alignment horizontal="center" vertical="center"/>
    </xf>
    <xf numFmtId="165"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9" fontId="1" fillId="0" borderId="0" xfId="0" applyNumberFormat="1" applyFont="1" applyAlignment="1">
      <alignment horizontal="center"/>
    </xf>
    <xf numFmtId="1" fontId="1" fillId="0" borderId="0" xfId="0" applyNumberFormat="1" applyFont="1" applyAlignment="1">
      <alignment horizontal="center"/>
    </xf>
    <xf numFmtId="0" fontId="2" fillId="0" borderId="2" xfId="0" applyFont="1" applyBorder="1" applyAlignment="1">
      <alignment horizontal="center" vertical="center"/>
    </xf>
    <xf numFmtId="166" fontId="2" fillId="0" borderId="0" xfId="0" applyNumberFormat="1" applyFont="1" applyAlignment="1">
      <alignment horizontal="center" vertical="center"/>
    </xf>
    <xf numFmtId="165" fontId="2" fillId="0" borderId="0" xfId="0" applyNumberFormat="1" applyFont="1" applyAlignment="1">
      <alignment horizontal="center" vertical="center"/>
    </xf>
    <xf numFmtId="164" fontId="7" fillId="0" borderId="0" xfId="0" applyNumberFormat="1" applyFont="1" applyAlignment="1">
      <alignment horizontal="center" vertical="center"/>
    </xf>
    <xf numFmtId="49" fontId="8" fillId="0" borderId="1" xfId="0" applyNumberFormat="1" applyFont="1" applyBorder="1" applyAlignment="1">
      <alignment horizontal="center" vertical="center"/>
    </xf>
    <xf numFmtId="0" fontId="5" fillId="0" borderId="1" xfId="0" applyFont="1" applyBorder="1" applyAlignment="1">
      <alignment horizontal="center" vertical="center"/>
    </xf>
    <xf numFmtId="166" fontId="12" fillId="0" borderId="1" xfId="0" applyNumberFormat="1" applyFont="1" applyBorder="1" applyAlignment="1">
      <alignment horizontal="center" vertical="center"/>
    </xf>
    <xf numFmtId="0" fontId="2" fillId="0" borderId="1" xfId="0" applyFont="1" applyBorder="1" applyAlignment="1">
      <alignment horizontal="center"/>
    </xf>
    <xf numFmtId="165" fontId="12"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0" fontId="2" fillId="0" borderId="1" xfId="0" applyFont="1" applyBorder="1" applyAlignment="1">
      <alignment horizontal="center" vertical="center"/>
    </xf>
    <xf numFmtId="16" fontId="9" fillId="0" borderId="1" xfId="0" applyNumberFormat="1" applyFont="1" applyBorder="1" applyAlignment="1">
      <alignment horizontal="center" vertical="center"/>
    </xf>
    <xf numFmtId="9" fontId="13" fillId="0" borderId="1" xfId="0" applyNumberFormat="1" applyFont="1" applyBorder="1" applyAlignment="1">
      <alignment horizontal="center"/>
    </xf>
    <xf numFmtId="1" fontId="13" fillId="0" borderId="1" xfId="0" applyNumberFormat="1" applyFont="1" applyBorder="1" applyAlignment="1">
      <alignment horizontal="center"/>
    </xf>
    <xf numFmtId="166"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16" fontId="5" fillId="0" borderId="1" xfId="0" applyNumberFormat="1" applyFont="1" applyBorder="1" applyAlignment="1">
      <alignment horizontal="center" vertical="center"/>
    </xf>
    <xf numFmtId="164" fontId="6" fillId="0" borderId="1" xfId="0" applyNumberFormat="1" applyFont="1" applyBorder="1" applyAlignment="1">
      <alignment horizontal="center" vertical="center" textRotation="45"/>
    </xf>
    <xf numFmtId="9" fontId="6" fillId="0" borderId="1" xfId="0" applyNumberFormat="1" applyFont="1" applyBorder="1" applyAlignment="1">
      <alignment horizontal="center"/>
    </xf>
    <xf numFmtId="1" fontId="6" fillId="0" borderId="1" xfId="0" applyNumberFormat="1" applyFont="1" applyBorder="1" applyAlignment="1">
      <alignment horizontal="center"/>
    </xf>
    <xf numFmtId="9"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64" fontId="16" fillId="0" borderId="1" xfId="0" applyNumberFormat="1" applyFont="1" applyBorder="1" applyAlignment="1">
      <alignment horizontal="center" vertical="center"/>
    </xf>
    <xf numFmtId="16" fontId="14" fillId="0" borderId="1" xfId="0" applyNumberFormat="1" applyFont="1" applyBorder="1" applyAlignment="1" applyProtection="1">
      <alignment horizontal="center" vertical="center"/>
      <protection locked="0"/>
    </xf>
    <xf numFmtId="166"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 fontId="6" fillId="0" borderId="1" xfId="0" applyNumberFormat="1" applyFont="1" applyBorder="1" applyAlignment="1">
      <alignment horizontal="center" vertical="center"/>
    </xf>
    <xf numFmtId="0" fontId="14" fillId="0" borderId="1" xfId="0" applyFont="1" applyBorder="1" applyAlignment="1">
      <alignment horizontal="center" vertical="center"/>
    </xf>
    <xf numFmtId="49" fontId="1"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166"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cellXfs>
  <cellStyles count="2">
    <cellStyle name="Normal" xfId="0" builtinId="0"/>
    <cellStyle name="Normal_MONTHLY" xfId="1" xr:uid="{00000000-0005-0000-0000-000001000000}"/>
  </cellStyles>
  <dxfs count="92">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B9"/>
      <rgbColor rgb="00A6CAF0"/>
      <rgbColor rgb="00E4CBE4"/>
      <rgbColor rgb="00DFBFFF"/>
      <rgbColor rgb="00E3E3E3"/>
      <rgbColor rgb="003366FF"/>
      <rgbColor rgb="0033CCCC"/>
      <rgbColor rgb="0025DC33"/>
      <rgbColor rgb="00E4EA00"/>
      <rgbColor rgb="00996633"/>
      <rgbColor rgb="00E19999"/>
      <rgbColor rgb="00666699"/>
      <rgbColor rgb="00969696"/>
      <rgbColor rgb="002C2CAD"/>
      <rgbColor rgb="003F7C7C"/>
      <rgbColor rgb="00009100"/>
      <rgbColor rgb="00C6C600"/>
      <rgbColor rgb="00663300"/>
      <rgbColor rgb="00832C57"/>
      <rgbColor rgb="00333399"/>
      <rgbColor rgb="00424242"/>
    </indexedColors>
    <mruColors>
      <color rgb="FFFFFFCC"/>
      <color rgb="FF0000CC"/>
      <color rgb="FFE7FDD3"/>
      <color rgb="FFCC6600"/>
      <color rgb="FFFF6600"/>
      <color rgb="FFD2FEE0"/>
      <color rgb="FFEBF1DE"/>
      <color rgb="FFDCF1F2"/>
      <color rgb="FFF2F2F2"/>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81"/>
  <sheetViews>
    <sheetView tabSelected="1" topLeftCell="D1" zoomScaleNormal="100" workbookViewId="0">
      <pane ySplit="3" topLeftCell="A4" activePane="bottomLeft" state="frozen"/>
      <selection pane="bottomLeft" activeCell="G331" sqref="G331"/>
    </sheetView>
  </sheetViews>
  <sheetFormatPr defaultColWidth="9.140625" defaultRowHeight="15.75" customHeight="1" x14ac:dyDescent="0.2"/>
  <cols>
    <col min="1" max="1" width="9.85546875" style="1" customWidth="1"/>
    <col min="2" max="2" width="10.42578125" style="1" customWidth="1"/>
    <col min="3" max="3" width="12.140625" style="2" customWidth="1"/>
    <col min="4" max="4" width="11.7109375" style="30" customWidth="1"/>
    <col min="5" max="5" width="14.28515625" style="31" customWidth="1"/>
    <col min="6" max="6" width="3" style="12" hidden="1" customWidth="1"/>
    <col min="7" max="7" width="14.28515625" style="32" customWidth="1"/>
    <col min="8" max="8" width="13.42578125" style="33" bestFit="1" customWidth="1"/>
    <col min="9" max="9" width="2.85546875" style="14" hidden="1" customWidth="1"/>
    <col min="10" max="10" width="35.42578125" style="25" customWidth="1"/>
    <col min="11" max="11" width="7.42578125" style="26" customWidth="1"/>
    <col min="12" max="12" width="12.85546875" style="26" bestFit="1" customWidth="1"/>
    <col min="13" max="13" width="9.85546875" style="26" bestFit="1" customWidth="1"/>
    <col min="14" max="14" width="9.85546875" style="27" bestFit="1" customWidth="1"/>
    <col min="15" max="15" width="9.7109375" style="28" customWidth="1"/>
    <col min="16" max="16" width="9.7109375" style="29" customWidth="1"/>
    <col min="17" max="18" width="9.7109375" style="9" customWidth="1"/>
    <col min="19" max="20" width="10.28515625" style="2" customWidth="1"/>
    <col min="21" max="22" width="10.28515625" style="10" customWidth="1"/>
    <col min="23" max="37" width="10.28515625" style="2" customWidth="1"/>
    <col min="38" max="16384" width="9.140625" style="2"/>
  </cols>
  <sheetData>
    <row r="1" spans="1:16" ht="17.25" customHeight="1" x14ac:dyDescent="0.5">
      <c r="D1" s="3"/>
      <c r="E1" s="4"/>
      <c r="F1" s="3"/>
      <c r="G1" s="5"/>
      <c r="H1" s="3"/>
      <c r="I1" s="3"/>
      <c r="J1" s="3"/>
      <c r="K1" s="3"/>
      <c r="L1" s="3"/>
      <c r="M1" s="3"/>
      <c r="N1" s="6"/>
      <c r="O1" s="7"/>
      <c r="P1" s="8"/>
    </row>
    <row r="2" spans="1:16" ht="15" x14ac:dyDescent="0.2">
      <c r="D2" s="60" t="s">
        <v>27</v>
      </c>
      <c r="E2" s="61" t="s">
        <v>28</v>
      </c>
      <c r="F2" s="34"/>
      <c r="G2" s="62" t="s">
        <v>15</v>
      </c>
      <c r="H2" s="60" t="s">
        <v>20</v>
      </c>
      <c r="I2" s="63" t="s">
        <v>2</v>
      </c>
      <c r="J2" s="60" t="s">
        <v>29</v>
      </c>
      <c r="K2" s="60" t="s">
        <v>0</v>
      </c>
      <c r="L2" s="59" t="s">
        <v>18</v>
      </c>
      <c r="M2" s="59" t="s">
        <v>19</v>
      </c>
      <c r="N2" s="65" t="s">
        <v>1</v>
      </c>
      <c r="O2" s="64" t="s">
        <v>10</v>
      </c>
      <c r="P2" s="59" t="s">
        <v>9</v>
      </c>
    </row>
    <row r="3" spans="1:16" ht="15" x14ac:dyDescent="0.2">
      <c r="D3" s="60"/>
      <c r="E3" s="61"/>
      <c r="F3" s="34"/>
      <c r="G3" s="62"/>
      <c r="H3" s="60"/>
      <c r="I3" s="63"/>
      <c r="J3" s="60"/>
      <c r="K3" s="60"/>
      <c r="L3" s="59"/>
      <c r="M3" s="59"/>
      <c r="N3" s="65"/>
      <c r="O3" s="64"/>
      <c r="P3" s="59"/>
    </row>
    <row r="4" spans="1:16" ht="15.75" customHeight="1" x14ac:dyDescent="0.3">
      <c r="A4" s="11"/>
      <c r="B4" s="11"/>
      <c r="D4" s="35"/>
      <c r="E4" s="36"/>
      <c r="F4" s="37"/>
      <c r="G4" s="38"/>
      <c r="H4" s="39"/>
      <c r="I4" s="40"/>
      <c r="J4" s="41"/>
      <c r="K4" s="39"/>
      <c r="L4" s="39"/>
      <c r="M4" s="39"/>
      <c r="N4" s="39" t="s">
        <v>74</v>
      </c>
      <c r="O4" s="42"/>
      <c r="P4" s="43"/>
    </row>
    <row r="5" spans="1:16" ht="15.75" customHeight="1" x14ac:dyDescent="0.3">
      <c r="A5" s="11"/>
      <c r="B5" s="11"/>
      <c r="D5" s="35" t="s">
        <v>4</v>
      </c>
      <c r="E5" s="44">
        <v>45314</v>
      </c>
      <c r="F5" s="37"/>
      <c r="G5" s="45">
        <v>0.77083333333333337</v>
      </c>
      <c r="H5" s="46"/>
      <c r="I5" s="40"/>
      <c r="J5" s="47" t="s">
        <v>7</v>
      </c>
      <c r="K5" s="48"/>
      <c r="L5" s="46"/>
      <c r="M5" s="46"/>
      <c r="N5" s="46" t="s">
        <v>74</v>
      </c>
      <c r="O5" s="49"/>
      <c r="P5" s="50"/>
    </row>
    <row r="6" spans="1:16" ht="15.75" customHeight="1" x14ac:dyDescent="0.3">
      <c r="A6" s="11"/>
      <c r="B6" s="11"/>
      <c r="D6" s="35" t="s">
        <v>3</v>
      </c>
      <c r="E6" s="44">
        <v>45315</v>
      </c>
      <c r="F6" s="37"/>
      <c r="G6" s="45">
        <v>0.28750000000000003</v>
      </c>
      <c r="H6" s="46">
        <f t="shared" ref="H6" si="0">IF((E6=0),"0",IF((E6=E5+1),(((24-INT(G5))+INT(G6))-1),(INT(G6)-INT(G5)-1))+((1-((G5-INT(G5))/0.6))+((G6-INT(G6))/0.6)))+(F6)</f>
        <v>23.194444444444443</v>
      </c>
      <c r="I6" s="40"/>
      <c r="J6" s="47" t="s">
        <v>6</v>
      </c>
      <c r="K6" s="46">
        <v>20.6</v>
      </c>
      <c r="L6" s="46">
        <v>130</v>
      </c>
      <c r="M6" s="46">
        <f>IF(D6="eosp",L6/H6,"")</f>
        <v>5.6047904191616773</v>
      </c>
      <c r="N6" s="46" t="s">
        <v>39</v>
      </c>
      <c r="O6" s="51">
        <v>0.42</v>
      </c>
      <c r="P6" s="52">
        <v>124.4</v>
      </c>
    </row>
    <row r="7" spans="1:16" ht="15.75" customHeight="1" x14ac:dyDescent="0.3">
      <c r="A7" s="11"/>
      <c r="B7" s="11"/>
      <c r="D7" s="35"/>
      <c r="E7" s="36"/>
      <c r="F7" s="37"/>
      <c r="G7" s="38"/>
      <c r="H7" s="39"/>
      <c r="I7" s="40"/>
      <c r="J7" s="41"/>
      <c r="K7" s="39"/>
      <c r="L7" s="39"/>
      <c r="M7" s="39"/>
      <c r="N7" s="39" t="s">
        <v>74</v>
      </c>
      <c r="O7" s="42"/>
      <c r="P7" s="43"/>
    </row>
    <row r="8" spans="1:16" ht="15.75" customHeight="1" x14ac:dyDescent="0.3">
      <c r="A8" s="11"/>
      <c r="B8" s="11"/>
      <c r="D8" s="35" t="s">
        <v>4</v>
      </c>
      <c r="E8" s="44">
        <v>45315</v>
      </c>
      <c r="F8" s="37"/>
      <c r="G8" s="45">
        <v>0.85416666666666663</v>
      </c>
      <c r="H8" s="46"/>
      <c r="I8" s="40"/>
      <c r="J8" s="47" t="s">
        <v>8</v>
      </c>
      <c r="K8" s="48"/>
      <c r="L8" s="46"/>
      <c r="M8" s="46"/>
      <c r="N8" s="46" t="s">
        <v>74</v>
      </c>
      <c r="O8" s="49"/>
      <c r="P8" s="50"/>
    </row>
    <row r="9" spans="1:16" ht="15.75" customHeight="1" x14ac:dyDescent="0.3">
      <c r="A9" s="11"/>
      <c r="B9" s="11"/>
      <c r="D9" s="35" t="s">
        <v>3</v>
      </c>
      <c r="E9" s="44">
        <v>45316</v>
      </c>
      <c r="F9" s="37"/>
      <c r="G9" s="45">
        <v>0.30416666666666664</v>
      </c>
      <c r="H9" s="46">
        <f t="shared" ref="H9" si="1">IF((E9=0),"0",IF((E9=E8+1),(((24-INT(G8))+INT(G9))-1),(INT(G9)-INT(G8)-1))+((1-((G8-INT(G8))/0.6))+((G9-INT(G9))/0.6)))+(F9)</f>
        <v>23.083333333333332</v>
      </c>
      <c r="I9" s="40"/>
      <c r="J9" s="47" t="s">
        <v>5</v>
      </c>
      <c r="K9" s="46">
        <v>14.3</v>
      </c>
      <c r="L9" s="46">
        <v>123</v>
      </c>
      <c r="M9" s="46">
        <f>IF(D9="eosp",L9/H9,"")</f>
        <v>5.3285198555956681</v>
      </c>
      <c r="N9" s="46" t="s">
        <v>35</v>
      </c>
      <c r="O9" s="51">
        <v>0.45</v>
      </c>
      <c r="P9" s="52">
        <v>125.2</v>
      </c>
    </row>
    <row r="10" spans="1:16" ht="15.75" customHeight="1" x14ac:dyDescent="0.3">
      <c r="A10" s="11"/>
      <c r="B10" s="11"/>
      <c r="D10" s="35"/>
      <c r="E10" s="36"/>
      <c r="F10" s="37"/>
      <c r="G10" s="38"/>
      <c r="H10" s="39"/>
      <c r="I10" s="40"/>
      <c r="J10" s="41"/>
      <c r="K10" s="39"/>
      <c r="L10" s="39"/>
      <c r="M10" s="39"/>
      <c r="N10" s="39" t="s">
        <v>74</v>
      </c>
      <c r="O10" s="42"/>
      <c r="P10" s="43"/>
    </row>
    <row r="11" spans="1:16" ht="15.75" customHeight="1" x14ac:dyDescent="0.3">
      <c r="A11" s="11"/>
      <c r="B11" s="11"/>
      <c r="D11" s="35" t="s">
        <v>4</v>
      </c>
      <c r="E11" s="44">
        <v>45317</v>
      </c>
      <c r="F11" s="37"/>
      <c r="G11" s="45">
        <v>0.23333333333333331</v>
      </c>
      <c r="H11" s="46"/>
      <c r="I11" s="40"/>
      <c r="J11" s="47" t="s">
        <v>7</v>
      </c>
      <c r="K11" s="48"/>
      <c r="L11" s="46"/>
      <c r="M11" s="46"/>
      <c r="N11" s="46" t="s">
        <v>74</v>
      </c>
      <c r="O11" s="49"/>
      <c r="P11" s="50"/>
    </row>
    <row r="12" spans="1:16" ht="15.75" customHeight="1" x14ac:dyDescent="0.3">
      <c r="A12" s="11"/>
      <c r="B12" s="11"/>
      <c r="D12" s="35" t="s">
        <v>3</v>
      </c>
      <c r="E12" s="44">
        <v>45317</v>
      </c>
      <c r="F12" s="37"/>
      <c r="G12" s="45">
        <v>0.75</v>
      </c>
      <c r="H12" s="46">
        <f t="shared" ref="H12" si="2">IF((E12=0),"0",IF((E12=E11+1),(((24-INT(G11))+INT(G12))-1),(INT(G12)-INT(G11)-1))+((1-((G11-INT(G11))/0.6))+((G12-INT(G12))/0.6)))+(F12)</f>
        <v>0.86111111111111116</v>
      </c>
      <c r="I12" s="40"/>
      <c r="J12" s="47" t="s">
        <v>6</v>
      </c>
      <c r="K12" s="46">
        <v>22.5</v>
      </c>
      <c r="L12" s="46">
        <v>127</v>
      </c>
      <c r="M12" s="46">
        <f>IF(D12="eosp",L12/H12,"")</f>
        <v>147.48387096774192</v>
      </c>
      <c r="N12" s="46" t="s">
        <v>39</v>
      </c>
      <c r="O12" s="51">
        <v>0.42</v>
      </c>
      <c r="P12" s="52">
        <v>124.5</v>
      </c>
    </row>
    <row r="13" spans="1:16" ht="15.75" customHeight="1" x14ac:dyDescent="0.3">
      <c r="A13" s="11"/>
      <c r="B13" s="11"/>
      <c r="D13" s="35"/>
      <c r="E13" s="36"/>
      <c r="F13" s="37"/>
      <c r="G13" s="38"/>
      <c r="H13" s="39"/>
      <c r="I13" s="40"/>
      <c r="J13" s="41"/>
      <c r="K13" s="39"/>
      <c r="L13" s="39"/>
      <c r="M13" s="39"/>
      <c r="N13" s="39" t="s">
        <v>74</v>
      </c>
      <c r="O13" s="42"/>
      <c r="P13" s="43"/>
    </row>
    <row r="14" spans="1:16" ht="15.75" customHeight="1" x14ac:dyDescent="0.3">
      <c r="A14" s="11"/>
      <c r="B14" s="11"/>
      <c r="D14" s="35" t="s">
        <v>4</v>
      </c>
      <c r="E14" s="44">
        <v>45318</v>
      </c>
      <c r="F14" s="37"/>
      <c r="G14" s="45">
        <v>0.47083333333333338</v>
      </c>
      <c r="H14" s="46"/>
      <c r="I14" s="40"/>
      <c r="J14" s="47" t="s">
        <v>8</v>
      </c>
      <c r="K14" s="48"/>
      <c r="L14" s="46"/>
      <c r="M14" s="46"/>
      <c r="N14" s="46" t="s">
        <v>74</v>
      </c>
      <c r="O14" s="49"/>
      <c r="P14" s="50"/>
    </row>
    <row r="15" spans="1:16" ht="15.75" customHeight="1" x14ac:dyDescent="0.3">
      <c r="A15" s="11"/>
      <c r="B15" s="11"/>
      <c r="D15" s="35" t="s">
        <v>3</v>
      </c>
      <c r="E15" s="44">
        <v>45318</v>
      </c>
      <c r="F15" s="37"/>
      <c r="G15" s="45">
        <v>0.9375</v>
      </c>
      <c r="H15" s="46">
        <f t="shared" ref="H15" si="3">IF((E15=0),"0",IF((E15=E14+1),(((24-INT(G14))+INT(G15))-1),(INT(G15)-INT(G14)-1))+((1-((G14-INT(G14))/0.6))+((G15-INT(G15))/0.6)))+(F15)</f>
        <v>0.77777777777777768</v>
      </c>
      <c r="I15" s="40"/>
      <c r="J15" s="47" t="s">
        <v>5</v>
      </c>
      <c r="K15" s="46">
        <v>16.7</v>
      </c>
      <c r="L15" s="46">
        <v>123</v>
      </c>
      <c r="M15" s="46">
        <f>IF(D15="eosp",L15/H15,"")</f>
        <v>158.14285714285717</v>
      </c>
      <c r="N15" s="46" t="s">
        <v>40</v>
      </c>
      <c r="O15" s="51">
        <v>0.45</v>
      </c>
      <c r="P15" s="52">
        <v>124.2</v>
      </c>
    </row>
    <row r="16" spans="1:16" ht="15.75" customHeight="1" x14ac:dyDescent="0.3">
      <c r="A16" s="11"/>
      <c r="B16" s="11"/>
      <c r="D16" s="35"/>
      <c r="E16" s="36"/>
      <c r="F16" s="37"/>
      <c r="G16" s="38"/>
      <c r="H16" s="39"/>
      <c r="I16" s="40"/>
      <c r="J16" s="41"/>
      <c r="K16" s="39"/>
      <c r="L16" s="39"/>
      <c r="M16" s="39"/>
      <c r="N16" s="39" t="s">
        <v>74</v>
      </c>
      <c r="O16" s="42"/>
      <c r="P16" s="43"/>
    </row>
    <row r="17" spans="1:18" ht="15.75" customHeight="1" x14ac:dyDescent="0.3">
      <c r="A17" s="11"/>
      <c r="B17" s="11"/>
      <c r="D17" s="35" t="s">
        <v>4</v>
      </c>
      <c r="E17" s="44">
        <v>45320</v>
      </c>
      <c r="F17" s="37"/>
      <c r="G17" s="45">
        <v>0.1875</v>
      </c>
      <c r="H17" s="46"/>
      <c r="I17" s="40"/>
      <c r="J17" s="47" t="s">
        <v>7</v>
      </c>
      <c r="K17" s="48"/>
      <c r="L17" s="46"/>
      <c r="M17" s="46"/>
      <c r="N17" s="46" t="s">
        <v>74</v>
      </c>
      <c r="O17" s="49"/>
      <c r="P17" s="50"/>
    </row>
    <row r="18" spans="1:18" ht="15.75" customHeight="1" x14ac:dyDescent="0.3">
      <c r="A18" s="11"/>
      <c r="B18" s="11"/>
      <c r="D18" s="35" t="s">
        <v>3</v>
      </c>
      <c r="E18" s="44">
        <v>45320</v>
      </c>
      <c r="F18" s="37"/>
      <c r="G18" s="45">
        <v>0.70416666666666661</v>
      </c>
      <c r="H18" s="46">
        <f t="shared" ref="H18" si="4">IF((E18=0),"0",IF((E18=E17+1),(((24-INT(G17))+INT(G18))-1),(INT(G18)-INT(G17)-1))+((1-((G17-INT(G17))/0.6))+((G18-INT(G18))/0.6)))+(F18)</f>
        <v>0.86111111111111116</v>
      </c>
      <c r="I18" s="40"/>
      <c r="J18" s="47" t="s">
        <v>6</v>
      </c>
      <c r="K18" s="46">
        <v>23.4</v>
      </c>
      <c r="L18" s="46">
        <v>127</v>
      </c>
      <c r="M18" s="46">
        <f>IF(D18="eosp",L18/H18,"")</f>
        <v>147.48387096774192</v>
      </c>
      <c r="N18" s="46" t="s">
        <v>37</v>
      </c>
      <c r="O18" s="51">
        <v>0.57999999999999996</v>
      </c>
      <c r="P18" s="52">
        <v>126.6</v>
      </c>
    </row>
    <row r="19" spans="1:18" ht="15.75" customHeight="1" x14ac:dyDescent="0.3">
      <c r="A19" s="11"/>
      <c r="B19" s="11"/>
      <c r="D19" s="35"/>
      <c r="E19" s="36"/>
      <c r="F19" s="37"/>
      <c r="G19" s="38"/>
      <c r="H19" s="39"/>
      <c r="I19" s="40"/>
      <c r="J19" s="41"/>
      <c r="K19" s="39"/>
      <c r="L19" s="39"/>
      <c r="M19" s="39"/>
      <c r="N19" s="39" t="s">
        <v>74</v>
      </c>
      <c r="O19" s="42"/>
      <c r="P19" s="43"/>
    </row>
    <row r="20" spans="1:18" ht="15.75" customHeight="1" x14ac:dyDescent="0.3">
      <c r="A20" s="11"/>
      <c r="B20" s="11"/>
      <c r="D20" s="35" t="s">
        <v>4</v>
      </c>
      <c r="E20" s="44">
        <v>45321</v>
      </c>
      <c r="F20" s="37"/>
      <c r="G20" s="45">
        <v>0.26250000000000001</v>
      </c>
      <c r="H20" s="46"/>
      <c r="I20" s="40"/>
      <c r="J20" s="47" t="s">
        <v>8</v>
      </c>
      <c r="K20" s="48"/>
      <c r="L20" s="46"/>
      <c r="M20" s="46"/>
      <c r="N20" s="46" t="s">
        <v>74</v>
      </c>
      <c r="O20" s="49"/>
      <c r="P20" s="50"/>
    </row>
    <row r="21" spans="1:18" ht="15.75" customHeight="1" x14ac:dyDescent="0.3">
      <c r="A21" s="11"/>
      <c r="B21" s="11"/>
      <c r="D21" s="35" t="s">
        <v>3</v>
      </c>
      <c r="E21" s="44">
        <v>45321</v>
      </c>
      <c r="F21" s="37"/>
      <c r="G21" s="45">
        <v>0.75</v>
      </c>
      <c r="H21" s="46">
        <f t="shared" ref="H21" si="5">IF((E21=0),"0",IF((E21=E20+1),(((24-INT(G20))+INT(G21))-1),(INT(G21)-INT(G20)-1))+((1-((G20-INT(G20))/0.6))+((G21-INT(G21))/0.6)))+(F21)</f>
        <v>0.8125</v>
      </c>
      <c r="I21" s="40"/>
      <c r="J21" s="47" t="s">
        <v>5</v>
      </c>
      <c r="K21" s="46">
        <v>19.8</v>
      </c>
      <c r="L21" s="46">
        <v>123</v>
      </c>
      <c r="M21" s="46">
        <f>IF(D21="eosp",L21/H21,"")</f>
        <v>151.38461538461539</v>
      </c>
      <c r="N21" s="46" t="s">
        <v>41</v>
      </c>
      <c r="O21" s="51">
        <v>0.44</v>
      </c>
      <c r="P21" s="52">
        <v>124</v>
      </c>
    </row>
    <row r="22" spans="1:18" ht="15.75" customHeight="1" x14ac:dyDescent="0.3">
      <c r="A22" s="11"/>
      <c r="B22" s="11"/>
      <c r="D22" s="35"/>
      <c r="E22" s="36"/>
      <c r="F22" s="37"/>
      <c r="G22" s="38"/>
      <c r="H22" s="39"/>
      <c r="I22" s="40"/>
      <c r="J22" s="41"/>
      <c r="K22" s="39"/>
      <c r="L22" s="39"/>
      <c r="M22" s="39"/>
      <c r="N22" s="39" t="s">
        <v>74</v>
      </c>
      <c r="O22" s="42"/>
      <c r="P22" s="43"/>
    </row>
    <row r="23" spans="1:18" ht="15.75" customHeight="1" x14ac:dyDescent="0.3">
      <c r="A23" s="11"/>
      <c r="B23" s="11"/>
      <c r="D23" s="35" t="s">
        <v>4</v>
      </c>
      <c r="E23" s="44">
        <v>45322</v>
      </c>
      <c r="F23" s="37"/>
      <c r="G23" s="45">
        <v>0.59166666666666667</v>
      </c>
      <c r="H23" s="46"/>
      <c r="I23" s="40"/>
      <c r="J23" s="47" t="s">
        <v>7</v>
      </c>
      <c r="K23" s="48"/>
      <c r="L23" s="46"/>
      <c r="M23" s="46"/>
      <c r="N23" s="46" t="s">
        <v>74</v>
      </c>
      <c r="O23" s="49"/>
      <c r="P23" s="50"/>
    </row>
    <row r="24" spans="1:18" ht="15.75" customHeight="1" x14ac:dyDescent="0.3">
      <c r="A24" s="11"/>
      <c r="B24" s="11"/>
      <c r="D24" s="35" t="s">
        <v>3</v>
      </c>
      <c r="E24" s="44">
        <v>45323</v>
      </c>
      <c r="F24" s="37"/>
      <c r="G24" s="45">
        <v>8.3333333333333329E-2</v>
      </c>
      <c r="H24" s="46">
        <f t="shared" ref="H24" si="6">IF((E24=0),"0",IF((E24=E23+1),(((24-INT(G23))+INT(G24))-1),(INT(G24)-INT(G23)-1))+((1-((G23-INT(G23))/0.6))+((G24-INT(G24))/0.6)))+(F24)</f>
        <v>23.152777777777779</v>
      </c>
      <c r="I24" s="40"/>
      <c r="J24" s="47" t="s">
        <v>6</v>
      </c>
      <c r="K24" s="46">
        <v>21</v>
      </c>
      <c r="L24" s="46">
        <v>123</v>
      </c>
      <c r="M24" s="46">
        <f>IF(D24="eosp",L24/H24,"")</f>
        <v>5.3125374925014999</v>
      </c>
      <c r="N24" s="46" t="s">
        <v>42</v>
      </c>
      <c r="O24" s="51">
        <v>0.42</v>
      </c>
      <c r="P24" s="52">
        <v>124</v>
      </c>
    </row>
    <row r="25" spans="1:18" ht="15.75" customHeight="1" x14ac:dyDescent="0.3">
      <c r="A25" s="11"/>
      <c r="B25" s="11"/>
      <c r="D25" s="35"/>
      <c r="E25" s="36"/>
      <c r="F25" s="37"/>
      <c r="G25" s="38"/>
      <c r="H25" s="39"/>
      <c r="I25" s="40"/>
      <c r="J25" s="41"/>
      <c r="K25" s="39"/>
      <c r="L25" s="39"/>
      <c r="M25" s="39"/>
      <c r="N25" s="39" t="s">
        <v>74</v>
      </c>
      <c r="O25" s="42"/>
      <c r="P25" s="43"/>
    </row>
    <row r="26" spans="1:18" ht="15.75" customHeight="1" x14ac:dyDescent="0.3">
      <c r="A26" s="11"/>
      <c r="B26" s="11"/>
      <c r="D26" s="35" t="s">
        <v>4</v>
      </c>
      <c r="E26" s="44">
        <v>45323</v>
      </c>
      <c r="F26" s="37"/>
      <c r="G26" s="45">
        <v>0.72499999999999998</v>
      </c>
      <c r="H26" s="46"/>
      <c r="I26" s="40"/>
      <c r="J26" s="47" t="s">
        <v>8</v>
      </c>
      <c r="K26" s="48"/>
      <c r="L26" s="46"/>
      <c r="M26" s="46"/>
      <c r="N26" s="46" t="s">
        <v>74</v>
      </c>
      <c r="O26" s="49"/>
      <c r="P26" s="50"/>
    </row>
    <row r="27" spans="1:18" ht="15.75" customHeight="1" x14ac:dyDescent="0.3">
      <c r="A27" s="11"/>
      <c r="B27" s="11"/>
      <c r="D27" s="35" t="s">
        <v>3</v>
      </c>
      <c r="E27" s="44">
        <v>45324</v>
      </c>
      <c r="F27" s="37"/>
      <c r="G27" s="45">
        <v>0.17916666666666667</v>
      </c>
      <c r="H27" s="46">
        <f t="shared" ref="H27" si="7">IF((E27=0),"0",IF((E27=E26+1),(((24-INT(G26))+INT(G27))-1),(INT(G27)-INT(G26)-1))+((1-((G26-INT(G26))/0.6))+((G27-INT(G27))/0.6)))+(F27)</f>
        <v>23.090277777777779</v>
      </c>
      <c r="I27" s="40"/>
      <c r="J27" s="47" t="s">
        <v>5</v>
      </c>
      <c r="K27" s="46">
        <v>16.399999999999999</v>
      </c>
      <c r="L27" s="46">
        <v>120</v>
      </c>
      <c r="M27" s="46">
        <f>IF(D27="eosp",L27/H27,"")</f>
        <v>5.1969924812030071</v>
      </c>
      <c r="N27" s="46" t="s">
        <v>35</v>
      </c>
      <c r="O27" s="51">
        <v>0.44</v>
      </c>
      <c r="P27" s="52">
        <v>124</v>
      </c>
    </row>
    <row r="28" spans="1:18" ht="15.75" customHeight="1" x14ac:dyDescent="0.3">
      <c r="A28" s="11"/>
      <c r="B28" s="11"/>
      <c r="D28" s="35"/>
      <c r="E28" s="36"/>
      <c r="F28" s="37"/>
      <c r="G28" s="38"/>
      <c r="H28" s="39"/>
      <c r="I28" s="40"/>
      <c r="J28" s="41"/>
      <c r="K28" s="39"/>
      <c r="L28" s="39"/>
      <c r="M28" s="39"/>
      <c r="N28" s="39" t="s">
        <v>74</v>
      </c>
      <c r="O28" s="42"/>
      <c r="P28" s="43"/>
    </row>
    <row r="29" spans="1:18" ht="15.75" customHeight="1" x14ac:dyDescent="0.3">
      <c r="A29" s="11"/>
      <c r="B29" s="11"/>
      <c r="D29" s="35" t="s">
        <v>4</v>
      </c>
      <c r="E29" s="44">
        <v>45326</v>
      </c>
      <c r="F29" s="37"/>
      <c r="G29" s="45">
        <v>0.78333333333333333</v>
      </c>
      <c r="H29" s="46"/>
      <c r="I29" s="40"/>
      <c r="J29" s="47" t="s">
        <v>7</v>
      </c>
      <c r="K29" s="48"/>
      <c r="L29" s="46"/>
      <c r="M29" s="46"/>
      <c r="N29" s="46" t="s">
        <v>74</v>
      </c>
      <c r="O29" s="49"/>
      <c r="P29" s="50"/>
    </row>
    <row r="30" spans="1:18" ht="15.75" customHeight="1" x14ac:dyDescent="0.3">
      <c r="A30" s="11"/>
      <c r="B30" s="11"/>
      <c r="D30" s="35" t="s">
        <v>3</v>
      </c>
      <c r="E30" s="44">
        <v>45327</v>
      </c>
      <c r="F30" s="37"/>
      <c r="G30" s="45">
        <v>0.3</v>
      </c>
      <c r="H30" s="46">
        <f t="shared" ref="H30" si="8">IF((E30=0),"0",IF((E30=E29+1),(((24-INT(G29))+INT(G30))-1),(INT(G30)-INT(G29)-1))+((1-((G29-INT(G29))/0.6))+((G30-INT(G30))/0.6)))+(F30)</f>
        <v>23.194444444444443</v>
      </c>
      <c r="I30" s="40"/>
      <c r="J30" s="47" t="s">
        <v>6</v>
      </c>
      <c r="K30" s="46">
        <v>20.9</v>
      </c>
      <c r="L30" s="46">
        <v>130</v>
      </c>
      <c r="M30" s="46">
        <f>IF(D30="eosp",L30/H30,"")</f>
        <v>5.6047904191616773</v>
      </c>
      <c r="N30" s="46" t="s">
        <v>39</v>
      </c>
      <c r="O30" s="51">
        <v>0.42</v>
      </c>
      <c r="P30" s="52">
        <v>125</v>
      </c>
    </row>
    <row r="31" spans="1:18" ht="15.75" customHeight="1" x14ac:dyDescent="0.3">
      <c r="A31" s="11"/>
      <c r="B31" s="11"/>
      <c r="C31" s="2" t="s">
        <v>11</v>
      </c>
      <c r="D31" s="35"/>
      <c r="E31" s="36"/>
      <c r="F31" s="37"/>
      <c r="G31" s="38"/>
      <c r="H31" s="39"/>
      <c r="I31" s="40"/>
      <c r="J31" s="41"/>
      <c r="K31" s="39"/>
      <c r="L31" s="39"/>
      <c r="M31" s="39"/>
      <c r="N31" s="39" t="s">
        <v>74</v>
      </c>
      <c r="O31" s="42"/>
      <c r="P31" s="43"/>
      <c r="Q31" s="15"/>
      <c r="R31" s="15"/>
    </row>
    <row r="32" spans="1:18" ht="15.75" customHeight="1" x14ac:dyDescent="0.3">
      <c r="A32" s="11"/>
      <c r="B32" s="11"/>
      <c r="D32" s="35" t="s">
        <v>4</v>
      </c>
      <c r="E32" s="44">
        <v>45327</v>
      </c>
      <c r="F32" s="37"/>
      <c r="G32" s="45">
        <v>0.9916666666666667</v>
      </c>
      <c r="H32" s="46"/>
      <c r="I32" s="40"/>
      <c r="J32" s="47" t="s">
        <v>8</v>
      </c>
      <c r="K32" s="48"/>
      <c r="L32" s="46"/>
      <c r="M32" s="46"/>
      <c r="N32" s="46" t="s">
        <v>74</v>
      </c>
      <c r="O32" s="49"/>
      <c r="P32" s="50"/>
    </row>
    <row r="33" spans="1:18" ht="15.75" customHeight="1" x14ac:dyDescent="0.3">
      <c r="A33" s="11"/>
      <c r="B33" s="11"/>
      <c r="D33" s="35" t="s">
        <v>3</v>
      </c>
      <c r="E33" s="44">
        <v>45328</v>
      </c>
      <c r="F33" s="37"/>
      <c r="G33" s="45">
        <v>0.51250000000000007</v>
      </c>
      <c r="H33" s="46">
        <f t="shared" ref="H33" si="9">IF((E33=0),"0",IF((E33=E32+1),(((24-INT(G32))+INT(G33))-1),(INT(G33)-INT(G32)-1))+((1-((G32-INT(G32))/0.6))+((G33-INT(G33))/0.6)))+(F33)</f>
        <v>23.201388888888889</v>
      </c>
      <c r="I33" s="40"/>
      <c r="J33" s="47" t="s">
        <v>5</v>
      </c>
      <c r="K33" s="46">
        <v>21.8</v>
      </c>
      <c r="L33" s="46">
        <v>128</v>
      </c>
      <c r="M33" s="46">
        <f>IF(D33="eosp",L33/H33,"")</f>
        <v>5.5169111044597425</v>
      </c>
      <c r="N33" s="46" t="s">
        <v>43</v>
      </c>
      <c r="O33" s="51">
        <v>0.44</v>
      </c>
      <c r="P33" s="52">
        <v>123.3</v>
      </c>
      <c r="Q33" s="16"/>
      <c r="R33" s="16"/>
    </row>
    <row r="34" spans="1:18" ht="15.75" customHeight="1" x14ac:dyDescent="0.3">
      <c r="A34" s="11"/>
      <c r="B34" s="11"/>
      <c r="D34" s="35"/>
      <c r="E34" s="36"/>
      <c r="F34" s="37"/>
      <c r="G34" s="38"/>
      <c r="H34" s="39"/>
      <c r="I34" s="40"/>
      <c r="J34" s="41"/>
      <c r="K34" s="39"/>
      <c r="L34" s="39"/>
      <c r="M34" s="39"/>
      <c r="N34" s="39" t="s">
        <v>74</v>
      </c>
      <c r="O34" s="42"/>
      <c r="P34" s="43"/>
      <c r="Q34" s="15"/>
      <c r="R34" s="15"/>
    </row>
    <row r="35" spans="1:18" ht="15.75" customHeight="1" x14ac:dyDescent="0.3">
      <c r="A35" s="11"/>
      <c r="B35" s="11"/>
      <c r="D35" s="35" t="s">
        <v>4</v>
      </c>
      <c r="E35" s="44">
        <v>45337</v>
      </c>
      <c r="F35" s="37"/>
      <c r="G35" s="45">
        <v>0.5708333333333333</v>
      </c>
      <c r="H35" s="46"/>
      <c r="I35" s="40"/>
      <c r="J35" s="47" t="s">
        <v>7</v>
      </c>
      <c r="K35" s="48"/>
      <c r="L35" s="46"/>
      <c r="M35" s="46"/>
      <c r="N35" s="46" t="s">
        <v>74</v>
      </c>
      <c r="O35" s="49"/>
      <c r="P35" s="50"/>
    </row>
    <row r="36" spans="1:18" ht="15.75" customHeight="1" x14ac:dyDescent="0.3">
      <c r="A36" s="11"/>
      <c r="B36" s="11"/>
      <c r="D36" s="35" t="s">
        <v>3</v>
      </c>
      <c r="E36" s="44">
        <v>45338</v>
      </c>
      <c r="F36" s="37"/>
      <c r="G36" s="45">
        <v>0.1125</v>
      </c>
      <c r="H36" s="46">
        <f t="shared" ref="H36" si="10">IF((E36=0),"0",IF((E36=E35+1),(((24-INT(G35))+INT(G36))-1),(INT(G36)-INT(G35)-1))+((1-((G35-INT(G35))/0.6))+((G36-INT(G36))/0.6)))+(F36)</f>
        <v>23.236111111111111</v>
      </c>
      <c r="I36" s="40"/>
      <c r="J36" s="47" t="s">
        <v>6</v>
      </c>
      <c r="K36" s="46">
        <v>24</v>
      </c>
      <c r="L36" s="46">
        <v>130</v>
      </c>
      <c r="M36" s="46">
        <f>IF(D36="eosp",L36/H36,"")</f>
        <v>5.5947399880454274</v>
      </c>
      <c r="N36" s="46" t="s">
        <v>37</v>
      </c>
      <c r="O36" s="51">
        <v>0.48</v>
      </c>
      <c r="P36" s="52">
        <v>124</v>
      </c>
    </row>
    <row r="37" spans="1:18" ht="15.75" customHeight="1" x14ac:dyDescent="0.3">
      <c r="A37" s="11"/>
      <c r="B37" s="11"/>
      <c r="D37" s="35"/>
      <c r="E37" s="36"/>
      <c r="F37" s="37"/>
      <c r="G37" s="38"/>
      <c r="H37" s="39"/>
      <c r="I37" s="40"/>
      <c r="J37" s="41"/>
      <c r="K37" s="39"/>
      <c r="L37" s="39"/>
      <c r="M37" s="39"/>
      <c r="N37" s="39" t="s">
        <v>74</v>
      </c>
      <c r="O37" s="42"/>
      <c r="P37" s="43"/>
    </row>
    <row r="38" spans="1:18" ht="15.75" customHeight="1" x14ac:dyDescent="0.3">
      <c r="A38" s="11"/>
      <c r="B38" s="11"/>
      <c r="D38" s="35" t="s">
        <v>4</v>
      </c>
      <c r="E38" s="44">
        <v>45338</v>
      </c>
      <c r="F38" s="37"/>
      <c r="G38" s="45">
        <v>0.95000000000000007</v>
      </c>
      <c r="H38" s="46"/>
      <c r="I38" s="40"/>
      <c r="J38" s="47" t="s">
        <v>8</v>
      </c>
      <c r="K38" s="48"/>
      <c r="L38" s="46"/>
      <c r="M38" s="46"/>
      <c r="N38" s="46" t="s">
        <v>74</v>
      </c>
      <c r="O38" s="49"/>
      <c r="P38" s="50"/>
    </row>
    <row r="39" spans="1:18" ht="15.75" customHeight="1" x14ac:dyDescent="0.3">
      <c r="A39" s="11"/>
      <c r="B39" s="11"/>
      <c r="D39" s="35" t="s">
        <v>3</v>
      </c>
      <c r="E39" s="44">
        <v>45339</v>
      </c>
      <c r="F39" s="37"/>
      <c r="G39" s="45">
        <v>0.41666666666666669</v>
      </c>
      <c r="H39" s="46">
        <f t="shared" ref="H39" si="11">IF((E39=0),"0",IF((E39=E38+1),(((24-INT(G38))+INT(G39))-1),(INT(G39)-INT(G38)-1))+((1-((G38-INT(G38))/0.6))+((G39-INT(G39))/0.6)))+(F39)</f>
        <v>23.111111111111111</v>
      </c>
      <c r="I39" s="40"/>
      <c r="J39" s="47" t="s">
        <v>5</v>
      </c>
      <c r="K39" s="46">
        <v>16.7</v>
      </c>
      <c r="L39" s="46">
        <v>123</v>
      </c>
      <c r="M39" s="46">
        <f>IF(D39="eosp",L39/H39,"")</f>
        <v>5.322115384615385</v>
      </c>
      <c r="N39" s="46" t="s">
        <v>35</v>
      </c>
      <c r="O39" s="51">
        <v>0.42</v>
      </c>
      <c r="P39" s="52">
        <v>124.2</v>
      </c>
    </row>
    <row r="40" spans="1:18" ht="15.75" customHeight="1" x14ac:dyDescent="0.3">
      <c r="A40" s="11"/>
      <c r="B40" s="11"/>
      <c r="D40" s="35"/>
      <c r="E40" s="36"/>
      <c r="F40" s="37"/>
      <c r="G40" s="38"/>
      <c r="H40" s="39"/>
      <c r="I40" s="40"/>
      <c r="J40" s="41"/>
      <c r="K40" s="39"/>
      <c r="L40" s="39"/>
      <c r="M40" s="39"/>
      <c r="N40" s="39" t="s">
        <v>74</v>
      </c>
      <c r="O40" s="42"/>
      <c r="P40" s="43"/>
    </row>
    <row r="41" spans="1:18" ht="15.75" customHeight="1" x14ac:dyDescent="0.3">
      <c r="A41" s="11"/>
      <c r="B41" s="11"/>
      <c r="D41" s="35" t="s">
        <v>4</v>
      </c>
      <c r="E41" s="44">
        <v>45341</v>
      </c>
      <c r="F41" s="37"/>
      <c r="G41" s="45">
        <v>0.97499999999999998</v>
      </c>
      <c r="H41" s="46"/>
      <c r="I41" s="40"/>
      <c r="J41" s="47" t="s">
        <v>7</v>
      </c>
      <c r="K41" s="48"/>
      <c r="L41" s="46"/>
      <c r="M41" s="46"/>
      <c r="N41" s="46" t="s">
        <v>74</v>
      </c>
      <c r="O41" s="49"/>
      <c r="P41" s="50"/>
    </row>
    <row r="42" spans="1:18" ht="15.75" customHeight="1" x14ac:dyDescent="0.3">
      <c r="A42" s="11"/>
      <c r="B42" s="11"/>
      <c r="D42" s="35" t="s">
        <v>3</v>
      </c>
      <c r="E42" s="44">
        <v>45342</v>
      </c>
      <c r="F42" s="37"/>
      <c r="G42" s="45">
        <v>0.52916666666666667</v>
      </c>
      <c r="H42" s="46">
        <f t="shared" ref="H42" si="12">IF((E42=0),"0",IF((E42=E41+1),(((24-INT(G41))+INT(G42))-1),(INT(G42)-INT(G41)-1))+((1-((G41-INT(G41))/0.6))+((G42-INT(G42))/0.6)))+(F42)</f>
        <v>23.256944444444443</v>
      </c>
      <c r="I42" s="40"/>
      <c r="J42" s="47" t="s">
        <v>6</v>
      </c>
      <c r="K42" s="46">
        <v>24.6</v>
      </c>
      <c r="L42" s="46">
        <v>132</v>
      </c>
      <c r="M42" s="46">
        <f>IF(D42="eosp",L42/H42,"")</f>
        <v>5.6757240967452978</v>
      </c>
      <c r="N42" s="46" t="s">
        <v>43</v>
      </c>
      <c r="O42" s="51">
        <v>0.44</v>
      </c>
      <c r="P42" s="52">
        <v>124</v>
      </c>
    </row>
    <row r="43" spans="1:18" ht="15.75" customHeight="1" x14ac:dyDescent="0.3">
      <c r="A43" s="11"/>
      <c r="B43" s="11"/>
      <c r="D43" s="35"/>
      <c r="E43" s="36"/>
      <c r="F43" s="37"/>
      <c r="G43" s="38"/>
      <c r="H43" s="39"/>
      <c r="I43" s="40"/>
      <c r="J43" s="41"/>
      <c r="K43" s="39"/>
      <c r="L43" s="39"/>
      <c r="M43" s="39"/>
      <c r="N43" s="39" t="s">
        <v>74</v>
      </c>
      <c r="O43" s="42"/>
      <c r="P43" s="43"/>
    </row>
    <row r="44" spans="1:18" ht="15.75" customHeight="1" x14ac:dyDescent="0.3">
      <c r="A44" s="11"/>
      <c r="B44" s="11"/>
      <c r="D44" s="35" t="s">
        <v>4</v>
      </c>
      <c r="E44" s="44">
        <v>45343</v>
      </c>
      <c r="F44" s="37"/>
      <c r="G44" s="45">
        <v>0.14166666666666666</v>
      </c>
      <c r="H44" s="46"/>
      <c r="I44" s="40"/>
      <c r="J44" s="47" t="s">
        <v>8</v>
      </c>
      <c r="K44" s="48"/>
      <c r="L44" s="46"/>
      <c r="M44" s="46"/>
      <c r="N44" s="46" t="s">
        <v>74</v>
      </c>
      <c r="O44" s="49"/>
      <c r="P44" s="50"/>
    </row>
    <row r="45" spans="1:18" ht="15.75" customHeight="1" x14ac:dyDescent="0.3">
      <c r="A45" s="11"/>
      <c r="B45" s="11"/>
      <c r="D45" s="35" t="s">
        <v>3</v>
      </c>
      <c r="E45" s="44">
        <v>45343</v>
      </c>
      <c r="F45" s="37"/>
      <c r="G45" s="45">
        <v>0.6958333333333333</v>
      </c>
      <c r="H45" s="46">
        <f t="shared" ref="H45" si="13">IF((E45=0),"0",IF((E45=E44+1),(((24-INT(G44))+INT(G45))-1),(INT(G45)-INT(G44)-1))+((1-((G44-INT(G44))/0.6))+((G45-INT(G45))/0.6)))+(F45)</f>
        <v>0.92361111111111116</v>
      </c>
      <c r="I45" s="40"/>
      <c r="J45" s="47" t="s">
        <v>5</v>
      </c>
      <c r="K45" s="46">
        <v>25.8</v>
      </c>
      <c r="L45" s="46">
        <v>130</v>
      </c>
      <c r="M45" s="46">
        <f>IF(D45="eosp",L45/H45,"")</f>
        <v>140.75187969924812</v>
      </c>
      <c r="N45" s="46" t="s">
        <v>31</v>
      </c>
      <c r="O45" s="51">
        <v>0.46</v>
      </c>
      <c r="P45" s="52">
        <v>124.2</v>
      </c>
    </row>
    <row r="46" spans="1:18" ht="15.75" customHeight="1" x14ac:dyDescent="0.3">
      <c r="A46" s="11"/>
      <c r="B46" s="11"/>
      <c r="D46" s="35"/>
      <c r="E46" s="36"/>
      <c r="F46" s="37"/>
      <c r="G46" s="38"/>
      <c r="H46" s="39"/>
      <c r="I46" s="40"/>
      <c r="J46" s="41"/>
      <c r="K46" s="39"/>
      <c r="L46" s="39"/>
      <c r="M46" s="39"/>
      <c r="N46" s="39" t="s">
        <v>74</v>
      </c>
      <c r="O46" s="42"/>
      <c r="P46" s="43"/>
    </row>
    <row r="47" spans="1:18" ht="15.75" customHeight="1" x14ac:dyDescent="0.3">
      <c r="A47" s="11"/>
      <c r="B47" s="11"/>
      <c r="D47" s="35" t="s">
        <v>4</v>
      </c>
      <c r="E47" s="44">
        <v>45344</v>
      </c>
      <c r="F47" s="37"/>
      <c r="G47" s="45">
        <v>0.66666666666666663</v>
      </c>
      <c r="H47" s="46"/>
      <c r="I47" s="40"/>
      <c r="J47" s="47" t="s">
        <v>7</v>
      </c>
      <c r="K47" s="48"/>
      <c r="L47" s="46"/>
      <c r="M47" s="46"/>
      <c r="N47" s="46" t="s">
        <v>74</v>
      </c>
      <c r="O47" s="49"/>
      <c r="P47" s="50"/>
    </row>
    <row r="48" spans="1:18" ht="15.75" customHeight="1" x14ac:dyDescent="0.3">
      <c r="A48" s="11"/>
      <c r="B48" s="11"/>
      <c r="D48" s="35" t="s">
        <v>3</v>
      </c>
      <c r="E48" s="44">
        <v>45345</v>
      </c>
      <c r="F48" s="37"/>
      <c r="G48" s="45">
        <v>0.17916666666666667</v>
      </c>
      <c r="H48" s="46">
        <f t="shared" ref="H48" si="14">IF((E48=0),"0",IF((E48=E47+1),(((24-INT(G47))+INT(G48))-1),(INT(G48)-INT(G47)-1))+((1-((G47-INT(G47))/0.6))+((G48-INT(G48))/0.6)))+(F48)</f>
        <v>23.1875</v>
      </c>
      <c r="I48" s="40"/>
      <c r="J48" s="47" t="s">
        <v>6</v>
      </c>
      <c r="K48" s="46">
        <v>25.2</v>
      </c>
      <c r="L48" s="46">
        <v>123</v>
      </c>
      <c r="M48" s="46">
        <f>IF(D48="eosp",L48/H48,"")</f>
        <v>5.3045822102425877</v>
      </c>
      <c r="N48" s="46" t="s">
        <v>44</v>
      </c>
      <c r="O48" s="51">
        <v>0.44</v>
      </c>
      <c r="P48" s="52">
        <v>126</v>
      </c>
    </row>
    <row r="49" spans="1:16" ht="15.75" customHeight="1" x14ac:dyDescent="0.3">
      <c r="A49" s="11"/>
      <c r="B49" s="11"/>
      <c r="D49" s="35"/>
      <c r="E49" s="36"/>
      <c r="F49" s="37"/>
      <c r="G49" s="38"/>
      <c r="H49" s="39"/>
      <c r="I49" s="40"/>
      <c r="J49" s="41"/>
      <c r="K49" s="39"/>
      <c r="L49" s="39"/>
      <c r="M49" s="39"/>
      <c r="N49" s="39" t="s">
        <v>74</v>
      </c>
      <c r="O49" s="42"/>
      <c r="P49" s="43"/>
    </row>
    <row r="50" spans="1:16" ht="15.75" customHeight="1" x14ac:dyDescent="0.3">
      <c r="A50" s="11"/>
      <c r="B50" s="11"/>
      <c r="D50" s="35" t="s">
        <v>4</v>
      </c>
      <c r="E50" s="44">
        <v>45345</v>
      </c>
      <c r="F50" s="37"/>
      <c r="G50" s="45">
        <v>0.79166666666666663</v>
      </c>
      <c r="H50" s="46"/>
      <c r="I50" s="40"/>
      <c r="J50" s="47" t="s">
        <v>8</v>
      </c>
      <c r="K50" s="48"/>
      <c r="L50" s="46"/>
      <c r="M50" s="46"/>
      <c r="N50" s="46" t="s">
        <v>74</v>
      </c>
      <c r="O50" s="49"/>
      <c r="P50" s="50"/>
    </row>
    <row r="51" spans="1:16" ht="15.75" customHeight="1" x14ac:dyDescent="0.3">
      <c r="A51" s="11"/>
      <c r="B51" s="11"/>
      <c r="D51" s="35" t="s">
        <v>3</v>
      </c>
      <c r="E51" s="44">
        <v>45346</v>
      </c>
      <c r="F51" s="37"/>
      <c r="G51" s="45">
        <v>0.28333333333333333</v>
      </c>
      <c r="H51" s="46">
        <f t="shared" ref="H51" si="15">IF((E51=0),"0",IF((E51=E50+1),(((24-INT(G50))+INT(G51))-1),(INT(G51)-INT(G50)-1))+((1-((G50-INT(G50))/0.6))+((G51-INT(G51))/0.6)))+(F51)</f>
        <v>23.152777777777779</v>
      </c>
      <c r="I51" s="40"/>
      <c r="J51" s="47" t="s">
        <v>5</v>
      </c>
      <c r="K51" s="46">
        <v>20.6</v>
      </c>
      <c r="L51" s="46">
        <v>123</v>
      </c>
      <c r="M51" s="46">
        <f>IF(D51="eosp",L51/H51,"")</f>
        <v>5.3125374925014999</v>
      </c>
      <c r="N51" s="46" t="s">
        <v>42</v>
      </c>
      <c r="O51" s="51">
        <v>0.66</v>
      </c>
      <c r="P51" s="52">
        <v>123.8</v>
      </c>
    </row>
    <row r="52" spans="1:16" ht="15.75" customHeight="1" x14ac:dyDescent="0.3">
      <c r="A52" s="11"/>
      <c r="B52" s="11"/>
      <c r="D52" s="35"/>
      <c r="E52" s="36"/>
      <c r="F52" s="37"/>
      <c r="G52" s="38"/>
      <c r="H52" s="39"/>
      <c r="I52" s="40"/>
      <c r="J52" s="41"/>
      <c r="K52" s="39"/>
      <c r="L52" s="39"/>
      <c r="M52" s="39"/>
      <c r="N52" s="39" t="s">
        <v>74</v>
      </c>
      <c r="O52" s="42"/>
      <c r="P52" s="43"/>
    </row>
    <row r="53" spans="1:16" ht="15.75" customHeight="1" x14ac:dyDescent="0.3">
      <c r="A53" s="11"/>
      <c r="B53" s="11"/>
      <c r="D53" s="35" t="s">
        <v>4</v>
      </c>
      <c r="E53" s="44">
        <v>45347</v>
      </c>
      <c r="F53" s="37"/>
      <c r="G53" s="45">
        <v>0.18333333333333335</v>
      </c>
      <c r="H53" s="46"/>
      <c r="I53" s="40"/>
      <c r="J53" s="47" t="s">
        <v>7</v>
      </c>
      <c r="K53" s="48"/>
      <c r="L53" s="46"/>
      <c r="M53" s="46"/>
      <c r="N53" s="46" t="s">
        <v>74</v>
      </c>
      <c r="O53" s="49"/>
      <c r="P53" s="50"/>
    </row>
    <row r="54" spans="1:16" ht="15.75" customHeight="1" x14ac:dyDescent="0.3">
      <c r="A54" s="11"/>
      <c r="B54" s="11"/>
      <c r="D54" s="35" t="s">
        <v>3</v>
      </c>
      <c r="E54" s="44">
        <v>45347</v>
      </c>
      <c r="F54" s="37"/>
      <c r="G54" s="45">
        <v>0.66666666666666663</v>
      </c>
      <c r="H54" s="46">
        <f t="shared" ref="H54" si="16">IF((E54=0),"0",IF((E54=E53+1),(((24-INT(G53))+INT(G54))-1),(INT(G54)-INT(G53)-1))+((1-((G53-INT(G53))/0.6))+((G54-INT(G54))/0.6)))+(F54)</f>
        <v>0.80555555555555558</v>
      </c>
      <c r="I54" s="40"/>
      <c r="J54" s="47" t="s">
        <v>6</v>
      </c>
      <c r="K54" s="46">
        <v>25</v>
      </c>
      <c r="L54" s="46">
        <v>130</v>
      </c>
      <c r="M54" s="46">
        <f>IF(D54="eosp",L54/H54,"")</f>
        <v>161.37931034482759</v>
      </c>
      <c r="N54" s="46" t="s">
        <v>45</v>
      </c>
      <c r="O54" s="51">
        <v>0.48</v>
      </c>
      <c r="P54" s="52">
        <v>141.80000000000001</v>
      </c>
    </row>
    <row r="55" spans="1:16" ht="15.75" customHeight="1" x14ac:dyDescent="0.3">
      <c r="A55" s="11"/>
      <c r="B55" s="11"/>
      <c r="D55" s="35"/>
      <c r="E55" s="36"/>
      <c r="F55" s="37"/>
      <c r="G55" s="38"/>
      <c r="H55" s="39"/>
      <c r="I55" s="40"/>
      <c r="J55" s="41"/>
      <c r="K55" s="39"/>
      <c r="L55" s="39"/>
      <c r="M55" s="39"/>
      <c r="N55" s="39" t="s">
        <v>74</v>
      </c>
      <c r="O55" s="42"/>
      <c r="P55" s="43"/>
    </row>
    <row r="56" spans="1:16" ht="15.75" customHeight="1" x14ac:dyDescent="0.3">
      <c r="A56" s="11"/>
      <c r="B56" s="11"/>
      <c r="D56" s="35" t="s">
        <v>4</v>
      </c>
      <c r="E56" s="44">
        <v>45348</v>
      </c>
      <c r="F56" s="37"/>
      <c r="G56" s="45">
        <v>0.25833333333333336</v>
      </c>
      <c r="H56" s="46"/>
      <c r="I56" s="40"/>
      <c r="J56" s="47" t="s">
        <v>8</v>
      </c>
      <c r="K56" s="48"/>
      <c r="L56" s="46"/>
      <c r="M56" s="46"/>
      <c r="N56" s="46" t="s">
        <v>74</v>
      </c>
      <c r="O56" s="49"/>
      <c r="P56" s="50"/>
    </row>
    <row r="57" spans="1:16" ht="15.75" customHeight="1" x14ac:dyDescent="0.3">
      <c r="A57" s="11"/>
      <c r="B57" s="11"/>
      <c r="D57" s="35" t="s">
        <v>3</v>
      </c>
      <c r="E57" s="44">
        <v>45348</v>
      </c>
      <c r="F57" s="37"/>
      <c r="G57" s="45">
        <v>0.72083333333333333</v>
      </c>
      <c r="H57" s="46">
        <f t="shared" ref="H57" si="17">IF((E57=0),"0",IF((E57=E56+1),(((24-INT(G56))+INT(G57))-1),(INT(G57)-INT(G56)-1))+((1-((G56-INT(G56))/0.6))+((G57-INT(G57))/0.6)))+(F57)</f>
        <v>0.77083333333333326</v>
      </c>
      <c r="I57" s="40"/>
      <c r="J57" s="47" t="s">
        <v>5</v>
      </c>
      <c r="K57" s="46">
        <v>23</v>
      </c>
      <c r="L57" s="46">
        <v>127</v>
      </c>
      <c r="M57" s="46">
        <f>IF(D57="eosp",L57/H57,"")</f>
        <v>164.75675675675677</v>
      </c>
      <c r="N57" s="46" t="s">
        <v>46</v>
      </c>
      <c r="O57" s="51">
        <v>0.64</v>
      </c>
      <c r="P57" s="52">
        <v>140</v>
      </c>
    </row>
    <row r="58" spans="1:16" ht="15.75" customHeight="1" x14ac:dyDescent="0.3">
      <c r="A58" s="11"/>
      <c r="B58" s="11"/>
      <c r="D58" s="35"/>
      <c r="E58" s="36"/>
      <c r="F58" s="37"/>
      <c r="G58" s="38"/>
      <c r="H58" s="39"/>
      <c r="I58" s="40"/>
      <c r="J58" s="41"/>
      <c r="K58" s="39"/>
      <c r="L58" s="39"/>
      <c r="M58" s="39"/>
      <c r="N58" s="39" t="s">
        <v>74</v>
      </c>
      <c r="O58" s="42"/>
      <c r="P58" s="43"/>
    </row>
    <row r="59" spans="1:16" ht="15.75" customHeight="1" x14ac:dyDescent="0.3">
      <c r="A59" s="11"/>
      <c r="B59" s="11"/>
      <c r="D59" s="35" t="s">
        <v>4</v>
      </c>
      <c r="E59" s="44">
        <v>45349</v>
      </c>
      <c r="F59" s="37"/>
      <c r="G59" s="45">
        <v>0.66666666666666663</v>
      </c>
      <c r="H59" s="46"/>
      <c r="I59" s="40"/>
      <c r="J59" s="47" t="s">
        <v>7</v>
      </c>
      <c r="K59" s="48"/>
      <c r="L59" s="46"/>
      <c r="M59" s="46"/>
      <c r="N59" s="46" t="s">
        <v>74</v>
      </c>
      <c r="O59" s="49"/>
      <c r="P59" s="50"/>
    </row>
    <row r="60" spans="1:16" ht="15.75" customHeight="1" x14ac:dyDescent="0.3">
      <c r="A60" s="11"/>
      <c r="B60" s="11"/>
      <c r="D60" s="35" t="s">
        <v>3</v>
      </c>
      <c r="E60" s="44">
        <v>45350</v>
      </c>
      <c r="F60" s="37"/>
      <c r="G60" s="45">
        <v>0.1125</v>
      </c>
      <c r="H60" s="46">
        <f t="shared" ref="H60" si="18">IF((E60=0),"0",IF((E60=E59+1),(((24-INT(G59))+INT(G60))-1),(INT(G60)-INT(G59)-1))+((1-((G59-INT(G59))/0.6))+((G60-INT(G60))/0.6)))+(F60)</f>
        <v>23.076388888888889</v>
      </c>
      <c r="I60" s="40"/>
      <c r="J60" s="47" t="s">
        <v>6</v>
      </c>
      <c r="K60" s="46">
        <v>21.3</v>
      </c>
      <c r="L60" s="46">
        <v>128</v>
      </c>
      <c r="M60" s="46">
        <f>IF(D60="eosp",L60/H60,"")</f>
        <v>5.5467950647005715</v>
      </c>
      <c r="N60" s="46" t="s">
        <v>33</v>
      </c>
      <c r="O60" s="51">
        <v>0.66</v>
      </c>
      <c r="P60" s="52">
        <v>143.19999999999999</v>
      </c>
    </row>
    <row r="61" spans="1:16" ht="15.75" customHeight="1" x14ac:dyDescent="0.3">
      <c r="A61" s="11"/>
      <c r="B61" s="11"/>
      <c r="D61" s="35"/>
      <c r="E61" s="36"/>
      <c r="F61" s="37"/>
      <c r="G61" s="38"/>
      <c r="H61" s="39"/>
      <c r="I61" s="40"/>
      <c r="J61" s="41"/>
      <c r="K61" s="39"/>
      <c r="L61" s="39"/>
      <c r="M61" s="39"/>
      <c r="N61" s="39" t="s">
        <v>74</v>
      </c>
      <c r="O61" s="42"/>
      <c r="P61" s="43"/>
    </row>
    <row r="62" spans="1:16" ht="15.75" customHeight="1" x14ac:dyDescent="0.3">
      <c r="A62" s="11"/>
      <c r="B62" s="11"/>
      <c r="D62" s="35" t="s">
        <v>4</v>
      </c>
      <c r="E62" s="44">
        <v>45351</v>
      </c>
      <c r="F62" s="37"/>
      <c r="G62" s="45">
        <v>0.77083333333333337</v>
      </c>
      <c r="H62" s="46"/>
      <c r="I62" s="40"/>
      <c r="J62" s="47" t="s">
        <v>7</v>
      </c>
      <c r="K62" s="48"/>
      <c r="L62" s="46"/>
      <c r="M62" s="46"/>
      <c r="N62" s="46" t="s">
        <v>74</v>
      </c>
      <c r="O62" s="49"/>
      <c r="P62" s="50"/>
    </row>
    <row r="63" spans="1:16" ht="15.75" customHeight="1" x14ac:dyDescent="0.3">
      <c r="A63" s="11"/>
      <c r="B63" s="11"/>
      <c r="D63" s="35" t="s">
        <v>3</v>
      </c>
      <c r="E63" s="44">
        <v>45352</v>
      </c>
      <c r="F63" s="37"/>
      <c r="G63" s="45">
        <v>0.38750000000000001</v>
      </c>
      <c r="H63" s="46">
        <v>14.799999999999999</v>
      </c>
      <c r="I63" s="40"/>
      <c r="J63" s="47" t="s">
        <v>5</v>
      </c>
      <c r="K63" s="46">
        <v>31.9</v>
      </c>
      <c r="L63" s="46">
        <v>144</v>
      </c>
      <c r="M63" s="46">
        <v>9.7297297297297298</v>
      </c>
      <c r="N63" s="46" t="s">
        <v>47</v>
      </c>
      <c r="O63" s="51">
        <v>0.43</v>
      </c>
      <c r="P63" s="52">
        <v>134.6</v>
      </c>
    </row>
    <row r="64" spans="1:16" ht="15.75" customHeight="1" x14ac:dyDescent="0.3">
      <c r="A64" s="11"/>
      <c r="B64" s="11"/>
      <c r="D64" s="35"/>
      <c r="E64" s="36"/>
      <c r="F64" s="37"/>
      <c r="G64" s="38"/>
      <c r="H64" s="39"/>
      <c r="I64" s="40"/>
      <c r="J64" s="41"/>
      <c r="K64" s="39"/>
      <c r="L64" s="39"/>
      <c r="M64" s="39"/>
      <c r="N64" s="39" t="s">
        <v>74</v>
      </c>
      <c r="O64" s="42"/>
      <c r="P64" s="43"/>
    </row>
    <row r="65" spans="1:16" ht="15.75" customHeight="1" x14ac:dyDescent="0.3">
      <c r="A65" s="11"/>
      <c r="B65" s="11"/>
      <c r="D65" s="35" t="s">
        <v>4</v>
      </c>
      <c r="E65" s="44">
        <v>45353</v>
      </c>
      <c r="F65" s="37"/>
      <c r="G65" s="45">
        <v>0.89166666666666661</v>
      </c>
      <c r="H65" s="46"/>
      <c r="I65" s="40"/>
      <c r="J65" s="47" t="s">
        <v>7</v>
      </c>
      <c r="K65" s="48"/>
      <c r="L65" s="46"/>
      <c r="M65" s="46"/>
      <c r="N65" s="46" t="s">
        <v>74</v>
      </c>
      <c r="O65" s="49"/>
      <c r="P65" s="50"/>
    </row>
    <row r="66" spans="1:16" ht="15.75" customHeight="1" x14ac:dyDescent="0.3">
      <c r="A66" s="11"/>
      <c r="B66" s="11"/>
      <c r="D66" s="35" t="s">
        <v>3</v>
      </c>
      <c r="E66" s="44">
        <v>45354</v>
      </c>
      <c r="F66" s="37"/>
      <c r="G66" s="45">
        <v>0.40416666666666662</v>
      </c>
      <c r="H66" s="46">
        <f t="shared" ref="H66" si="19">IF((E66=0),"0",IF((E66=E65+1),(((24-INT(G65))+INT(G66))-1),(INT(G66)-INT(G65)-1))+((1-((G65-INT(G65))/0.6))+((G66-INT(G66))/0.6)))+(F66)</f>
        <v>23.1875</v>
      </c>
      <c r="I66" s="40"/>
      <c r="J66" s="47" t="s">
        <v>6</v>
      </c>
      <c r="K66" s="46">
        <v>24.7</v>
      </c>
      <c r="L66" s="46">
        <v>123</v>
      </c>
      <c r="M66" s="46">
        <f>IF(D66="eosp",L66/H66,"")</f>
        <v>5.3045822102425877</v>
      </c>
      <c r="N66" s="46" t="s">
        <v>39</v>
      </c>
      <c r="O66" s="51">
        <v>0.44</v>
      </c>
      <c r="P66" s="52">
        <v>125.2</v>
      </c>
    </row>
    <row r="67" spans="1:16" ht="15.75" customHeight="1" x14ac:dyDescent="0.3">
      <c r="A67" s="11"/>
      <c r="B67" s="11"/>
      <c r="D67" s="35"/>
      <c r="E67" s="36"/>
      <c r="F67" s="37"/>
      <c r="G67" s="38"/>
      <c r="H67" s="39"/>
      <c r="I67" s="40"/>
      <c r="J67" s="41"/>
      <c r="K67" s="39"/>
      <c r="L67" s="39"/>
      <c r="M67" s="39"/>
      <c r="N67" s="39" t="s">
        <v>74</v>
      </c>
      <c r="O67" s="42"/>
      <c r="P67" s="43"/>
    </row>
    <row r="68" spans="1:16" ht="15.75" customHeight="1" x14ac:dyDescent="0.3">
      <c r="A68" s="11"/>
      <c r="B68" s="11"/>
      <c r="D68" s="35" t="s">
        <v>4</v>
      </c>
      <c r="E68" s="44">
        <v>45355</v>
      </c>
      <c r="F68" s="37"/>
      <c r="G68" s="45">
        <v>0.15</v>
      </c>
      <c r="H68" s="46"/>
      <c r="I68" s="40"/>
      <c r="J68" s="47" t="s">
        <v>8</v>
      </c>
      <c r="K68" s="48"/>
      <c r="L68" s="46"/>
      <c r="M68" s="46"/>
      <c r="N68" s="46" t="s">
        <v>74</v>
      </c>
      <c r="O68" s="49"/>
      <c r="P68" s="50"/>
    </row>
    <row r="69" spans="1:16" ht="15.75" customHeight="1" x14ac:dyDescent="0.3">
      <c r="A69" s="11"/>
      <c r="B69" s="11"/>
      <c r="D69" s="35" t="s">
        <v>3</v>
      </c>
      <c r="E69" s="44">
        <v>45355</v>
      </c>
      <c r="F69" s="37"/>
      <c r="G69" s="45">
        <v>0.5708333333333333</v>
      </c>
      <c r="H69" s="46">
        <f t="shared" ref="H69" si="20">IF((E69=0),"0",IF((E69=E68+1),(((24-INT(G68))+INT(G69))-1),(INT(G69)-INT(G68)-1))+((1-((G68-INT(G68))/0.6))+((G69-INT(G69))/0.6)))+(F69)</f>
        <v>0.70138888888888884</v>
      </c>
      <c r="I69" s="40"/>
      <c r="J69" s="47" t="s">
        <v>5</v>
      </c>
      <c r="K69" s="46">
        <v>19</v>
      </c>
      <c r="L69" s="46">
        <v>123</v>
      </c>
      <c r="M69" s="46">
        <f>IF(D69="eosp",L69/H69,"")</f>
        <v>175.36633663366337</v>
      </c>
      <c r="N69" s="46" t="s">
        <v>48</v>
      </c>
      <c r="O69" s="51">
        <v>0.63</v>
      </c>
      <c r="P69" s="52">
        <v>141.6</v>
      </c>
    </row>
    <row r="70" spans="1:16" ht="15.75" customHeight="1" x14ac:dyDescent="0.3">
      <c r="A70" s="11"/>
      <c r="B70" s="11"/>
      <c r="D70" s="35"/>
      <c r="E70" s="36"/>
      <c r="F70" s="37"/>
      <c r="G70" s="38"/>
      <c r="H70" s="39"/>
      <c r="I70" s="40"/>
      <c r="J70" s="41"/>
      <c r="K70" s="39"/>
      <c r="L70" s="39"/>
      <c r="M70" s="39"/>
      <c r="N70" s="39" t="s">
        <v>74</v>
      </c>
      <c r="O70" s="42"/>
      <c r="P70" s="43"/>
    </row>
    <row r="71" spans="1:16" ht="15.75" customHeight="1" x14ac:dyDescent="0.3">
      <c r="A71" s="11"/>
      <c r="B71" s="11"/>
      <c r="D71" s="35" t="s">
        <v>4</v>
      </c>
      <c r="E71" s="44">
        <v>45356</v>
      </c>
      <c r="F71" s="37"/>
      <c r="G71" s="45">
        <v>0.44166666666666665</v>
      </c>
      <c r="H71" s="46"/>
      <c r="I71" s="40"/>
      <c r="J71" s="47" t="s">
        <v>7</v>
      </c>
      <c r="K71" s="48"/>
      <c r="L71" s="46"/>
      <c r="M71" s="46"/>
      <c r="N71" s="46" t="s">
        <v>74</v>
      </c>
      <c r="O71" s="49"/>
      <c r="P71" s="50"/>
    </row>
    <row r="72" spans="1:16" ht="15.75" customHeight="1" x14ac:dyDescent="0.3">
      <c r="A72" s="11"/>
      <c r="B72" s="11"/>
      <c r="D72" s="35" t="s">
        <v>3</v>
      </c>
      <c r="E72" s="44">
        <v>45356</v>
      </c>
      <c r="F72" s="37"/>
      <c r="G72" s="45">
        <v>0.8666666666666667</v>
      </c>
      <c r="H72" s="46">
        <f t="shared" ref="H72" si="21">IF((E72=0),"0",IF((E72=E71+1),(((24-INT(G71))+INT(G72))-1),(INT(G72)-INT(G71)-1))+((1-((G71-INT(G71))/0.6))+((G72-INT(G72))/0.6)))+(F72)</f>
        <v>0.70833333333333348</v>
      </c>
      <c r="I72" s="40"/>
      <c r="J72" s="47" t="s">
        <v>6</v>
      </c>
      <c r="K72" s="46">
        <v>22.3</v>
      </c>
      <c r="L72" s="46">
        <v>120</v>
      </c>
      <c r="M72" s="46">
        <f>IF(D72="eosp",L72/H72,"")</f>
        <v>169.41176470588232</v>
      </c>
      <c r="N72" s="46" t="s">
        <v>49</v>
      </c>
      <c r="O72" s="51">
        <v>0.67</v>
      </c>
      <c r="P72" s="52">
        <v>142.69999999999999</v>
      </c>
    </row>
    <row r="73" spans="1:16" ht="15.75" customHeight="1" x14ac:dyDescent="0.3">
      <c r="A73" s="11"/>
      <c r="B73" s="11"/>
      <c r="D73" s="35"/>
      <c r="E73" s="36"/>
      <c r="F73" s="37"/>
      <c r="G73" s="38"/>
      <c r="H73" s="39"/>
      <c r="I73" s="40"/>
      <c r="J73" s="41"/>
      <c r="K73" s="39"/>
      <c r="L73" s="39"/>
      <c r="M73" s="39"/>
      <c r="N73" s="39" t="s">
        <v>74</v>
      </c>
      <c r="O73" s="42"/>
      <c r="P73" s="43"/>
    </row>
    <row r="74" spans="1:16" ht="15.75" customHeight="1" x14ac:dyDescent="0.3">
      <c r="A74" s="11"/>
      <c r="B74" s="11"/>
      <c r="D74" s="35" t="s">
        <v>4</v>
      </c>
      <c r="E74" s="44">
        <v>45357</v>
      </c>
      <c r="F74" s="37"/>
      <c r="G74" s="45">
        <v>0.5625</v>
      </c>
      <c r="H74" s="46"/>
      <c r="I74" s="40"/>
      <c r="J74" s="47" t="s">
        <v>8</v>
      </c>
      <c r="K74" s="48"/>
      <c r="L74" s="46"/>
      <c r="M74" s="46"/>
      <c r="N74" s="46" t="s">
        <v>74</v>
      </c>
      <c r="O74" s="49"/>
      <c r="P74" s="50"/>
    </row>
    <row r="75" spans="1:16" ht="15.75" customHeight="1" x14ac:dyDescent="0.3">
      <c r="A75" s="11"/>
      <c r="B75" s="11"/>
      <c r="D75" s="35" t="s">
        <v>3</v>
      </c>
      <c r="E75" s="44">
        <v>45358</v>
      </c>
      <c r="F75" s="37"/>
      <c r="G75" s="45">
        <v>8.3333333333333332E-3</v>
      </c>
      <c r="H75" s="46">
        <f t="shared" ref="H75" si="22">IF((E75=0),"0",IF((E75=E74+1),(((24-INT(G74))+INT(G75))-1),(INT(G75)-INT(G74)-1))+((1-((G74-INT(G74))/0.6))+((G75-INT(G75))/0.6)))+(F75)</f>
        <v>23.076388888888889</v>
      </c>
      <c r="I75" s="40"/>
      <c r="J75" s="47" t="s">
        <v>5</v>
      </c>
      <c r="K75" s="46">
        <v>20.5</v>
      </c>
      <c r="L75" s="46">
        <v>126</v>
      </c>
      <c r="M75" s="46">
        <f>IF(D75="eosp",L75/H75,"")</f>
        <v>5.460126391814625</v>
      </c>
      <c r="N75" s="46" t="s">
        <v>33</v>
      </c>
      <c r="O75" s="51">
        <v>0.63</v>
      </c>
      <c r="P75" s="52">
        <v>139.5</v>
      </c>
    </row>
    <row r="76" spans="1:16" ht="15.75" customHeight="1" x14ac:dyDescent="0.3">
      <c r="A76" s="11"/>
      <c r="B76" s="11"/>
      <c r="D76" s="35"/>
      <c r="E76" s="36"/>
      <c r="F76" s="37"/>
      <c r="G76" s="38"/>
      <c r="H76" s="39"/>
      <c r="I76" s="40"/>
      <c r="J76" s="41"/>
      <c r="K76" s="39"/>
      <c r="L76" s="39"/>
      <c r="M76" s="39"/>
      <c r="N76" s="39" t="s">
        <v>74</v>
      </c>
      <c r="O76" s="42"/>
      <c r="P76" s="43"/>
    </row>
    <row r="77" spans="1:16" ht="15.75" customHeight="1" x14ac:dyDescent="0.3">
      <c r="A77" s="11"/>
      <c r="B77" s="11"/>
      <c r="D77" s="35" t="s">
        <v>4</v>
      </c>
      <c r="E77" s="44">
        <v>45358</v>
      </c>
      <c r="F77" s="37"/>
      <c r="G77" s="45">
        <v>0.875</v>
      </c>
      <c r="H77" s="46"/>
      <c r="I77" s="40"/>
      <c r="J77" s="47" t="s">
        <v>7</v>
      </c>
      <c r="K77" s="48"/>
      <c r="L77" s="46"/>
      <c r="M77" s="46"/>
      <c r="N77" s="46" t="s">
        <v>74</v>
      </c>
      <c r="O77" s="49"/>
      <c r="P77" s="50"/>
    </row>
    <row r="78" spans="1:16" ht="15.75" customHeight="1" x14ac:dyDescent="0.3">
      <c r="A78" s="11"/>
      <c r="B78" s="11"/>
      <c r="D78" s="35" t="s">
        <v>3</v>
      </c>
      <c r="E78" s="44">
        <v>45359</v>
      </c>
      <c r="F78" s="37"/>
      <c r="G78" s="45">
        <v>0.37916666666666665</v>
      </c>
      <c r="H78" s="46">
        <f t="shared" ref="H78" si="23">IF((E78=0),"0",IF((E78=E77+1),(((24-INT(G77))+INT(G78))-1),(INT(G78)-INT(G77)-1))+((1-((G77-INT(G77))/0.6))+((G78-INT(G78))/0.6)))+(F78)</f>
        <v>23.173611111111111</v>
      </c>
      <c r="I78" s="40"/>
      <c r="J78" s="47" t="s">
        <v>6</v>
      </c>
      <c r="K78" s="46">
        <v>28.6</v>
      </c>
      <c r="L78" s="46">
        <v>123</v>
      </c>
      <c r="M78" s="46">
        <f>IF(D78="eosp",L78/H78,"")</f>
        <v>5.3077614623913698</v>
      </c>
      <c r="N78" s="46" t="s">
        <v>75</v>
      </c>
      <c r="O78" s="51">
        <v>0.67</v>
      </c>
      <c r="P78" s="52">
        <v>134.1</v>
      </c>
    </row>
    <row r="79" spans="1:16" ht="15.75" customHeight="1" x14ac:dyDescent="0.3">
      <c r="A79" s="11"/>
      <c r="B79" s="11"/>
      <c r="D79" s="35"/>
      <c r="E79" s="36"/>
      <c r="F79" s="37"/>
      <c r="G79" s="38"/>
      <c r="H79" s="39"/>
      <c r="I79" s="40"/>
      <c r="J79" s="41"/>
      <c r="K79" s="39"/>
      <c r="L79" s="39"/>
      <c r="M79" s="39"/>
      <c r="N79" s="39" t="s">
        <v>74</v>
      </c>
      <c r="O79" s="42"/>
      <c r="P79" s="43"/>
    </row>
    <row r="80" spans="1:16" ht="15.75" customHeight="1" x14ac:dyDescent="0.3">
      <c r="A80" s="11"/>
      <c r="B80" s="11"/>
      <c r="D80" s="35" t="s">
        <v>4</v>
      </c>
      <c r="E80" s="44">
        <v>45360</v>
      </c>
      <c r="F80" s="37"/>
      <c r="G80" s="45">
        <v>0.13333333333333333</v>
      </c>
      <c r="H80" s="46"/>
      <c r="I80" s="40"/>
      <c r="J80" s="47" t="s">
        <v>8</v>
      </c>
      <c r="K80" s="48"/>
      <c r="L80" s="46"/>
      <c r="M80" s="46"/>
      <c r="N80" s="46" t="s">
        <v>74</v>
      </c>
      <c r="O80" s="49"/>
      <c r="P80" s="50"/>
    </row>
    <row r="81" spans="1:16" ht="15.75" customHeight="1" x14ac:dyDescent="0.3">
      <c r="A81" s="11"/>
      <c r="B81" s="11"/>
      <c r="D81" s="35" t="s">
        <v>3</v>
      </c>
      <c r="E81" s="44">
        <v>45360</v>
      </c>
      <c r="F81" s="37"/>
      <c r="G81" s="45">
        <v>0.5625</v>
      </c>
      <c r="H81" s="46">
        <f t="shared" ref="H81" si="24">IF((E81=0),"0",IF((E81=E80+1),(((24-INT(G80))+INT(G81))-1),(INT(G81)-INT(G80)-1))+((1-((G80-INT(G80))/0.6))+((G81-INT(G81))/0.6)))+(F81)</f>
        <v>0.71527777777777768</v>
      </c>
      <c r="I81" s="40"/>
      <c r="J81" s="47" t="s">
        <v>5</v>
      </c>
      <c r="K81" s="46">
        <v>19.3</v>
      </c>
      <c r="L81" s="46">
        <v>124</v>
      </c>
      <c r="M81" s="46">
        <f>IF(D81="eosp",L81/H81,"")</f>
        <v>173.35922330097091</v>
      </c>
      <c r="N81" s="46" t="s">
        <v>50</v>
      </c>
      <c r="O81" s="51">
        <v>0.64</v>
      </c>
      <c r="P81" s="52">
        <v>140.6</v>
      </c>
    </row>
    <row r="82" spans="1:16" ht="15.75" customHeight="1" x14ac:dyDescent="0.3">
      <c r="A82" s="11"/>
      <c r="B82" s="11"/>
      <c r="D82" s="35"/>
      <c r="E82" s="36"/>
      <c r="F82" s="37"/>
      <c r="G82" s="38"/>
      <c r="H82" s="39"/>
      <c r="I82" s="40"/>
      <c r="J82" s="41"/>
      <c r="K82" s="39"/>
      <c r="L82" s="39"/>
      <c r="M82" s="39"/>
      <c r="N82" s="39" t="s">
        <v>74</v>
      </c>
      <c r="O82" s="42"/>
      <c r="P82" s="43"/>
    </row>
    <row r="83" spans="1:16" ht="15.75" customHeight="1" x14ac:dyDescent="0.3">
      <c r="A83" s="11"/>
      <c r="B83" s="11"/>
      <c r="D83" s="35" t="s">
        <v>4</v>
      </c>
      <c r="E83" s="44">
        <v>45361</v>
      </c>
      <c r="F83" s="37"/>
      <c r="G83" s="45">
        <v>0.58333333333333337</v>
      </c>
      <c r="H83" s="46"/>
      <c r="I83" s="40"/>
      <c r="J83" s="47" t="s">
        <v>7</v>
      </c>
      <c r="K83" s="48"/>
      <c r="L83" s="46"/>
      <c r="M83" s="46"/>
      <c r="N83" s="46" t="s">
        <v>74</v>
      </c>
      <c r="O83" s="49"/>
      <c r="P83" s="50"/>
    </row>
    <row r="84" spans="1:16" ht="15.75" customHeight="1" x14ac:dyDescent="0.3">
      <c r="A84" s="11"/>
      <c r="B84" s="11"/>
      <c r="D84" s="35" t="s">
        <v>3</v>
      </c>
      <c r="E84" s="44">
        <v>45362</v>
      </c>
      <c r="F84" s="37"/>
      <c r="G84" s="45">
        <v>2.0833333333333332E-2</v>
      </c>
      <c r="H84" s="46">
        <f t="shared" ref="H84" si="25">IF((E84=0),"0",IF((E84=E83+1),(((24-INT(G83))+INT(G84))-1),(INT(G84)-INT(G83)-1))+((1-((G83-INT(G83))/0.6))+((G84-INT(G84))/0.6)))+(F84)</f>
        <v>23.0625</v>
      </c>
      <c r="I84" s="40"/>
      <c r="J84" s="47" t="s">
        <v>6</v>
      </c>
      <c r="K84" s="46">
        <v>23.4</v>
      </c>
      <c r="L84" s="46">
        <v>122</v>
      </c>
      <c r="M84" s="46">
        <f>IF(D84="eosp",L84/H84,"")</f>
        <v>5.2899728997289976</v>
      </c>
      <c r="N84" s="46" t="s">
        <v>46</v>
      </c>
      <c r="O84" s="51">
        <v>0.66</v>
      </c>
      <c r="P84" s="52">
        <v>142.9</v>
      </c>
    </row>
    <row r="85" spans="1:16" ht="15.75" customHeight="1" x14ac:dyDescent="0.3">
      <c r="A85" s="11"/>
      <c r="B85" s="11"/>
      <c r="D85" s="35"/>
      <c r="E85" s="36"/>
      <c r="F85" s="37"/>
      <c r="G85" s="38"/>
      <c r="H85" s="39"/>
      <c r="I85" s="40"/>
      <c r="J85" s="41"/>
      <c r="K85" s="39"/>
      <c r="L85" s="39"/>
      <c r="M85" s="39"/>
      <c r="N85" s="39" t="s">
        <v>74</v>
      </c>
      <c r="O85" s="42"/>
      <c r="P85" s="43"/>
    </row>
    <row r="86" spans="1:16" ht="15.75" customHeight="1" x14ac:dyDescent="0.3">
      <c r="A86" s="11"/>
      <c r="B86" s="11"/>
      <c r="D86" s="35" t="s">
        <v>4</v>
      </c>
      <c r="E86" s="44">
        <v>45362</v>
      </c>
      <c r="F86" s="37"/>
      <c r="G86" s="45">
        <v>0.88750000000000007</v>
      </c>
      <c r="H86" s="46"/>
      <c r="I86" s="40"/>
      <c r="J86" s="47" t="s">
        <v>8</v>
      </c>
      <c r="K86" s="48"/>
      <c r="L86" s="46"/>
      <c r="M86" s="46"/>
      <c r="N86" s="46" t="s">
        <v>74</v>
      </c>
      <c r="O86" s="49"/>
      <c r="P86" s="50"/>
    </row>
    <row r="87" spans="1:16" ht="15.75" customHeight="1" x14ac:dyDescent="0.3">
      <c r="A87" s="11"/>
      <c r="B87" s="11"/>
      <c r="D87" s="35" t="s">
        <v>3</v>
      </c>
      <c r="E87" s="44">
        <v>45363</v>
      </c>
      <c r="F87" s="37"/>
      <c r="G87" s="45">
        <v>0.29166666666666669</v>
      </c>
      <c r="H87" s="46">
        <f t="shared" ref="H87" si="26">IF((E87=0),"0",IF((E87=E86+1),(((24-INT(G86))+INT(G87))-1),(INT(G87)-INT(G86)-1))+((1-((G86-INT(G86))/0.6))+((G87-INT(G87))/0.6)))+(F87)</f>
        <v>23.006944444444443</v>
      </c>
      <c r="I87" s="40"/>
      <c r="J87" s="47" t="s">
        <v>5</v>
      </c>
      <c r="K87" s="46">
        <v>15.7</v>
      </c>
      <c r="L87" s="46">
        <v>123</v>
      </c>
      <c r="M87" s="46">
        <f>IF(D87="eosp",L87/H87,"")</f>
        <v>5.3462118925445221</v>
      </c>
      <c r="N87" s="46" t="s">
        <v>32</v>
      </c>
      <c r="O87" s="51">
        <v>0.64</v>
      </c>
      <c r="P87" s="52">
        <v>141.69999999999999</v>
      </c>
    </row>
    <row r="88" spans="1:16" ht="15.75" customHeight="1" x14ac:dyDescent="0.3">
      <c r="A88" s="11"/>
      <c r="B88" s="11"/>
      <c r="D88" s="35"/>
      <c r="E88" s="36"/>
      <c r="F88" s="37"/>
      <c r="G88" s="38"/>
      <c r="H88" s="39"/>
      <c r="I88" s="40"/>
      <c r="J88" s="41"/>
      <c r="K88" s="39"/>
      <c r="L88" s="39"/>
      <c r="M88" s="39"/>
      <c r="N88" s="39" t="s">
        <v>74</v>
      </c>
      <c r="O88" s="42"/>
      <c r="P88" s="43"/>
    </row>
    <row r="89" spans="1:16" ht="15.75" customHeight="1" x14ac:dyDescent="0.3">
      <c r="A89" s="11"/>
      <c r="B89" s="11"/>
      <c r="D89" s="35" t="s">
        <v>4</v>
      </c>
      <c r="E89" s="44">
        <v>45364</v>
      </c>
      <c r="F89" s="37"/>
      <c r="G89" s="45">
        <v>0.16666666666666666</v>
      </c>
      <c r="H89" s="46"/>
      <c r="I89" s="40"/>
      <c r="J89" s="47" t="s">
        <v>7</v>
      </c>
      <c r="K89" s="48"/>
      <c r="L89" s="46"/>
      <c r="M89" s="46"/>
      <c r="N89" s="46" t="s">
        <v>74</v>
      </c>
      <c r="O89" s="49"/>
      <c r="P89" s="50"/>
    </row>
    <row r="90" spans="1:16" ht="15.75" customHeight="1" x14ac:dyDescent="0.3">
      <c r="A90" s="11"/>
      <c r="B90" s="11"/>
      <c r="D90" s="35" t="s">
        <v>3</v>
      </c>
      <c r="E90" s="44">
        <v>45364</v>
      </c>
      <c r="F90" s="37"/>
      <c r="G90" s="45">
        <v>0.61249999999999993</v>
      </c>
      <c r="H90" s="46">
        <f t="shared" ref="H90" si="27">IF((E90=0),"0",IF((E90=E89+1),(((24-INT(G89))+INT(G90))-1),(INT(G90)-INT(G89)-1))+((1-((G89-INT(G89))/0.6))+((G90-INT(G90))/0.6)))+(F90)</f>
        <v>0.74305555555555536</v>
      </c>
      <c r="I90" s="40"/>
      <c r="J90" s="47" t="s">
        <v>6</v>
      </c>
      <c r="K90" s="46">
        <v>24</v>
      </c>
      <c r="L90" s="46">
        <v>123</v>
      </c>
      <c r="M90" s="46">
        <f>IF(D90="eosp",L90/H90,"")</f>
        <v>165.53271028037386</v>
      </c>
      <c r="N90" s="46" t="s">
        <v>46</v>
      </c>
      <c r="O90" s="51">
        <v>0.64</v>
      </c>
      <c r="P90" s="52">
        <v>142.69999999999999</v>
      </c>
    </row>
    <row r="91" spans="1:16" ht="15.75" customHeight="1" x14ac:dyDescent="0.3">
      <c r="A91" s="11"/>
      <c r="B91" s="11"/>
      <c r="D91" s="35"/>
      <c r="E91" s="36"/>
      <c r="F91" s="37"/>
      <c r="G91" s="38"/>
      <c r="H91" s="39"/>
      <c r="I91" s="40"/>
      <c r="J91" s="41"/>
      <c r="K91" s="39"/>
      <c r="L91" s="39"/>
      <c r="M91" s="39"/>
      <c r="N91" s="39" t="s">
        <v>74</v>
      </c>
      <c r="O91" s="42"/>
      <c r="P91" s="43"/>
    </row>
    <row r="92" spans="1:16" ht="15.75" customHeight="1" x14ac:dyDescent="0.3">
      <c r="A92" s="11"/>
      <c r="B92" s="11"/>
      <c r="D92" s="35" t="s">
        <v>4</v>
      </c>
      <c r="E92" s="44">
        <v>45365</v>
      </c>
      <c r="F92" s="37"/>
      <c r="G92" s="45">
        <v>0.85416666666666663</v>
      </c>
      <c r="H92" s="46"/>
      <c r="I92" s="40"/>
      <c r="J92" s="47" t="s">
        <v>8</v>
      </c>
      <c r="K92" s="48"/>
      <c r="L92" s="46"/>
      <c r="M92" s="46"/>
      <c r="N92" s="46" t="s">
        <v>74</v>
      </c>
      <c r="O92" s="49"/>
      <c r="P92" s="50"/>
    </row>
    <row r="93" spans="1:16" ht="15.75" customHeight="1" x14ac:dyDescent="0.3">
      <c r="A93" s="11"/>
      <c r="B93" s="11"/>
      <c r="D93" s="35" t="s">
        <v>3</v>
      </c>
      <c r="E93" s="44">
        <v>45366</v>
      </c>
      <c r="F93" s="37"/>
      <c r="G93" s="45">
        <v>0.25</v>
      </c>
      <c r="H93" s="46">
        <f t="shared" ref="H93" si="28">IF((E93=0),"0",IF((E93=E92+1),(((24-INT(G92))+INT(G93))-1),(INT(G93)-INT(G92)-1))+((1-((G92-INT(G92))/0.6))+((G93-INT(G93))/0.6)))+(F93)</f>
        <v>22.993055555555557</v>
      </c>
      <c r="I93" s="40"/>
      <c r="J93" s="47" t="s">
        <v>5</v>
      </c>
      <c r="K93" s="46">
        <v>20.100000000000001</v>
      </c>
      <c r="L93" s="46">
        <v>114</v>
      </c>
      <c r="M93" s="46">
        <f>IF(D93="eosp",L93/H93,"")</f>
        <v>4.9580187254605859</v>
      </c>
      <c r="N93" s="46" t="s">
        <v>48</v>
      </c>
      <c r="O93" s="51">
        <v>0.66</v>
      </c>
      <c r="P93" s="52">
        <v>141.5</v>
      </c>
    </row>
    <row r="94" spans="1:16" ht="15.75" customHeight="1" x14ac:dyDescent="0.3">
      <c r="A94" s="11"/>
      <c r="B94" s="11"/>
      <c r="D94" s="35"/>
      <c r="E94" s="36"/>
      <c r="F94" s="37"/>
      <c r="G94" s="38"/>
      <c r="H94" s="39"/>
      <c r="I94" s="40"/>
      <c r="J94" s="41"/>
      <c r="K94" s="39"/>
      <c r="L94" s="39"/>
      <c r="M94" s="39"/>
      <c r="N94" s="39" t="s">
        <v>74</v>
      </c>
      <c r="O94" s="42"/>
      <c r="P94" s="43"/>
    </row>
    <row r="95" spans="1:16" ht="15.75" customHeight="1" x14ac:dyDescent="0.3">
      <c r="A95" s="11"/>
      <c r="B95" s="11"/>
      <c r="D95" s="35" t="s">
        <v>4</v>
      </c>
      <c r="E95" s="44">
        <v>45367</v>
      </c>
      <c r="F95" s="37"/>
      <c r="G95" s="45">
        <v>9.1666666666666674E-2</v>
      </c>
      <c r="H95" s="46"/>
      <c r="I95" s="40"/>
      <c r="J95" s="47" t="s">
        <v>7</v>
      </c>
      <c r="K95" s="48"/>
      <c r="L95" s="46"/>
      <c r="M95" s="46"/>
      <c r="N95" s="46" t="s">
        <v>74</v>
      </c>
      <c r="O95" s="49"/>
      <c r="P95" s="50"/>
    </row>
    <row r="96" spans="1:16" ht="15.75" customHeight="1" x14ac:dyDescent="0.3">
      <c r="A96" s="11"/>
      <c r="B96" s="11"/>
      <c r="D96" s="35" t="s">
        <v>3</v>
      </c>
      <c r="E96" s="44">
        <v>45367</v>
      </c>
      <c r="F96" s="37"/>
      <c r="G96" s="45">
        <v>0.58750000000000002</v>
      </c>
      <c r="H96" s="46">
        <f t="shared" ref="H96" si="29">IF((E96=0),"0",IF((E96=E95+1),(((24-INT(G95))+INT(G96))-1),(INT(G96)-INT(G95)-1))+((1-((G95-INT(G95))/0.6))+((G96-INT(G96))/0.6)))+(F96)</f>
        <v>0.82638888888888884</v>
      </c>
      <c r="I96" s="40"/>
      <c r="J96" s="47" t="s">
        <v>6</v>
      </c>
      <c r="K96" s="46">
        <v>26</v>
      </c>
      <c r="L96" s="46">
        <v>120.1</v>
      </c>
      <c r="M96" s="46">
        <f>IF(D96="eosp",L96/H96,"")</f>
        <v>145.33109243697479</v>
      </c>
      <c r="N96" s="46" t="s">
        <v>76</v>
      </c>
      <c r="O96" s="51">
        <v>0.48</v>
      </c>
      <c r="P96" s="52">
        <v>128.9</v>
      </c>
    </row>
    <row r="97" spans="1:16" ht="15.75" customHeight="1" x14ac:dyDescent="0.3">
      <c r="A97" s="11"/>
      <c r="B97" s="11"/>
      <c r="D97" s="35"/>
      <c r="E97" s="36"/>
      <c r="F97" s="37"/>
      <c r="G97" s="38"/>
      <c r="H97" s="39"/>
      <c r="I97" s="40"/>
      <c r="J97" s="41"/>
      <c r="K97" s="39"/>
      <c r="L97" s="39"/>
      <c r="M97" s="39"/>
      <c r="N97" s="39" t="s">
        <v>74</v>
      </c>
      <c r="O97" s="42"/>
      <c r="P97" s="43"/>
    </row>
    <row r="98" spans="1:16" ht="15.75" customHeight="1" x14ac:dyDescent="0.3">
      <c r="A98" s="11"/>
      <c r="B98" s="11"/>
      <c r="D98" s="35" t="s">
        <v>4</v>
      </c>
      <c r="E98" s="44">
        <v>45370</v>
      </c>
      <c r="F98" s="37"/>
      <c r="G98" s="45">
        <v>0.72083333333333333</v>
      </c>
      <c r="H98" s="46"/>
      <c r="I98" s="40"/>
      <c r="J98" s="47" t="s">
        <v>7</v>
      </c>
      <c r="K98" s="48"/>
      <c r="L98" s="46"/>
      <c r="M98" s="46"/>
      <c r="N98" s="46" t="s">
        <v>74</v>
      </c>
      <c r="O98" s="49"/>
      <c r="P98" s="50"/>
    </row>
    <row r="99" spans="1:16" ht="15.75" customHeight="1" x14ac:dyDescent="0.3">
      <c r="A99" s="11"/>
      <c r="B99" s="11"/>
      <c r="D99" s="35" t="s">
        <v>3</v>
      </c>
      <c r="E99" s="44">
        <v>45371</v>
      </c>
      <c r="F99" s="37"/>
      <c r="G99" s="45">
        <v>0.28333333333333333</v>
      </c>
      <c r="H99" s="46">
        <f t="shared" ref="H99" si="30">IF((E99=0),"0",IF((E99=E98+1),(((24-INT(G98))+INT(G99))-1),(INT(G99)-INT(G98)-1))+((1-((G98-INT(G98))/0.6))+((G99-INT(G99))/0.6)))+(F99)</f>
        <v>23.270833333333332</v>
      </c>
      <c r="I99" s="40"/>
      <c r="J99" s="47" t="s">
        <v>6</v>
      </c>
      <c r="K99" s="46">
        <v>27.8</v>
      </c>
      <c r="L99" s="46">
        <v>127</v>
      </c>
      <c r="M99" s="46">
        <f>IF(D99="eosp",L99/H99,"")</f>
        <v>5.4574753804834382</v>
      </c>
      <c r="N99" s="46" t="s">
        <v>51</v>
      </c>
      <c r="O99" s="51">
        <v>0.43</v>
      </c>
      <c r="P99" s="52">
        <v>122.8</v>
      </c>
    </row>
    <row r="100" spans="1:16" ht="15.75" customHeight="1" x14ac:dyDescent="0.3">
      <c r="A100" s="11"/>
      <c r="B100" s="11"/>
      <c r="D100" s="35"/>
      <c r="E100" s="36"/>
      <c r="F100" s="37"/>
      <c r="G100" s="38"/>
      <c r="H100" s="39"/>
      <c r="I100" s="40"/>
      <c r="J100" s="41"/>
      <c r="K100" s="39"/>
      <c r="L100" s="39"/>
      <c r="M100" s="39"/>
      <c r="N100" s="39" t="s">
        <v>74</v>
      </c>
      <c r="O100" s="42"/>
      <c r="P100" s="43"/>
    </row>
    <row r="101" spans="1:16" ht="15.75" customHeight="1" x14ac:dyDescent="0.3">
      <c r="A101" s="11"/>
      <c r="B101" s="11"/>
      <c r="D101" s="35" t="s">
        <v>4</v>
      </c>
      <c r="E101" s="44">
        <v>45372</v>
      </c>
      <c r="F101" s="37"/>
      <c r="G101" s="45">
        <v>3.3333333333333333E-2</v>
      </c>
      <c r="H101" s="46"/>
      <c r="I101" s="40"/>
      <c r="J101" s="47" t="s">
        <v>8</v>
      </c>
      <c r="K101" s="48"/>
      <c r="L101" s="46"/>
      <c r="M101" s="46"/>
      <c r="N101" s="46" t="s">
        <v>74</v>
      </c>
      <c r="O101" s="49"/>
      <c r="P101" s="50"/>
    </row>
    <row r="102" spans="1:16" ht="15.75" customHeight="1" x14ac:dyDescent="0.3">
      <c r="A102" s="11"/>
      <c r="B102" s="11"/>
      <c r="D102" s="35" t="s">
        <v>3</v>
      </c>
      <c r="E102" s="44">
        <v>45372</v>
      </c>
      <c r="F102" s="37"/>
      <c r="G102" s="45">
        <v>0.58333333333333337</v>
      </c>
      <c r="H102" s="46">
        <f t="shared" ref="H102" si="31">IF((E102=0),"0",IF((E102=E101+1),(((24-INT(G101))+INT(G102))-1),(INT(G102)-INT(G101)-1))+((1-((G101-INT(G101))/0.6))+((G102-INT(G102))/0.6)))+(F102)</f>
        <v>0.91666666666666674</v>
      </c>
      <c r="I102" s="40"/>
      <c r="J102" s="47" t="s">
        <v>5</v>
      </c>
      <c r="K102" s="46">
        <v>27.9</v>
      </c>
      <c r="L102" s="46">
        <v>125</v>
      </c>
      <c r="M102" s="46">
        <f>IF(D102="eosp",L102/H102,"")</f>
        <v>136.36363636363635</v>
      </c>
      <c r="N102" s="46" t="s">
        <v>51</v>
      </c>
      <c r="O102" s="51">
        <v>0.42</v>
      </c>
      <c r="P102" s="52">
        <v>123.8</v>
      </c>
    </row>
    <row r="103" spans="1:16" ht="15.75" customHeight="1" x14ac:dyDescent="0.3">
      <c r="A103" s="11"/>
      <c r="B103" s="11"/>
      <c r="D103" s="35"/>
      <c r="E103" s="36"/>
      <c r="F103" s="37"/>
      <c r="G103" s="38"/>
      <c r="H103" s="39"/>
      <c r="I103" s="40"/>
      <c r="J103" s="41"/>
      <c r="K103" s="39"/>
      <c r="L103" s="39"/>
      <c r="M103" s="39"/>
      <c r="N103" s="39" t="s">
        <v>74</v>
      </c>
      <c r="O103" s="42"/>
      <c r="P103" s="43"/>
    </row>
    <row r="104" spans="1:16" ht="15.75" customHeight="1" x14ac:dyDescent="0.3">
      <c r="A104" s="11"/>
      <c r="B104" s="11"/>
      <c r="D104" s="35" t="s">
        <v>4</v>
      </c>
      <c r="E104" s="44">
        <v>45373</v>
      </c>
      <c r="F104" s="37"/>
      <c r="G104" s="45">
        <v>0.55833333333333335</v>
      </c>
      <c r="H104" s="46"/>
      <c r="I104" s="40"/>
      <c r="J104" s="47" t="s">
        <v>7</v>
      </c>
      <c r="K104" s="48"/>
      <c r="L104" s="46"/>
      <c r="M104" s="46"/>
      <c r="N104" s="46" t="s">
        <v>74</v>
      </c>
      <c r="O104" s="49"/>
      <c r="P104" s="50"/>
    </row>
    <row r="105" spans="1:16" ht="15.75" customHeight="1" x14ac:dyDescent="0.3">
      <c r="A105" s="11"/>
      <c r="B105" s="11"/>
      <c r="D105" s="35" t="s">
        <v>3</v>
      </c>
      <c r="E105" s="44">
        <v>45374</v>
      </c>
      <c r="F105" s="37"/>
      <c r="G105" s="45">
        <v>8.7500000000000008E-2</v>
      </c>
      <c r="H105" s="46">
        <f t="shared" ref="H105" si="32">IF((E105=0),"0",IF((E105=E104+1),(((24-INT(G104))+INT(G105))-1),(INT(G105)-INT(G104)-1))+((1-((G104-INT(G104))/0.6))+((G105-INT(G105))/0.6)))+(F105)</f>
        <v>23.215277777777779</v>
      </c>
      <c r="I105" s="40"/>
      <c r="J105" s="47" t="s">
        <v>6</v>
      </c>
      <c r="K105" s="46">
        <v>24.5</v>
      </c>
      <c r="L105" s="46">
        <v>125</v>
      </c>
      <c r="M105" s="46">
        <f>IF(D105="eosp",L105/H105,"")</f>
        <v>5.3843852826802268</v>
      </c>
      <c r="N105" s="46" t="s">
        <v>52</v>
      </c>
      <c r="O105" s="51">
        <v>0.43</v>
      </c>
      <c r="P105" s="52">
        <v>122.8</v>
      </c>
    </row>
    <row r="106" spans="1:16" ht="15.75" customHeight="1" x14ac:dyDescent="0.3">
      <c r="A106" s="11"/>
      <c r="B106" s="11"/>
      <c r="D106" s="35"/>
      <c r="E106" s="36"/>
      <c r="F106" s="37"/>
      <c r="G106" s="38"/>
      <c r="H106" s="39"/>
      <c r="I106" s="40"/>
      <c r="J106" s="41"/>
      <c r="K106" s="39"/>
      <c r="L106" s="39"/>
      <c r="M106" s="39"/>
      <c r="N106" s="39" t="s">
        <v>74</v>
      </c>
      <c r="O106" s="42"/>
      <c r="P106" s="43"/>
    </row>
    <row r="107" spans="1:16" ht="15.75" customHeight="1" x14ac:dyDescent="0.3">
      <c r="A107" s="11"/>
      <c r="B107" s="11"/>
      <c r="D107" s="35" t="s">
        <v>4</v>
      </c>
      <c r="E107" s="44">
        <v>45374</v>
      </c>
      <c r="F107" s="37"/>
      <c r="G107" s="45">
        <v>0.7416666666666667</v>
      </c>
      <c r="H107" s="46"/>
      <c r="I107" s="40"/>
      <c r="J107" s="47" t="s">
        <v>8</v>
      </c>
      <c r="K107" s="48"/>
      <c r="L107" s="46"/>
      <c r="M107" s="46"/>
      <c r="N107" s="46" t="s">
        <v>74</v>
      </c>
      <c r="O107" s="49"/>
      <c r="P107" s="50"/>
    </row>
    <row r="108" spans="1:16" ht="15.75" customHeight="1" x14ac:dyDescent="0.3">
      <c r="A108" s="11"/>
      <c r="B108" s="11"/>
      <c r="D108" s="35" t="s">
        <v>3</v>
      </c>
      <c r="E108" s="44">
        <v>45375</v>
      </c>
      <c r="F108" s="37"/>
      <c r="G108" s="45">
        <v>0.20833333333333334</v>
      </c>
      <c r="H108" s="46">
        <f t="shared" ref="H108" si="33">IF((E108=0),"0",IF((E108=E107+1),(((24-INT(G107))+INT(G108))-1),(INT(G108)-INT(G107)-1))+((1-((G107-INT(G107))/0.6))+((G108-INT(G108))/0.6)))+(F108)</f>
        <v>23.111111111111111</v>
      </c>
      <c r="I108" s="40"/>
      <c r="J108" s="47" t="s">
        <v>5</v>
      </c>
      <c r="K108" s="46">
        <v>18</v>
      </c>
      <c r="L108" s="46">
        <v>120</v>
      </c>
      <c r="M108" s="46">
        <f>IF(D108="eosp",L108/H108,"")</f>
        <v>5.1923076923076925</v>
      </c>
      <c r="N108" s="46" t="s">
        <v>77</v>
      </c>
      <c r="O108" s="51">
        <v>0.44</v>
      </c>
      <c r="P108" s="52">
        <v>123.2</v>
      </c>
    </row>
    <row r="109" spans="1:16" ht="15.75" customHeight="1" x14ac:dyDescent="0.3">
      <c r="A109" s="11"/>
      <c r="B109" s="11"/>
      <c r="D109" s="35"/>
      <c r="E109" s="36"/>
      <c r="F109" s="37"/>
      <c r="G109" s="38"/>
      <c r="H109" s="39"/>
      <c r="I109" s="40"/>
      <c r="J109" s="41"/>
      <c r="K109" s="39"/>
      <c r="L109" s="39"/>
      <c r="M109" s="39"/>
      <c r="N109" s="39" t="s">
        <v>74</v>
      </c>
      <c r="O109" s="42"/>
      <c r="P109" s="43"/>
    </row>
    <row r="110" spans="1:16" ht="15.75" customHeight="1" x14ac:dyDescent="0.3">
      <c r="A110" s="11"/>
      <c r="B110" s="11"/>
      <c r="D110" s="35" t="s">
        <v>4</v>
      </c>
      <c r="E110" s="44">
        <v>45376</v>
      </c>
      <c r="F110" s="37"/>
      <c r="G110" s="45">
        <v>0.77916666666666667</v>
      </c>
      <c r="H110" s="46"/>
      <c r="I110" s="40"/>
      <c r="J110" s="47" t="s">
        <v>7</v>
      </c>
      <c r="K110" s="48"/>
      <c r="L110" s="46"/>
      <c r="M110" s="46"/>
      <c r="N110" s="46" t="s">
        <v>74</v>
      </c>
      <c r="O110" s="49"/>
      <c r="P110" s="50"/>
    </row>
    <row r="111" spans="1:16" ht="15.75" customHeight="1" x14ac:dyDescent="0.3">
      <c r="A111" s="11"/>
      <c r="B111" s="11"/>
      <c r="D111" s="35" t="s">
        <v>3</v>
      </c>
      <c r="E111" s="44">
        <v>45377</v>
      </c>
      <c r="F111" s="37"/>
      <c r="G111" s="45">
        <v>0.32083333333333336</v>
      </c>
      <c r="H111" s="46">
        <f t="shared" ref="H111" si="34">IF((E111=0),"0",IF((E111=E110+1),(((24-INT(G110))+INT(G111))-1),(INT(G111)-INT(G110)-1))+((1-((G110-INT(G110))/0.6))+((G111-INT(G111))/0.6)))+(F111)</f>
        <v>23.236111111111111</v>
      </c>
      <c r="I111" s="40"/>
      <c r="J111" s="47" t="s">
        <v>6</v>
      </c>
      <c r="K111" s="46">
        <v>26.6</v>
      </c>
      <c r="L111" s="46">
        <v>125</v>
      </c>
      <c r="M111" s="46">
        <f>IF(D111="eosp",L111/H111,"")</f>
        <v>5.3795576808129111</v>
      </c>
      <c r="N111" s="46" t="s">
        <v>52</v>
      </c>
      <c r="O111" s="51">
        <v>0.45</v>
      </c>
      <c r="P111" s="52">
        <v>123.4</v>
      </c>
    </row>
    <row r="112" spans="1:16" ht="15.75" customHeight="1" x14ac:dyDescent="0.3">
      <c r="A112" s="11"/>
      <c r="B112" s="11"/>
      <c r="D112" s="35"/>
      <c r="E112" s="36"/>
      <c r="F112" s="37"/>
      <c r="G112" s="38"/>
      <c r="H112" s="39"/>
      <c r="I112" s="40"/>
      <c r="J112" s="41"/>
      <c r="K112" s="39"/>
      <c r="L112" s="39"/>
      <c r="M112" s="39"/>
      <c r="N112" s="39" t="s">
        <v>74</v>
      </c>
      <c r="O112" s="42"/>
      <c r="P112" s="43"/>
    </row>
    <row r="113" spans="1:16" ht="15.75" customHeight="1" x14ac:dyDescent="0.3">
      <c r="A113" s="11"/>
      <c r="B113" s="11"/>
      <c r="D113" s="35" t="s">
        <v>4</v>
      </c>
      <c r="E113" s="44">
        <v>45378</v>
      </c>
      <c r="F113" s="37"/>
      <c r="G113" s="45">
        <v>0.41666666666666669</v>
      </c>
      <c r="H113" s="46"/>
      <c r="I113" s="40"/>
      <c r="J113" s="47" t="s">
        <v>8</v>
      </c>
      <c r="K113" s="48"/>
      <c r="L113" s="46"/>
      <c r="M113" s="46"/>
      <c r="N113" s="46" t="s">
        <v>74</v>
      </c>
      <c r="O113" s="49"/>
      <c r="P113" s="50"/>
    </row>
    <row r="114" spans="1:16" ht="15.75" customHeight="1" x14ac:dyDescent="0.3">
      <c r="A114" s="11"/>
      <c r="B114" s="11"/>
      <c r="D114" s="35" t="s">
        <v>3</v>
      </c>
      <c r="E114" s="44">
        <v>45378</v>
      </c>
      <c r="F114" s="37"/>
      <c r="G114" s="45">
        <v>0.96666666666666667</v>
      </c>
      <c r="H114" s="46">
        <f t="shared" ref="H114" si="35">IF((E114=0),"0",IF((E114=E113+1),(((24-INT(G113))+INT(G114))-1),(INT(G114)-INT(G113)-1))+((1-((G113-INT(G113))/0.6))+((G114-INT(G114))/0.6)))+(F114)</f>
        <v>0.91666666666666652</v>
      </c>
      <c r="I114" s="40"/>
      <c r="J114" s="47" t="s">
        <v>5</v>
      </c>
      <c r="K114" s="46">
        <v>27.5</v>
      </c>
      <c r="L114" s="46">
        <v>126</v>
      </c>
      <c r="M114" s="46">
        <f>IF(D114="eosp",L114/H114,"")</f>
        <v>137.45454545454547</v>
      </c>
      <c r="N114" s="46" t="s">
        <v>31</v>
      </c>
      <c r="O114" s="51">
        <v>0.45</v>
      </c>
      <c r="P114" s="52">
        <v>124</v>
      </c>
    </row>
    <row r="115" spans="1:16" ht="15.75" customHeight="1" x14ac:dyDescent="0.3">
      <c r="A115" s="11"/>
      <c r="B115" s="11"/>
      <c r="D115" s="35"/>
      <c r="E115" s="36"/>
      <c r="F115" s="37"/>
      <c r="G115" s="38"/>
      <c r="H115" s="39"/>
      <c r="I115" s="40"/>
      <c r="J115" s="41"/>
      <c r="K115" s="39"/>
      <c r="L115" s="39"/>
      <c r="M115" s="39"/>
      <c r="N115" s="39" t="s">
        <v>74</v>
      </c>
      <c r="O115" s="42"/>
      <c r="P115" s="43"/>
    </row>
    <row r="116" spans="1:16" ht="15.75" customHeight="1" x14ac:dyDescent="0.3">
      <c r="A116" s="11"/>
      <c r="B116" s="11"/>
      <c r="D116" s="35" t="s">
        <v>4</v>
      </c>
      <c r="E116" s="44">
        <v>45379</v>
      </c>
      <c r="F116" s="37"/>
      <c r="G116" s="45">
        <v>0.9291666666666667</v>
      </c>
      <c r="H116" s="46"/>
      <c r="I116" s="40"/>
      <c r="J116" s="47" t="s">
        <v>7</v>
      </c>
      <c r="K116" s="48"/>
      <c r="L116" s="46"/>
      <c r="M116" s="46"/>
      <c r="N116" s="46" t="s">
        <v>74</v>
      </c>
      <c r="O116" s="49"/>
      <c r="P116" s="50"/>
    </row>
    <row r="117" spans="1:16" ht="15.75" customHeight="1" x14ac:dyDescent="0.3">
      <c r="A117" s="11"/>
      <c r="B117" s="11"/>
      <c r="D117" s="35" t="s">
        <v>3</v>
      </c>
      <c r="E117" s="44">
        <v>45380</v>
      </c>
      <c r="F117" s="37"/>
      <c r="G117" s="45">
        <v>0.45833333333333331</v>
      </c>
      <c r="H117" s="46">
        <f t="shared" ref="H117" si="36">IF((E117=0),"0",IF((E117=E116+1),(((24-INT(G116))+INT(G117))-1),(INT(G117)-INT(G116)-1))+((1-((G116-INT(G116))/0.6))+((G117-INT(G117))/0.6)))+(F117)</f>
        <v>23.215277777777779</v>
      </c>
      <c r="I117" s="40"/>
      <c r="J117" s="47" t="s">
        <v>6</v>
      </c>
      <c r="K117" s="46">
        <v>26.5</v>
      </c>
      <c r="L117" s="46">
        <v>123</v>
      </c>
      <c r="M117" s="46">
        <f>IF(D117="eosp",L117/H117,"")</f>
        <v>5.2982351181573435</v>
      </c>
      <c r="N117" s="46" t="s">
        <v>37</v>
      </c>
      <c r="O117" s="51">
        <v>0.45</v>
      </c>
      <c r="P117" s="52">
        <v>124.2</v>
      </c>
    </row>
    <row r="118" spans="1:16" ht="15.75" customHeight="1" x14ac:dyDescent="0.3">
      <c r="A118" s="11"/>
      <c r="B118" s="11"/>
      <c r="D118" s="35"/>
      <c r="E118" s="36"/>
      <c r="F118" s="37"/>
      <c r="G118" s="38"/>
      <c r="H118" s="39"/>
      <c r="I118" s="40"/>
      <c r="J118" s="41"/>
      <c r="K118" s="39"/>
      <c r="L118" s="39"/>
      <c r="M118" s="39"/>
      <c r="N118" s="39" t="s">
        <v>74</v>
      </c>
      <c r="O118" s="42"/>
      <c r="P118" s="43"/>
    </row>
    <row r="119" spans="1:16" ht="15.75" customHeight="1" x14ac:dyDescent="0.3">
      <c r="A119" s="11"/>
      <c r="B119" s="11"/>
      <c r="D119" s="35" t="s">
        <v>4</v>
      </c>
      <c r="E119" s="44">
        <v>45383</v>
      </c>
      <c r="F119" s="37"/>
      <c r="G119" s="45">
        <v>0.3833333333333333</v>
      </c>
      <c r="H119" s="46"/>
      <c r="I119" s="40"/>
      <c r="J119" s="47" t="s">
        <v>7</v>
      </c>
      <c r="K119" s="48"/>
      <c r="L119" s="46"/>
      <c r="M119" s="46"/>
      <c r="N119" s="46" t="s">
        <v>74</v>
      </c>
      <c r="O119" s="49"/>
      <c r="P119" s="50"/>
    </row>
    <row r="120" spans="1:16" ht="15.75" customHeight="1" x14ac:dyDescent="0.3">
      <c r="A120" s="11"/>
      <c r="B120" s="11"/>
      <c r="D120" s="35" t="s">
        <v>3</v>
      </c>
      <c r="E120" s="44">
        <v>45383</v>
      </c>
      <c r="F120" s="37"/>
      <c r="G120" s="45">
        <v>0.875</v>
      </c>
      <c r="H120" s="46">
        <f t="shared" ref="H120" si="37">IF((E120=0),"0",IF((E120=E119+1),(((24-INT(G119))+INT(G120))-1),(INT(G120)-INT(G119)-1))+((1-((G119-INT(G119))/0.6))+((G120-INT(G120))/0.6)))+(F120)</f>
        <v>0.81944444444444464</v>
      </c>
      <c r="I120" s="40"/>
      <c r="J120" s="47" t="s">
        <v>6</v>
      </c>
      <c r="K120" s="46">
        <v>21</v>
      </c>
      <c r="L120" s="46">
        <v>122</v>
      </c>
      <c r="M120" s="46">
        <f>IF(D120="eosp",L120/H120,"")</f>
        <v>148.88135593220335</v>
      </c>
      <c r="N120" s="46" t="s">
        <v>38</v>
      </c>
      <c r="O120" s="51">
        <v>0.45</v>
      </c>
      <c r="P120" s="52">
        <v>123.1</v>
      </c>
    </row>
    <row r="121" spans="1:16" ht="15.75" customHeight="1" x14ac:dyDescent="0.3">
      <c r="A121" s="11"/>
      <c r="B121" s="11"/>
      <c r="D121" s="35"/>
      <c r="E121" s="36"/>
      <c r="F121" s="37"/>
      <c r="G121" s="38"/>
      <c r="H121" s="39"/>
      <c r="I121" s="40"/>
      <c r="J121" s="41"/>
      <c r="K121" s="39"/>
      <c r="L121" s="39"/>
      <c r="M121" s="39"/>
      <c r="N121" s="39" t="s">
        <v>74</v>
      </c>
      <c r="O121" s="42"/>
      <c r="P121" s="43"/>
    </row>
    <row r="122" spans="1:16" ht="15.75" customHeight="1" x14ac:dyDescent="0.3">
      <c r="A122" s="11"/>
      <c r="B122" s="11"/>
      <c r="D122" s="35" t="s">
        <v>4</v>
      </c>
      <c r="E122" s="44">
        <v>45384</v>
      </c>
      <c r="F122" s="37"/>
      <c r="G122" s="45">
        <v>0.80833333333333324</v>
      </c>
      <c r="H122" s="46"/>
      <c r="I122" s="40"/>
      <c r="J122" s="47" t="s">
        <v>8</v>
      </c>
      <c r="K122" s="48"/>
      <c r="L122" s="46"/>
      <c r="M122" s="46"/>
      <c r="N122" s="46" t="s">
        <v>74</v>
      </c>
      <c r="O122" s="49"/>
      <c r="P122" s="50"/>
    </row>
    <row r="123" spans="1:16" ht="15.75" customHeight="1" x14ac:dyDescent="0.3">
      <c r="A123" s="11"/>
      <c r="B123" s="11"/>
      <c r="D123" s="35" t="s">
        <v>3</v>
      </c>
      <c r="E123" s="44">
        <v>45385</v>
      </c>
      <c r="F123" s="37"/>
      <c r="G123" s="45">
        <v>0.29166666666666669</v>
      </c>
      <c r="H123" s="46">
        <f t="shared" ref="H123" si="38">IF((E123=0),"0",IF((E123=E122+1),(((24-INT(G122))+INT(G123))-1),(INT(G123)-INT(G122)-1))+((1-((G122-INT(G122))/0.6))+((G123-INT(G123))/0.6)))+(F123)</f>
        <v>23.138888888888889</v>
      </c>
      <c r="I123" s="40"/>
      <c r="J123" s="47" t="s">
        <v>5</v>
      </c>
      <c r="K123" s="46">
        <v>19.7</v>
      </c>
      <c r="L123" s="46">
        <v>123</v>
      </c>
      <c r="M123" s="46">
        <f>IF(D123="eosp",L123/H123,"")</f>
        <v>5.3157262905162064</v>
      </c>
      <c r="N123" s="46" t="s">
        <v>38</v>
      </c>
      <c r="O123" s="51">
        <v>0.47</v>
      </c>
      <c r="P123" s="52">
        <v>124.3</v>
      </c>
    </row>
    <row r="124" spans="1:16" ht="15.75" customHeight="1" x14ac:dyDescent="0.3">
      <c r="A124" s="11"/>
      <c r="B124" s="11"/>
      <c r="D124" s="35"/>
      <c r="E124" s="36"/>
      <c r="F124" s="37"/>
      <c r="G124" s="38"/>
      <c r="H124" s="39"/>
      <c r="I124" s="40"/>
      <c r="J124" s="41"/>
      <c r="K124" s="39"/>
      <c r="L124" s="39"/>
      <c r="M124" s="39"/>
      <c r="N124" s="39" t="s">
        <v>74</v>
      </c>
      <c r="O124" s="42"/>
      <c r="P124" s="43"/>
    </row>
    <row r="125" spans="1:16" ht="15.75" customHeight="1" x14ac:dyDescent="0.3">
      <c r="A125" s="11"/>
      <c r="B125" s="11"/>
      <c r="D125" s="35" t="s">
        <v>4</v>
      </c>
      <c r="E125" s="44">
        <v>45386</v>
      </c>
      <c r="F125" s="37"/>
      <c r="G125" s="45">
        <v>0.29166666666666669</v>
      </c>
      <c r="H125" s="46"/>
      <c r="I125" s="40"/>
      <c r="J125" s="47" t="s">
        <v>7</v>
      </c>
      <c r="K125" s="48"/>
      <c r="L125" s="46"/>
      <c r="M125" s="46"/>
      <c r="N125" s="46" t="s">
        <v>74</v>
      </c>
      <c r="O125" s="49"/>
      <c r="P125" s="50"/>
    </row>
    <row r="126" spans="1:16" ht="15.75" customHeight="1" x14ac:dyDescent="0.3">
      <c r="A126" s="11"/>
      <c r="B126" s="11"/>
      <c r="D126" s="35" t="s">
        <v>3</v>
      </c>
      <c r="E126" s="44">
        <v>45386</v>
      </c>
      <c r="F126" s="37"/>
      <c r="G126" s="45">
        <v>0.75</v>
      </c>
      <c r="H126" s="46">
        <f t="shared" ref="H126" si="39">IF((E126=0),"0",IF((E126=E125+1),(((24-INT(G125))+INT(G126))-1),(INT(G126)-INT(G125)-1))+((1-((G125-INT(G125))/0.6))+((G126-INT(G126))/0.6)))+(F126)</f>
        <v>0.76388888888888884</v>
      </c>
      <c r="I126" s="40"/>
      <c r="J126" s="47" t="s">
        <v>6</v>
      </c>
      <c r="K126" s="46">
        <v>21.4</v>
      </c>
      <c r="L126" s="46">
        <v>120</v>
      </c>
      <c r="M126" s="46">
        <f>IF(D126="eosp",L126/H126,"")</f>
        <v>157.09090909090909</v>
      </c>
      <c r="N126" s="46" t="s">
        <v>37</v>
      </c>
      <c r="O126" s="51">
        <v>0.53</v>
      </c>
      <c r="P126" s="52">
        <v>130.6</v>
      </c>
    </row>
    <row r="127" spans="1:16" ht="15.75" customHeight="1" x14ac:dyDescent="0.3">
      <c r="A127" s="11"/>
      <c r="B127" s="11"/>
      <c r="D127" s="35"/>
      <c r="E127" s="36"/>
      <c r="F127" s="37"/>
      <c r="G127" s="38"/>
      <c r="H127" s="39"/>
      <c r="I127" s="40"/>
      <c r="J127" s="41"/>
      <c r="K127" s="39"/>
      <c r="L127" s="39"/>
      <c r="M127" s="39"/>
      <c r="N127" s="39" t="s">
        <v>74</v>
      </c>
      <c r="O127" s="42"/>
      <c r="P127" s="43"/>
    </row>
    <row r="128" spans="1:16" ht="15.75" customHeight="1" x14ac:dyDescent="0.3">
      <c r="A128" s="11"/>
      <c r="B128" s="11"/>
      <c r="D128" s="35" t="s">
        <v>4</v>
      </c>
      <c r="E128" s="44">
        <v>45387</v>
      </c>
      <c r="F128" s="37"/>
      <c r="G128" s="45">
        <v>0.7416666666666667</v>
      </c>
      <c r="H128" s="46"/>
      <c r="I128" s="40"/>
      <c r="J128" s="47" t="s">
        <v>8</v>
      </c>
      <c r="K128" s="48"/>
      <c r="L128" s="46"/>
      <c r="M128" s="46"/>
      <c r="N128" s="46" t="s">
        <v>74</v>
      </c>
      <c r="O128" s="49"/>
      <c r="P128" s="50"/>
    </row>
    <row r="129" spans="1:16" ht="15.75" customHeight="1" x14ac:dyDescent="0.3">
      <c r="A129" s="11"/>
      <c r="B129" s="11"/>
      <c r="D129" s="35" t="s">
        <v>3</v>
      </c>
      <c r="E129" s="44">
        <v>45388</v>
      </c>
      <c r="F129" s="37"/>
      <c r="G129" s="45">
        <v>0.21666666666666667</v>
      </c>
      <c r="H129" s="46">
        <f t="shared" ref="H129" si="40">IF((E129=0),"0",IF((E129=E128+1),(((24-INT(G128))+INT(G129))-1),(INT(G129)-INT(G128)-1))+((1-((G128-INT(G128))/0.6))+((G129-INT(G129))/0.6)))+(F129)</f>
        <v>23.125</v>
      </c>
      <c r="I129" s="40"/>
      <c r="J129" s="47" t="s">
        <v>5</v>
      </c>
      <c r="K129" s="46">
        <v>18.899999999999999</v>
      </c>
      <c r="L129" s="46">
        <v>120</v>
      </c>
      <c r="M129" s="46">
        <f>IF(D129="eosp",L129/H129,"")</f>
        <v>5.1891891891891895</v>
      </c>
      <c r="N129" s="46" t="s">
        <v>42</v>
      </c>
      <c r="O129" s="51">
        <v>0.43</v>
      </c>
      <c r="P129" s="52">
        <v>122.3</v>
      </c>
    </row>
    <row r="130" spans="1:16" ht="15.75" customHeight="1" x14ac:dyDescent="0.3">
      <c r="A130" s="11"/>
      <c r="B130" s="11"/>
      <c r="D130" s="35"/>
      <c r="E130" s="36"/>
      <c r="F130" s="37"/>
      <c r="G130" s="38"/>
      <c r="H130" s="39"/>
      <c r="I130" s="40"/>
      <c r="J130" s="41"/>
      <c r="K130" s="39"/>
      <c r="L130" s="39"/>
      <c r="M130" s="39"/>
      <c r="N130" s="39" t="s">
        <v>74</v>
      </c>
      <c r="O130" s="42"/>
      <c r="P130" s="43"/>
    </row>
    <row r="131" spans="1:16" ht="15.75" customHeight="1" x14ac:dyDescent="0.3">
      <c r="A131" s="11"/>
      <c r="B131" s="11"/>
      <c r="D131" s="35" t="s">
        <v>4</v>
      </c>
      <c r="E131" s="44">
        <v>45389</v>
      </c>
      <c r="F131" s="37"/>
      <c r="G131" s="45">
        <v>0.15</v>
      </c>
      <c r="H131" s="46"/>
      <c r="I131" s="40"/>
      <c r="J131" s="47" t="s">
        <v>7</v>
      </c>
      <c r="K131" s="48"/>
      <c r="L131" s="46"/>
      <c r="M131" s="46"/>
      <c r="N131" s="46" t="s">
        <v>74</v>
      </c>
      <c r="O131" s="49"/>
      <c r="P131" s="50"/>
    </row>
    <row r="132" spans="1:16" ht="15.75" customHeight="1" x14ac:dyDescent="0.3">
      <c r="A132" s="11"/>
      <c r="B132" s="11"/>
      <c r="D132" s="35" t="s">
        <v>3</v>
      </c>
      <c r="E132" s="44">
        <v>45389</v>
      </c>
      <c r="F132" s="37"/>
      <c r="G132" s="45">
        <v>0.65416666666666667</v>
      </c>
      <c r="H132" s="46">
        <f t="shared" ref="H132" si="41">IF((E132=0),"0",IF((E132=E131+1),(((24-INT(G131))+INT(G132))-1),(INT(G132)-INT(G131)-1))+((1-((G131-INT(G131))/0.6))+((G132-INT(G132))/0.6)))+(F132)</f>
        <v>0.8402777777777779</v>
      </c>
      <c r="I132" s="40"/>
      <c r="J132" s="47" t="s">
        <v>6</v>
      </c>
      <c r="K132" s="46">
        <v>26.5</v>
      </c>
      <c r="L132" s="46">
        <v>122</v>
      </c>
      <c r="M132" s="46">
        <f>IF(D132="eosp",L132/H132,"")</f>
        <v>145.19008264462809</v>
      </c>
      <c r="N132" s="46" t="s">
        <v>48</v>
      </c>
      <c r="O132" s="51">
        <v>0.44</v>
      </c>
      <c r="P132" s="52">
        <v>129.19999999999999</v>
      </c>
    </row>
    <row r="133" spans="1:16" ht="15.75" customHeight="1" x14ac:dyDescent="0.3">
      <c r="A133" s="11"/>
      <c r="B133" s="11"/>
      <c r="D133" s="35"/>
      <c r="E133" s="36"/>
      <c r="F133" s="37"/>
      <c r="G133" s="38"/>
      <c r="H133" s="39"/>
      <c r="I133" s="40"/>
      <c r="J133" s="41"/>
      <c r="K133" s="39"/>
      <c r="L133" s="39"/>
      <c r="M133" s="39"/>
      <c r="N133" s="39" t="s">
        <v>74</v>
      </c>
      <c r="O133" s="42"/>
      <c r="P133" s="43"/>
    </row>
    <row r="134" spans="1:16" ht="15.75" customHeight="1" x14ac:dyDescent="0.3">
      <c r="A134" s="11"/>
      <c r="B134" s="11"/>
      <c r="D134" s="35" t="s">
        <v>4</v>
      </c>
      <c r="E134" s="44">
        <v>45390</v>
      </c>
      <c r="F134" s="37"/>
      <c r="G134" s="45">
        <v>0.40416666666666662</v>
      </c>
      <c r="H134" s="46"/>
      <c r="I134" s="40"/>
      <c r="J134" s="47" t="s">
        <v>8</v>
      </c>
      <c r="K134" s="48"/>
      <c r="L134" s="46"/>
      <c r="M134" s="46"/>
      <c r="N134" s="46" t="s">
        <v>74</v>
      </c>
      <c r="O134" s="49"/>
      <c r="P134" s="50"/>
    </row>
    <row r="135" spans="1:16" ht="15.75" customHeight="1" x14ac:dyDescent="0.3">
      <c r="A135" s="11"/>
      <c r="B135" s="11"/>
      <c r="D135" s="35" t="s">
        <v>3</v>
      </c>
      <c r="E135" s="44">
        <v>45390</v>
      </c>
      <c r="F135" s="37"/>
      <c r="G135" s="45">
        <v>0.8833333333333333</v>
      </c>
      <c r="H135" s="46">
        <f t="shared" ref="H135" si="42">IF((E135=0),"0",IF((E135=E134+1),(((24-INT(G134))+INT(G135))-1),(INT(G135)-INT(G134)-1))+((1-((G134-INT(G134))/0.6))+((G135-INT(G135))/0.6)))+(F135)</f>
        <v>0.79861111111111116</v>
      </c>
      <c r="I135" s="40"/>
      <c r="J135" s="47" t="s">
        <v>5</v>
      </c>
      <c r="K135" s="46">
        <v>18</v>
      </c>
      <c r="L135" s="46">
        <v>124</v>
      </c>
      <c r="M135" s="46">
        <f>IF(D135="eosp",L135/H135,"")</f>
        <v>155.26956521739129</v>
      </c>
      <c r="N135" s="46" t="s">
        <v>38</v>
      </c>
      <c r="O135" s="51">
        <v>0.42</v>
      </c>
      <c r="P135" s="52">
        <v>124</v>
      </c>
    </row>
    <row r="136" spans="1:16" ht="15.75" customHeight="1" x14ac:dyDescent="0.3">
      <c r="A136" s="11"/>
      <c r="B136" s="11"/>
      <c r="D136" s="35"/>
      <c r="E136" s="36"/>
      <c r="F136" s="37"/>
      <c r="G136" s="38"/>
      <c r="H136" s="39"/>
      <c r="I136" s="40"/>
      <c r="J136" s="41"/>
      <c r="K136" s="39"/>
      <c r="L136" s="39"/>
      <c r="M136" s="39"/>
      <c r="N136" s="39" t="s">
        <v>74</v>
      </c>
      <c r="O136" s="42"/>
      <c r="P136" s="43"/>
    </row>
    <row r="137" spans="1:16" ht="15.75" customHeight="1" x14ac:dyDescent="0.3">
      <c r="A137" s="11"/>
      <c r="B137" s="11"/>
      <c r="D137" s="35" t="s">
        <v>4</v>
      </c>
      <c r="E137" s="44">
        <v>45391</v>
      </c>
      <c r="F137" s="37"/>
      <c r="G137" s="45">
        <v>0.86249999999999993</v>
      </c>
      <c r="H137" s="46"/>
      <c r="I137" s="40"/>
      <c r="J137" s="47" t="s">
        <v>7</v>
      </c>
      <c r="K137" s="48"/>
      <c r="L137" s="46"/>
      <c r="M137" s="46"/>
      <c r="N137" s="46" t="s">
        <v>74</v>
      </c>
      <c r="O137" s="49"/>
      <c r="P137" s="50"/>
    </row>
    <row r="138" spans="1:16" ht="15.75" customHeight="1" x14ac:dyDescent="0.3">
      <c r="A138" s="11"/>
      <c r="B138" s="11"/>
      <c r="D138" s="35" t="s">
        <v>3</v>
      </c>
      <c r="E138" s="44">
        <v>45392</v>
      </c>
      <c r="F138" s="37"/>
      <c r="G138" s="45">
        <v>0.3833333333333333</v>
      </c>
      <c r="H138" s="46">
        <f t="shared" ref="H138" si="43">IF((E138=0),"0",IF((E138=E137+1),(((24-INT(G137))+INT(G138))-1),(INT(G138)-INT(G137)-1))+((1-((G137-INT(G137))/0.6))+((G138-INT(G138))/0.6)))+(F138)</f>
        <v>23.201388888888889</v>
      </c>
      <c r="I138" s="40"/>
      <c r="J138" s="47" t="s">
        <v>6</v>
      </c>
      <c r="K138" s="46">
        <v>24.9</v>
      </c>
      <c r="L138" s="46">
        <v>123</v>
      </c>
      <c r="M138" s="46">
        <f>IF(D138="eosp",L138/H138,"")</f>
        <v>5.3014067644417837</v>
      </c>
      <c r="N138" s="46" t="s">
        <v>43</v>
      </c>
      <c r="O138" s="51">
        <v>0.48</v>
      </c>
      <c r="P138" s="52">
        <v>123.5</v>
      </c>
    </row>
    <row r="139" spans="1:16" ht="15.75" customHeight="1" x14ac:dyDescent="0.3">
      <c r="A139" s="11"/>
      <c r="B139" s="11"/>
      <c r="D139" s="35"/>
      <c r="E139" s="36"/>
      <c r="F139" s="37"/>
      <c r="G139" s="38"/>
      <c r="H139" s="39"/>
      <c r="I139" s="40"/>
      <c r="J139" s="41"/>
      <c r="K139" s="39"/>
      <c r="L139" s="39"/>
      <c r="M139" s="39"/>
      <c r="N139" s="39" t="s">
        <v>74</v>
      </c>
      <c r="O139" s="42"/>
      <c r="P139" s="43"/>
    </row>
    <row r="140" spans="1:16" ht="15.75" customHeight="1" x14ac:dyDescent="0.3">
      <c r="A140" s="11"/>
      <c r="B140" s="11"/>
      <c r="D140" s="35" t="s">
        <v>4</v>
      </c>
      <c r="E140" s="44">
        <v>45393</v>
      </c>
      <c r="F140" s="37"/>
      <c r="G140" s="45">
        <v>9.1666666666666674E-2</v>
      </c>
      <c r="H140" s="46"/>
      <c r="I140" s="40"/>
      <c r="J140" s="47" t="s">
        <v>8</v>
      </c>
      <c r="K140" s="48"/>
      <c r="L140" s="46"/>
      <c r="M140" s="46"/>
      <c r="N140" s="46" t="s">
        <v>74</v>
      </c>
      <c r="O140" s="49"/>
      <c r="P140" s="50"/>
    </row>
    <row r="141" spans="1:16" ht="15.75" customHeight="1" x14ac:dyDescent="0.3">
      <c r="A141" s="11"/>
      <c r="B141" s="11"/>
      <c r="D141" s="35" t="s">
        <v>3</v>
      </c>
      <c r="E141" s="44">
        <v>45393</v>
      </c>
      <c r="F141" s="37"/>
      <c r="G141" s="45">
        <v>0.6</v>
      </c>
      <c r="H141" s="46">
        <f t="shared" ref="H141" si="44">IF((E141=0),"0",IF((E141=E140+1),(((24-INT(G140))+INT(G141))-1),(INT(G141)-INT(G140)-1))+((1-((G140-INT(G140))/0.6))+((G141-INT(G141))/0.6)))+(F141)</f>
        <v>0.84722222222222232</v>
      </c>
      <c r="I141" s="40"/>
      <c r="J141" s="47" t="s">
        <v>5</v>
      </c>
      <c r="K141" s="46">
        <v>22.8</v>
      </c>
      <c r="L141" s="46">
        <v>123</v>
      </c>
      <c r="M141" s="46">
        <f>IF(D141="eosp",L141/H141,"")</f>
        <v>145.18032786885243</v>
      </c>
      <c r="N141" s="46" t="s">
        <v>38</v>
      </c>
      <c r="O141" s="51">
        <v>0.43</v>
      </c>
      <c r="P141" s="52">
        <v>123.1</v>
      </c>
    </row>
    <row r="142" spans="1:16" ht="15.75" customHeight="1" x14ac:dyDescent="0.3">
      <c r="A142" s="11"/>
      <c r="B142" s="11"/>
      <c r="D142" s="35"/>
      <c r="E142" s="36"/>
      <c r="F142" s="37"/>
      <c r="G142" s="38"/>
      <c r="H142" s="39"/>
      <c r="I142" s="40"/>
      <c r="J142" s="41"/>
      <c r="K142" s="39"/>
      <c r="L142" s="39"/>
      <c r="M142" s="39"/>
      <c r="N142" s="39" t="s">
        <v>74</v>
      </c>
      <c r="O142" s="42"/>
      <c r="P142" s="43"/>
    </row>
    <row r="143" spans="1:16" ht="15.75" customHeight="1" x14ac:dyDescent="0.3">
      <c r="A143" s="11"/>
      <c r="B143" s="11"/>
      <c r="D143" s="35" t="s">
        <v>4</v>
      </c>
      <c r="E143" s="44">
        <v>45402</v>
      </c>
      <c r="F143" s="37"/>
      <c r="G143" s="45">
        <v>0.58750000000000002</v>
      </c>
      <c r="H143" s="46"/>
      <c r="I143" s="40"/>
      <c r="J143" s="47" t="s">
        <v>7</v>
      </c>
      <c r="K143" s="48"/>
      <c r="L143" s="46"/>
      <c r="M143" s="46"/>
      <c r="N143" s="46" t="s">
        <v>74</v>
      </c>
      <c r="O143" s="49"/>
      <c r="P143" s="50"/>
    </row>
    <row r="144" spans="1:16" ht="15.75" customHeight="1" x14ac:dyDescent="0.3">
      <c r="A144" s="11"/>
      <c r="B144" s="11"/>
      <c r="D144" s="35" t="s">
        <v>3</v>
      </c>
      <c r="E144" s="44">
        <v>45403</v>
      </c>
      <c r="F144" s="37"/>
      <c r="G144" s="45">
        <v>7.0833333333333331E-2</v>
      </c>
      <c r="H144" s="46">
        <f t="shared" ref="H144" si="45">IF((E144=0),"0",IF((E144=E143+1),(((24-INT(G143))+INT(G144))-1),(INT(G144)-INT(G143)-1))+((1-((G143-INT(G143))/0.6))+((G144-INT(G144))/0.6)))+(F144)</f>
        <v>23.138888888888889</v>
      </c>
      <c r="I144" s="40"/>
      <c r="J144" s="47" t="s">
        <v>6</v>
      </c>
      <c r="K144" s="46">
        <v>19.5</v>
      </c>
      <c r="L144" s="46">
        <v>122</v>
      </c>
      <c r="M144" s="46">
        <f>IF(D144="eosp",L144/H144,"")</f>
        <v>5.2725090036014404</v>
      </c>
      <c r="N144" s="46" t="s">
        <v>42</v>
      </c>
      <c r="O144" s="51">
        <v>0.44</v>
      </c>
      <c r="P144" s="52">
        <v>123.1</v>
      </c>
    </row>
    <row r="145" spans="1:16" ht="15.75" customHeight="1" x14ac:dyDescent="0.3">
      <c r="A145" s="11"/>
      <c r="B145" s="11"/>
      <c r="D145" s="35"/>
      <c r="E145" s="36"/>
      <c r="F145" s="37"/>
      <c r="G145" s="38"/>
      <c r="H145" s="39"/>
      <c r="I145" s="40"/>
      <c r="J145" s="41"/>
      <c r="K145" s="39"/>
      <c r="L145" s="39"/>
      <c r="M145" s="39"/>
      <c r="N145" s="39" t="s">
        <v>74</v>
      </c>
      <c r="O145" s="42"/>
      <c r="P145" s="43"/>
    </row>
    <row r="146" spans="1:16" ht="15.75" customHeight="1" x14ac:dyDescent="0.3">
      <c r="A146" s="11"/>
      <c r="B146" s="11"/>
      <c r="D146" s="35" t="s">
        <v>4</v>
      </c>
      <c r="E146" s="44">
        <v>45403</v>
      </c>
      <c r="F146" s="37"/>
      <c r="G146" s="45">
        <v>0.81666666666666676</v>
      </c>
      <c r="H146" s="46"/>
      <c r="I146" s="40"/>
      <c r="J146" s="47" t="s">
        <v>8</v>
      </c>
      <c r="K146" s="48"/>
      <c r="L146" s="46"/>
      <c r="M146" s="46"/>
      <c r="N146" s="46" t="s">
        <v>74</v>
      </c>
      <c r="O146" s="49"/>
      <c r="P146" s="50"/>
    </row>
    <row r="147" spans="1:16" ht="15.75" customHeight="1" x14ac:dyDescent="0.3">
      <c r="A147" s="11"/>
      <c r="B147" s="11"/>
      <c r="D147" s="35" t="s">
        <v>3</v>
      </c>
      <c r="E147" s="44">
        <v>45404</v>
      </c>
      <c r="F147" s="37"/>
      <c r="G147" s="45">
        <v>0.21666666666666667</v>
      </c>
      <c r="H147" s="46">
        <f t="shared" ref="H147" si="46">IF((E147=0),"0",IF((E147=E146+1),(((24-INT(G146))+INT(G147))-1),(INT(G147)-INT(G146)-1))+((1-((G146-INT(G146))/0.6))+((G147-INT(G147))/0.6)))+(F147)</f>
        <v>23</v>
      </c>
      <c r="I147" s="40"/>
      <c r="J147" s="47" t="s">
        <v>5</v>
      </c>
      <c r="K147" s="46">
        <v>16</v>
      </c>
      <c r="L147" s="46">
        <v>118.7</v>
      </c>
      <c r="M147" s="46">
        <f>IF(D147="eosp",L147/H147,"")</f>
        <v>5.160869565217391</v>
      </c>
      <c r="N147" s="46" t="s">
        <v>37</v>
      </c>
      <c r="O147" s="51">
        <v>0.59</v>
      </c>
      <c r="P147" s="52">
        <v>137.19999999999999</v>
      </c>
    </row>
    <row r="148" spans="1:16" ht="15.75" customHeight="1" x14ac:dyDescent="0.3">
      <c r="A148" s="11"/>
      <c r="B148" s="11"/>
      <c r="D148" s="35"/>
      <c r="E148" s="36"/>
      <c r="F148" s="37"/>
      <c r="G148" s="38"/>
      <c r="H148" s="39"/>
      <c r="I148" s="40"/>
      <c r="J148" s="41"/>
      <c r="K148" s="39"/>
      <c r="L148" s="39"/>
      <c r="M148" s="39"/>
      <c r="N148" s="39" t="s">
        <v>74</v>
      </c>
      <c r="O148" s="42"/>
      <c r="P148" s="43"/>
    </row>
    <row r="149" spans="1:16" ht="15.75" customHeight="1" x14ac:dyDescent="0.3">
      <c r="A149" s="11"/>
      <c r="B149" s="11"/>
      <c r="D149" s="35" t="s">
        <v>4</v>
      </c>
      <c r="E149" s="44">
        <v>45407</v>
      </c>
      <c r="F149" s="37"/>
      <c r="G149" s="45">
        <v>0.56666666666666665</v>
      </c>
      <c r="H149" s="46"/>
      <c r="I149" s="40"/>
      <c r="J149" s="47" t="s">
        <v>8</v>
      </c>
      <c r="K149" s="48"/>
      <c r="L149" s="46"/>
      <c r="M149" s="46"/>
      <c r="N149" s="46" t="s">
        <v>74</v>
      </c>
      <c r="O149" s="49"/>
      <c r="P149" s="50"/>
    </row>
    <row r="150" spans="1:16" ht="15.75" customHeight="1" x14ac:dyDescent="0.3">
      <c r="A150" s="11"/>
      <c r="B150" s="11"/>
      <c r="D150" s="35" t="s">
        <v>3</v>
      </c>
      <c r="E150" s="44">
        <v>45408</v>
      </c>
      <c r="F150" s="37"/>
      <c r="G150" s="45">
        <v>0.10416666666666667</v>
      </c>
      <c r="H150" s="46">
        <f t="shared" ref="H150" si="47">IF((E150=0),"0",IF((E150=E149+1),(((24-INT(G149))+INT(G150))-1),(INT(G150)-INT(G149)-1))+((1-((G149-INT(G149))/0.6))+((G150-INT(G150))/0.6)))+(F150)</f>
        <v>23.229166666666668</v>
      </c>
      <c r="I150" s="40"/>
      <c r="J150" s="47" t="s">
        <v>5</v>
      </c>
      <c r="K150" s="46">
        <v>17.5</v>
      </c>
      <c r="L150" s="46">
        <v>136.19999999999999</v>
      </c>
      <c r="M150" s="46">
        <f>IF(D150="eosp",L150/H150,"")</f>
        <v>5.8633183856502233</v>
      </c>
      <c r="N150" s="46" t="s">
        <v>38</v>
      </c>
      <c r="O150" s="51">
        <v>0.41</v>
      </c>
      <c r="P150" s="52">
        <v>120.6</v>
      </c>
    </row>
    <row r="151" spans="1:16" ht="15.75" customHeight="1" x14ac:dyDescent="0.3">
      <c r="A151" s="11"/>
      <c r="B151" s="11"/>
      <c r="D151" s="35"/>
      <c r="E151" s="36"/>
      <c r="F151" s="37"/>
      <c r="G151" s="38"/>
      <c r="H151" s="39"/>
      <c r="I151" s="40"/>
      <c r="J151" s="41"/>
      <c r="K151" s="39"/>
      <c r="L151" s="39"/>
      <c r="M151" s="39"/>
      <c r="N151" s="39" t="s">
        <v>74</v>
      </c>
      <c r="O151" s="42"/>
      <c r="P151" s="43"/>
    </row>
    <row r="152" spans="1:16" ht="15.75" customHeight="1" x14ac:dyDescent="0.3">
      <c r="A152" s="11"/>
      <c r="B152" s="11"/>
      <c r="D152" s="35" t="s">
        <v>4</v>
      </c>
      <c r="E152" s="44">
        <v>45409</v>
      </c>
      <c r="F152" s="37"/>
      <c r="G152" s="45">
        <v>2.4999999999999998E-2</v>
      </c>
      <c r="H152" s="46"/>
      <c r="I152" s="40"/>
      <c r="J152" s="47" t="s">
        <v>7</v>
      </c>
      <c r="K152" s="48"/>
      <c r="L152" s="46"/>
      <c r="M152" s="46"/>
      <c r="N152" s="46" t="s">
        <v>74</v>
      </c>
      <c r="O152" s="49"/>
      <c r="P152" s="50"/>
    </row>
    <row r="153" spans="1:16" ht="15.75" customHeight="1" x14ac:dyDescent="0.3">
      <c r="A153" s="11"/>
      <c r="B153" s="11"/>
      <c r="D153" s="35" t="s">
        <v>3</v>
      </c>
      <c r="E153" s="44">
        <v>45409</v>
      </c>
      <c r="F153" s="37"/>
      <c r="G153" s="45">
        <v>0.47916666666666669</v>
      </c>
      <c r="H153" s="46">
        <f t="shared" ref="H153" si="48">IF((E153=0),"0",IF((E153=E152+1),(((24-INT(G152))+INT(G153))-1),(INT(G153)-INT(G152)-1))+((1-((G152-INT(G152))/0.6))+((G153-INT(G153))/0.6)))+(F153)</f>
        <v>0.75694444444444464</v>
      </c>
      <c r="I153" s="40"/>
      <c r="J153" s="47" t="s">
        <v>6</v>
      </c>
      <c r="K153" s="46">
        <v>23.2</v>
      </c>
      <c r="L153" s="46">
        <v>120.8</v>
      </c>
      <c r="M153" s="46">
        <f>IF(D153="eosp",L153/H153,"")</f>
        <v>159.58899082568803</v>
      </c>
      <c r="N153" s="46" t="s">
        <v>30</v>
      </c>
      <c r="O153" s="51">
        <v>0.64</v>
      </c>
      <c r="P153" s="52">
        <v>136</v>
      </c>
    </row>
    <row r="154" spans="1:16" ht="15.75" customHeight="1" x14ac:dyDescent="0.3">
      <c r="A154" s="11"/>
      <c r="B154" s="11"/>
      <c r="D154" s="35"/>
      <c r="E154" s="36"/>
      <c r="F154" s="37"/>
      <c r="G154" s="38"/>
      <c r="H154" s="39"/>
      <c r="I154" s="40"/>
      <c r="J154" s="41"/>
      <c r="K154" s="39"/>
      <c r="L154" s="39"/>
      <c r="M154" s="39"/>
      <c r="N154" s="39" t="s">
        <v>74</v>
      </c>
      <c r="O154" s="42"/>
      <c r="P154" s="43"/>
    </row>
    <row r="155" spans="1:16" ht="15.75" customHeight="1" x14ac:dyDescent="0.3">
      <c r="A155" s="11"/>
      <c r="B155" s="11"/>
      <c r="D155" s="35" t="s">
        <v>4</v>
      </c>
      <c r="E155" s="44">
        <v>45410</v>
      </c>
      <c r="F155" s="37"/>
      <c r="G155" s="45">
        <v>0.33749999999999997</v>
      </c>
      <c r="H155" s="46"/>
      <c r="I155" s="40"/>
      <c r="J155" s="47" t="s">
        <v>8</v>
      </c>
      <c r="K155" s="48"/>
      <c r="L155" s="46"/>
      <c r="M155" s="46"/>
      <c r="N155" s="46" t="s">
        <v>74</v>
      </c>
      <c r="O155" s="49"/>
      <c r="P155" s="50"/>
    </row>
    <row r="156" spans="1:16" ht="15.75" customHeight="1" x14ac:dyDescent="0.3">
      <c r="A156" s="11"/>
      <c r="B156" s="11"/>
      <c r="D156" s="35" t="s">
        <v>3</v>
      </c>
      <c r="E156" s="44">
        <v>45410</v>
      </c>
      <c r="F156" s="37"/>
      <c r="G156" s="45">
        <v>0.7416666666666667</v>
      </c>
      <c r="H156" s="46">
        <f t="shared" ref="H156" si="49">IF((E156=0),"0",IF((E156=E155+1),(((24-INT(G155))+INT(G156))-1),(INT(G156)-INT(G155)-1))+((1-((G155-INT(G155))/0.6))+((G156-INT(G156))/0.6)))+(F156)</f>
        <v>0.67361111111111116</v>
      </c>
      <c r="I156" s="40"/>
      <c r="J156" s="47" t="s">
        <v>5</v>
      </c>
      <c r="K156" s="46">
        <v>20.9</v>
      </c>
      <c r="L156" s="46">
        <v>113.2</v>
      </c>
      <c r="M156" s="46">
        <f>IF(D156="eosp",L156/H156,"")</f>
        <v>168.04948453608247</v>
      </c>
      <c r="N156" s="46" t="s">
        <v>53</v>
      </c>
      <c r="O156" s="51">
        <v>0.61</v>
      </c>
      <c r="P156" s="52">
        <v>139</v>
      </c>
    </row>
    <row r="157" spans="1:16" ht="15.75" customHeight="1" x14ac:dyDescent="0.3">
      <c r="A157" s="11"/>
      <c r="B157" s="11"/>
      <c r="D157" s="35"/>
      <c r="E157" s="36"/>
      <c r="F157" s="37"/>
      <c r="G157" s="38"/>
      <c r="H157" s="39"/>
      <c r="I157" s="40"/>
      <c r="J157" s="41"/>
      <c r="K157" s="39"/>
      <c r="L157" s="39"/>
      <c r="M157" s="39"/>
      <c r="N157" s="39" t="s">
        <v>74</v>
      </c>
      <c r="O157" s="42"/>
      <c r="P157" s="43"/>
    </row>
    <row r="158" spans="1:16" ht="15.75" customHeight="1" x14ac:dyDescent="0.3">
      <c r="A158" s="11"/>
      <c r="B158" s="11"/>
      <c r="D158" s="35" t="s">
        <v>4</v>
      </c>
      <c r="E158" s="44">
        <v>45411</v>
      </c>
      <c r="F158" s="37"/>
      <c r="G158" s="45">
        <v>0.77916666666666667</v>
      </c>
      <c r="H158" s="46"/>
      <c r="I158" s="40"/>
      <c r="J158" s="47" t="s">
        <v>7</v>
      </c>
      <c r="K158" s="48"/>
      <c r="L158" s="46"/>
      <c r="M158" s="46"/>
      <c r="N158" s="46" t="s">
        <v>74</v>
      </c>
      <c r="O158" s="49"/>
      <c r="P158" s="50"/>
    </row>
    <row r="159" spans="1:16" ht="15.75" customHeight="1" x14ac:dyDescent="0.3">
      <c r="A159" s="11"/>
      <c r="B159" s="11"/>
      <c r="D159" s="35" t="s">
        <v>3</v>
      </c>
      <c r="E159" s="44">
        <v>45412</v>
      </c>
      <c r="F159" s="37"/>
      <c r="G159" s="45">
        <v>0.27083333333333331</v>
      </c>
      <c r="H159" s="46">
        <f t="shared" ref="H159" si="50">IF((E159=0),"0",IF((E159=E158+1),(((24-INT(G158))+INT(G159))-1),(INT(G159)-INT(G158)-1))+((1-((G158-INT(G158))/0.6))+((G159-INT(G159))/0.6)))+(F159)</f>
        <v>23.152777777777779</v>
      </c>
      <c r="I159" s="40"/>
      <c r="J159" s="47" t="s">
        <v>6</v>
      </c>
      <c r="K159" s="46">
        <v>23.3</v>
      </c>
      <c r="L159" s="46">
        <v>119.5</v>
      </c>
      <c r="M159" s="46">
        <f>IF(D159="eosp",L159/H159,"")</f>
        <v>5.1613677264547091</v>
      </c>
      <c r="N159" s="46" t="s">
        <v>38</v>
      </c>
      <c r="O159" s="51">
        <v>0.39</v>
      </c>
      <c r="P159" s="52">
        <v>124.4</v>
      </c>
    </row>
    <row r="160" spans="1:16" ht="15.75" customHeight="1" x14ac:dyDescent="0.3">
      <c r="A160" s="11"/>
      <c r="B160" s="11"/>
      <c r="D160" s="35"/>
      <c r="E160" s="36"/>
      <c r="F160" s="37"/>
      <c r="G160" s="38"/>
      <c r="H160" s="39"/>
      <c r="I160" s="40"/>
      <c r="J160" s="41"/>
      <c r="K160" s="39"/>
      <c r="L160" s="39"/>
      <c r="M160" s="39"/>
      <c r="N160" s="39" t="s">
        <v>74</v>
      </c>
      <c r="O160" s="42"/>
      <c r="P160" s="43"/>
    </row>
    <row r="161" spans="1:16" ht="15.75" customHeight="1" x14ac:dyDescent="0.3">
      <c r="A161" s="11"/>
      <c r="B161" s="11"/>
      <c r="D161" s="35" t="s">
        <v>4</v>
      </c>
      <c r="E161" s="44">
        <v>45413</v>
      </c>
      <c r="F161" s="37"/>
      <c r="G161" s="45">
        <v>8.3333333333333332E-3</v>
      </c>
      <c r="H161" s="46"/>
      <c r="I161" s="40"/>
      <c r="J161" s="47" t="s">
        <v>8</v>
      </c>
      <c r="K161" s="48"/>
      <c r="L161" s="46"/>
      <c r="M161" s="46"/>
      <c r="N161" s="46" t="s">
        <v>74</v>
      </c>
      <c r="O161" s="49"/>
      <c r="P161" s="50"/>
    </row>
    <row r="162" spans="1:16" ht="15.75" customHeight="1" x14ac:dyDescent="0.3">
      <c r="A162" s="11"/>
      <c r="B162" s="11"/>
      <c r="D162" s="35" t="s">
        <v>3</v>
      </c>
      <c r="E162" s="44">
        <v>45413</v>
      </c>
      <c r="F162" s="37"/>
      <c r="G162" s="45">
        <v>0.45833333333333331</v>
      </c>
      <c r="H162" s="46">
        <f t="shared" ref="H162" si="51">IF((E162=0),"0",IF((E162=E161+1),(((24-INT(G161))+INT(G162))-1),(INT(G162)-INT(G161)-1))+((1-((G161-INT(G161))/0.6))+((G162-INT(G162))/0.6)))+(F162)</f>
        <v>0.75</v>
      </c>
      <c r="I162" s="40"/>
      <c r="J162" s="47" t="s">
        <v>5</v>
      </c>
      <c r="K162" s="46">
        <v>21.5</v>
      </c>
      <c r="L162" s="46">
        <v>119.8</v>
      </c>
      <c r="M162" s="46">
        <f>IF(D162="eosp",L162/H162,"")</f>
        <v>159.73333333333332</v>
      </c>
      <c r="N162" s="46" t="s">
        <v>53</v>
      </c>
      <c r="O162" s="51">
        <v>0.44</v>
      </c>
      <c r="P162" s="52">
        <v>133.1</v>
      </c>
    </row>
    <row r="163" spans="1:16" ht="15.75" customHeight="1" x14ac:dyDescent="0.3">
      <c r="A163" s="11"/>
      <c r="B163" s="11"/>
      <c r="D163" s="35"/>
      <c r="E163" s="36"/>
      <c r="F163" s="37"/>
      <c r="G163" s="38"/>
      <c r="H163" s="39"/>
      <c r="I163" s="40"/>
      <c r="J163" s="41"/>
      <c r="K163" s="39"/>
      <c r="L163" s="39"/>
      <c r="M163" s="39"/>
      <c r="N163" s="39" t="s">
        <v>74</v>
      </c>
      <c r="O163" s="42"/>
      <c r="P163" s="43"/>
    </row>
    <row r="164" spans="1:16" ht="15.75" customHeight="1" x14ac:dyDescent="0.3">
      <c r="A164" s="11"/>
      <c r="B164" s="11"/>
      <c r="D164" s="35" t="s">
        <v>4</v>
      </c>
      <c r="E164" s="44">
        <v>45415</v>
      </c>
      <c r="F164" s="37"/>
      <c r="G164" s="45">
        <v>0.42083333333333334</v>
      </c>
      <c r="H164" s="46"/>
      <c r="I164" s="40"/>
      <c r="J164" s="47" t="s">
        <v>7</v>
      </c>
      <c r="K164" s="48"/>
      <c r="L164" s="46"/>
      <c r="M164" s="46"/>
      <c r="N164" s="46" t="s">
        <v>74</v>
      </c>
      <c r="O164" s="49"/>
      <c r="P164" s="50"/>
    </row>
    <row r="165" spans="1:16" ht="15.75" customHeight="1" x14ac:dyDescent="0.3">
      <c r="A165" s="11"/>
      <c r="B165" s="11"/>
      <c r="D165" s="35" t="s">
        <v>3</v>
      </c>
      <c r="E165" s="44">
        <v>45415</v>
      </c>
      <c r="F165" s="37"/>
      <c r="G165" s="45">
        <v>0.91666666666666663</v>
      </c>
      <c r="H165" s="46">
        <f t="shared" ref="H165" si="52">IF((E165=0),"0",IF((E165=E164+1),(((24-INT(G164))+INT(G165))-1),(INT(G165)-INT(G164)-1))+((1-((G164-INT(G164))/0.6))+((G165-INT(G165))/0.6)))+(F165)</f>
        <v>0.82638888888888884</v>
      </c>
      <c r="I165" s="40"/>
      <c r="J165" s="47" t="s">
        <v>6</v>
      </c>
      <c r="K165" s="46">
        <v>28</v>
      </c>
      <c r="L165" s="46">
        <v>115.2</v>
      </c>
      <c r="M165" s="46">
        <f>IF(D165="eosp",L165/H165,"")</f>
        <v>139.40168067226892</v>
      </c>
      <c r="N165" s="46" t="s">
        <v>37</v>
      </c>
      <c r="O165" s="51">
        <v>0.46</v>
      </c>
      <c r="P165" s="52">
        <v>125.8</v>
      </c>
    </row>
    <row r="166" spans="1:16" ht="15.75" customHeight="1" x14ac:dyDescent="0.3">
      <c r="A166" s="11"/>
      <c r="B166" s="11"/>
      <c r="D166" s="35"/>
      <c r="E166" s="36"/>
      <c r="F166" s="37"/>
      <c r="G166" s="38"/>
      <c r="H166" s="39"/>
      <c r="I166" s="40"/>
      <c r="J166" s="41"/>
      <c r="K166" s="39"/>
      <c r="L166" s="39"/>
      <c r="M166" s="39"/>
      <c r="N166" s="39" t="s">
        <v>74</v>
      </c>
      <c r="O166" s="42"/>
      <c r="P166" s="43"/>
    </row>
    <row r="167" spans="1:16" ht="15.75" customHeight="1" x14ac:dyDescent="0.3">
      <c r="A167" s="11"/>
      <c r="B167" s="11"/>
      <c r="D167" s="35" t="s">
        <v>4</v>
      </c>
      <c r="E167" s="44">
        <v>45417</v>
      </c>
      <c r="F167" s="37"/>
      <c r="G167" s="45">
        <v>0.37916666666666665</v>
      </c>
      <c r="H167" s="46"/>
      <c r="I167" s="40"/>
      <c r="J167" s="47" t="s">
        <v>8</v>
      </c>
      <c r="K167" s="48"/>
      <c r="L167" s="46"/>
      <c r="M167" s="46"/>
      <c r="N167" s="46" t="s">
        <v>74</v>
      </c>
      <c r="O167" s="49"/>
      <c r="P167" s="50"/>
    </row>
    <row r="168" spans="1:16" ht="15.75" customHeight="1" x14ac:dyDescent="0.3">
      <c r="A168" s="11"/>
      <c r="B168" s="11"/>
      <c r="D168" s="35" t="s">
        <v>3</v>
      </c>
      <c r="E168" s="44">
        <v>45417</v>
      </c>
      <c r="F168" s="37"/>
      <c r="G168" s="45">
        <v>0.75</v>
      </c>
      <c r="H168" s="46">
        <f t="shared" ref="H168" si="53">IF((E168=0),"0",IF((E168=E167+1),(((24-INT(G167))+INT(G168))-1),(INT(G168)-INT(G167)-1))+((1-((G167-INT(G167))/0.6))+((G168-INT(G168))/0.6)))+(F168)</f>
        <v>0.61805555555555558</v>
      </c>
      <c r="I168" s="40"/>
      <c r="J168" s="47" t="s">
        <v>5</v>
      </c>
      <c r="K168" s="46">
        <v>20.8</v>
      </c>
      <c r="L168" s="46">
        <v>106</v>
      </c>
      <c r="M168" s="46">
        <f>IF(D168="eosp",L168/H168,"")</f>
        <v>171.50561797752809</v>
      </c>
      <c r="N168" s="46" t="s">
        <v>53</v>
      </c>
      <c r="O168" s="51">
        <v>0.66</v>
      </c>
      <c r="P168" s="52">
        <v>141.6</v>
      </c>
    </row>
    <row r="169" spans="1:16" ht="15.75" customHeight="1" x14ac:dyDescent="0.3">
      <c r="A169" s="11"/>
      <c r="B169" s="11"/>
      <c r="D169" s="35"/>
      <c r="E169" s="36"/>
      <c r="F169" s="37"/>
      <c r="G169" s="38"/>
      <c r="H169" s="39"/>
      <c r="I169" s="40"/>
      <c r="J169" s="41"/>
      <c r="K169" s="39"/>
      <c r="L169" s="39"/>
      <c r="M169" s="39"/>
      <c r="N169" s="39" t="s">
        <v>74</v>
      </c>
      <c r="O169" s="42"/>
      <c r="P169" s="43"/>
    </row>
    <row r="170" spans="1:16" ht="15.75" customHeight="1" x14ac:dyDescent="0.3">
      <c r="A170" s="11"/>
      <c r="B170" s="11"/>
      <c r="D170" s="35" t="s">
        <v>4</v>
      </c>
      <c r="E170" s="44">
        <v>45418</v>
      </c>
      <c r="F170" s="37"/>
      <c r="G170" s="45">
        <v>0.58750000000000002</v>
      </c>
      <c r="H170" s="46"/>
      <c r="I170" s="40"/>
      <c r="J170" s="47" t="s">
        <v>7</v>
      </c>
      <c r="K170" s="48"/>
      <c r="L170" s="46"/>
      <c r="M170" s="46"/>
      <c r="N170" s="46" t="s">
        <v>74</v>
      </c>
      <c r="O170" s="49"/>
      <c r="P170" s="50"/>
    </row>
    <row r="171" spans="1:16" ht="15.75" customHeight="1" x14ac:dyDescent="0.3">
      <c r="A171" s="11"/>
      <c r="B171" s="11"/>
      <c r="D171" s="35" t="s">
        <v>3</v>
      </c>
      <c r="E171" s="44">
        <v>45419</v>
      </c>
      <c r="F171" s="37"/>
      <c r="G171" s="45">
        <v>8.3333333333333329E-2</v>
      </c>
      <c r="H171" s="46">
        <f t="shared" ref="H171" si="54">IF((E171=0),"0",IF((E171=E170+1),(((24-INT(G170))+INT(G171))-1),(INT(G171)-INT(G170)-1))+((1-((G170-INT(G170))/0.6))+((G171-INT(G171))/0.6)))+(F171)</f>
        <v>23.159722222222221</v>
      </c>
      <c r="I171" s="40"/>
      <c r="J171" s="47" t="s">
        <v>6</v>
      </c>
      <c r="K171" s="46">
        <v>26.6</v>
      </c>
      <c r="L171" s="46">
        <v>119.7</v>
      </c>
      <c r="M171" s="46">
        <f>IF(D171="eosp",L171/H171,"")</f>
        <v>5.1684557721139432</v>
      </c>
      <c r="N171" s="46" t="s">
        <v>31</v>
      </c>
      <c r="O171" s="51">
        <v>0.48</v>
      </c>
      <c r="P171" s="52">
        <v>129.1</v>
      </c>
    </row>
    <row r="172" spans="1:16" ht="15.75" customHeight="1" x14ac:dyDescent="0.3">
      <c r="A172" s="11"/>
      <c r="B172" s="11"/>
      <c r="D172" s="35"/>
      <c r="E172" s="36"/>
      <c r="F172" s="37"/>
      <c r="G172" s="38"/>
      <c r="H172" s="39"/>
      <c r="I172" s="40"/>
      <c r="J172" s="41"/>
      <c r="K172" s="39"/>
      <c r="L172" s="39"/>
      <c r="M172" s="39"/>
      <c r="N172" s="39" t="s">
        <v>74</v>
      </c>
      <c r="O172" s="42"/>
      <c r="P172" s="43"/>
    </row>
    <row r="173" spans="1:16" ht="15.75" customHeight="1" x14ac:dyDescent="0.3">
      <c r="A173" s="11"/>
      <c r="B173" s="11"/>
      <c r="D173" s="35" t="s">
        <v>4</v>
      </c>
      <c r="E173" s="44">
        <v>45419</v>
      </c>
      <c r="F173" s="37"/>
      <c r="G173" s="45">
        <v>0.79166666666666663</v>
      </c>
      <c r="H173" s="46"/>
      <c r="I173" s="40"/>
      <c r="J173" s="47" t="s">
        <v>8</v>
      </c>
      <c r="K173" s="48"/>
      <c r="L173" s="46"/>
      <c r="M173" s="46"/>
      <c r="N173" s="46" t="s">
        <v>74</v>
      </c>
      <c r="O173" s="49"/>
      <c r="P173" s="50"/>
    </row>
    <row r="174" spans="1:16" ht="15.75" customHeight="1" x14ac:dyDescent="0.3">
      <c r="A174" s="11"/>
      <c r="B174" s="11"/>
      <c r="D174" s="35" t="s">
        <v>3</v>
      </c>
      <c r="E174" s="44">
        <v>45420</v>
      </c>
      <c r="F174" s="37"/>
      <c r="G174" s="45">
        <v>0.24583333333333335</v>
      </c>
      <c r="H174" s="46">
        <f t="shared" ref="H174" si="55">IF((E174=0),"0",IF((E174=E173+1),(((24-INT(G173))+INT(G174))-1),(INT(G174)-INT(G173)-1))+((1-((G173-INT(G173))/0.6))+((G174-INT(G174))/0.6)))+(F174)</f>
        <v>23.090277777777779</v>
      </c>
      <c r="I174" s="40"/>
      <c r="J174" s="47" t="s">
        <v>5</v>
      </c>
      <c r="K174" s="46">
        <v>15.8</v>
      </c>
      <c r="L174" s="46">
        <v>118.3</v>
      </c>
      <c r="M174" s="46">
        <f>IF(D174="eosp",L174/H174,"")</f>
        <v>5.1233684210526311</v>
      </c>
      <c r="N174" s="46" t="s">
        <v>54</v>
      </c>
      <c r="O174" s="51">
        <v>0.44</v>
      </c>
      <c r="P174" s="52">
        <v>121.5</v>
      </c>
    </row>
    <row r="175" spans="1:16" ht="15.75" customHeight="1" x14ac:dyDescent="0.3">
      <c r="A175" s="11"/>
      <c r="B175" s="11"/>
      <c r="D175" s="35"/>
      <c r="E175" s="36"/>
      <c r="F175" s="37"/>
      <c r="G175" s="38"/>
      <c r="H175" s="39"/>
      <c r="I175" s="40"/>
      <c r="J175" s="41"/>
      <c r="K175" s="39"/>
      <c r="L175" s="39"/>
      <c r="M175" s="39"/>
      <c r="N175" s="39" t="s">
        <v>74</v>
      </c>
      <c r="O175" s="42"/>
      <c r="P175" s="43"/>
    </row>
    <row r="176" spans="1:16" ht="15.75" customHeight="1" x14ac:dyDescent="0.3">
      <c r="A176" s="11"/>
      <c r="B176" s="11"/>
      <c r="D176" s="35" t="s">
        <v>4</v>
      </c>
      <c r="E176" s="44">
        <v>45422</v>
      </c>
      <c r="F176" s="37"/>
      <c r="G176" s="45">
        <v>0.25416666666666665</v>
      </c>
      <c r="H176" s="46"/>
      <c r="I176" s="40"/>
      <c r="J176" s="47" t="s">
        <v>7</v>
      </c>
      <c r="K176" s="48"/>
      <c r="L176" s="46"/>
      <c r="M176" s="46"/>
      <c r="N176" s="46" t="s">
        <v>74</v>
      </c>
      <c r="O176" s="49"/>
      <c r="P176" s="50"/>
    </row>
    <row r="177" spans="1:16" ht="15.75" customHeight="1" x14ac:dyDescent="0.3">
      <c r="A177" s="11"/>
      <c r="B177" s="11"/>
      <c r="D177" s="35" t="s">
        <v>3</v>
      </c>
      <c r="E177" s="44">
        <v>45422</v>
      </c>
      <c r="F177" s="37"/>
      <c r="G177" s="45">
        <v>0.70833333333333337</v>
      </c>
      <c r="H177" s="46">
        <f t="shared" ref="H177" si="56">IF((E177=0),"0",IF((E177=E176+1),(((24-INT(G176))+INT(G177))-1),(INT(G177)-INT(G176)-1))+((1-((G176-INT(G176))/0.6))+((G177-INT(G177))/0.6)))+(F177)</f>
        <v>0.75694444444444442</v>
      </c>
      <c r="I177" s="40"/>
      <c r="J177" s="47" t="s">
        <v>6</v>
      </c>
      <c r="K177" s="46">
        <v>23</v>
      </c>
      <c r="L177" s="46">
        <v>123.1</v>
      </c>
      <c r="M177" s="46">
        <f>IF(D177="eosp",L177/H177,"")</f>
        <v>162.62752293577981</v>
      </c>
      <c r="N177" s="46" t="s">
        <v>45</v>
      </c>
      <c r="O177" s="51">
        <v>0.64</v>
      </c>
      <c r="P177" s="52">
        <v>139</v>
      </c>
    </row>
    <row r="178" spans="1:16" ht="15.75" customHeight="1" x14ac:dyDescent="0.3">
      <c r="A178" s="11"/>
      <c r="B178" s="11"/>
      <c r="D178" s="35"/>
      <c r="E178" s="36"/>
      <c r="F178" s="37"/>
      <c r="G178" s="38"/>
      <c r="H178" s="39"/>
      <c r="I178" s="40"/>
      <c r="J178" s="41"/>
      <c r="K178" s="39"/>
      <c r="L178" s="39"/>
      <c r="M178" s="39"/>
      <c r="N178" s="39" t="s">
        <v>74</v>
      </c>
      <c r="O178" s="42"/>
      <c r="P178" s="43"/>
    </row>
    <row r="179" spans="1:16" ht="15.75" customHeight="1" x14ac:dyDescent="0.3">
      <c r="A179" s="11"/>
      <c r="B179" s="11"/>
      <c r="D179" s="35" t="s">
        <v>4</v>
      </c>
      <c r="E179" s="44">
        <v>45423</v>
      </c>
      <c r="F179" s="37"/>
      <c r="G179" s="45">
        <v>0.46249999999999997</v>
      </c>
      <c r="H179" s="46"/>
      <c r="I179" s="40"/>
      <c r="J179" s="47" t="s">
        <v>8</v>
      </c>
      <c r="K179" s="48"/>
      <c r="L179" s="46"/>
      <c r="M179" s="46"/>
      <c r="N179" s="46" t="s">
        <v>74</v>
      </c>
      <c r="O179" s="49"/>
      <c r="P179" s="50"/>
    </row>
    <row r="180" spans="1:16" ht="15.75" customHeight="1" x14ac:dyDescent="0.3">
      <c r="A180" s="11"/>
      <c r="B180" s="11"/>
      <c r="D180" s="35" t="s">
        <v>3</v>
      </c>
      <c r="E180" s="44">
        <v>45423</v>
      </c>
      <c r="F180" s="37"/>
      <c r="G180" s="45">
        <v>0.9458333333333333</v>
      </c>
      <c r="H180" s="46">
        <f t="shared" ref="H180" si="57">IF((E180=0),"0",IF((E180=E179+1),(((24-INT(G179))+INT(G180))-1),(INT(G180)-INT(G179)-1))+((1-((G179-INT(G179))/0.6))+((G180-INT(G180))/0.6)))+(F180)</f>
        <v>0.80555555555555558</v>
      </c>
      <c r="I180" s="40"/>
      <c r="J180" s="47" t="s">
        <v>5</v>
      </c>
      <c r="K180" s="46">
        <v>21</v>
      </c>
      <c r="L180" s="46">
        <v>118</v>
      </c>
      <c r="M180" s="46">
        <f>IF(D180="eosp",L180/H180,"")</f>
        <v>146.48275862068965</v>
      </c>
      <c r="N180" s="46" t="s">
        <v>41</v>
      </c>
      <c r="O180" s="51">
        <v>0.4</v>
      </c>
      <c r="P180" s="52">
        <v>121</v>
      </c>
    </row>
    <row r="181" spans="1:16" ht="15.75" customHeight="1" x14ac:dyDescent="0.3">
      <c r="A181" s="11"/>
      <c r="B181" s="11"/>
      <c r="D181" s="35"/>
      <c r="E181" s="36"/>
      <c r="F181" s="37"/>
      <c r="G181" s="38"/>
      <c r="H181" s="39"/>
      <c r="I181" s="40"/>
      <c r="J181" s="41"/>
      <c r="K181" s="39"/>
      <c r="L181" s="39"/>
      <c r="M181" s="39"/>
      <c r="N181" s="39" t="s">
        <v>74</v>
      </c>
      <c r="O181" s="42"/>
      <c r="P181" s="43"/>
    </row>
    <row r="182" spans="1:16" ht="15.75" customHeight="1" x14ac:dyDescent="0.3">
      <c r="A182" s="11"/>
      <c r="B182" s="11"/>
      <c r="D182" s="35" t="s">
        <v>4</v>
      </c>
      <c r="E182" s="44">
        <v>45424</v>
      </c>
      <c r="F182" s="37"/>
      <c r="G182" s="45">
        <v>0.71250000000000002</v>
      </c>
      <c r="H182" s="46"/>
      <c r="I182" s="40"/>
      <c r="J182" s="47" t="s">
        <v>7</v>
      </c>
      <c r="K182" s="48"/>
      <c r="L182" s="46"/>
      <c r="M182" s="46"/>
      <c r="N182" s="46" t="s">
        <v>74</v>
      </c>
      <c r="O182" s="49"/>
      <c r="P182" s="50"/>
    </row>
    <row r="183" spans="1:16" ht="15.75" customHeight="1" x14ac:dyDescent="0.3">
      <c r="A183" s="11"/>
      <c r="B183" s="11"/>
      <c r="D183" s="35" t="s">
        <v>3</v>
      </c>
      <c r="E183" s="44">
        <v>45425</v>
      </c>
      <c r="F183" s="37"/>
      <c r="G183" s="45">
        <v>0.20833333333333334</v>
      </c>
      <c r="H183" s="46">
        <f t="shared" ref="H183" si="58">IF((E183=0),"0",IF((E183=E182+1),(((24-INT(G182))+INT(G183))-1),(INT(G183)-INT(G182)-1))+((1-((G182-INT(G182))/0.6))+((G183-INT(G183))/0.6)))+(F183)</f>
        <v>23.159722222222221</v>
      </c>
      <c r="I183" s="40"/>
      <c r="J183" s="47" t="s">
        <v>6</v>
      </c>
      <c r="K183" s="46">
        <v>22.1</v>
      </c>
      <c r="L183" s="46">
        <v>119.7</v>
      </c>
      <c r="M183" s="46">
        <f>IF(D183="eosp",L183/H183,"")</f>
        <v>5.1684557721139432</v>
      </c>
      <c r="N183" s="46" t="s">
        <v>42</v>
      </c>
      <c r="O183" s="51">
        <v>0.42</v>
      </c>
      <c r="P183" s="52">
        <v>121.7</v>
      </c>
    </row>
    <row r="184" spans="1:16" ht="15.75" customHeight="1" x14ac:dyDescent="0.3">
      <c r="A184" s="11"/>
      <c r="B184" s="11"/>
      <c r="D184" s="35"/>
      <c r="E184" s="36"/>
      <c r="F184" s="37"/>
      <c r="G184" s="38"/>
      <c r="H184" s="39"/>
      <c r="I184" s="40"/>
      <c r="J184" s="41"/>
      <c r="K184" s="39"/>
      <c r="L184" s="39"/>
      <c r="M184" s="39"/>
      <c r="N184" s="39" t="s">
        <v>74</v>
      </c>
      <c r="O184" s="42"/>
      <c r="P184" s="43"/>
    </row>
    <row r="185" spans="1:16" ht="15.75" customHeight="1" x14ac:dyDescent="0.3">
      <c r="A185" s="11"/>
      <c r="B185" s="11"/>
      <c r="D185" s="35" t="s">
        <v>4</v>
      </c>
      <c r="E185" s="44">
        <v>45426</v>
      </c>
      <c r="F185" s="37"/>
      <c r="G185" s="45">
        <v>0.13333333333333333</v>
      </c>
      <c r="H185" s="46"/>
      <c r="I185" s="40"/>
      <c r="J185" s="47" t="s">
        <v>8</v>
      </c>
      <c r="K185" s="48"/>
      <c r="L185" s="46"/>
      <c r="M185" s="46"/>
      <c r="N185" s="46" t="s">
        <v>74</v>
      </c>
      <c r="O185" s="49"/>
      <c r="P185" s="50"/>
    </row>
    <row r="186" spans="1:16" ht="15.75" customHeight="1" x14ac:dyDescent="0.3">
      <c r="A186" s="11"/>
      <c r="B186" s="11"/>
      <c r="D186" s="35" t="s">
        <v>3</v>
      </c>
      <c r="E186" s="44">
        <v>45426</v>
      </c>
      <c r="F186" s="37"/>
      <c r="G186" s="45">
        <v>0.58333333333333337</v>
      </c>
      <c r="H186" s="46">
        <f t="shared" ref="H186" si="59">IF((E186=0),"0",IF((E186=E185+1),(((24-INT(G185))+INT(G186))-1),(INT(G186)-INT(G185)-1))+((1-((G185-INT(G185))/0.6))+((G186-INT(G186))/0.6)))+(F186)</f>
        <v>0.75</v>
      </c>
      <c r="I186" s="40"/>
      <c r="J186" s="47" t="s">
        <v>5</v>
      </c>
      <c r="K186" s="46">
        <v>23.6</v>
      </c>
      <c r="L186" s="46">
        <v>117.9</v>
      </c>
      <c r="M186" s="46">
        <f>IF(D186="eosp",L186/H186,"")</f>
        <v>157.20000000000002</v>
      </c>
      <c r="N186" s="46" t="s">
        <v>30</v>
      </c>
      <c r="O186" s="51">
        <v>0.52</v>
      </c>
      <c r="P186" s="52">
        <v>134.6</v>
      </c>
    </row>
    <row r="187" spans="1:16" ht="15.75" customHeight="1" x14ac:dyDescent="0.3">
      <c r="A187" s="11"/>
      <c r="B187" s="11"/>
      <c r="D187" s="35"/>
      <c r="E187" s="36"/>
      <c r="F187" s="37"/>
      <c r="G187" s="38"/>
      <c r="H187" s="39"/>
      <c r="I187" s="40"/>
      <c r="J187" s="41"/>
      <c r="K187" s="39"/>
      <c r="L187" s="39"/>
      <c r="M187" s="39"/>
      <c r="N187" s="39" t="s">
        <v>74</v>
      </c>
      <c r="O187" s="42"/>
      <c r="P187" s="43"/>
    </row>
    <row r="188" spans="1:16" ht="15.75" customHeight="1" x14ac:dyDescent="0.3">
      <c r="A188" s="11"/>
      <c r="B188" s="11"/>
      <c r="D188" s="35" t="s">
        <v>4</v>
      </c>
      <c r="E188" s="44">
        <v>45427</v>
      </c>
      <c r="F188" s="37"/>
      <c r="G188" s="45">
        <v>0.46249999999999997</v>
      </c>
      <c r="H188" s="46"/>
      <c r="I188" s="40"/>
      <c r="J188" s="47" t="s">
        <v>7</v>
      </c>
      <c r="K188" s="48"/>
      <c r="L188" s="46"/>
      <c r="M188" s="46"/>
      <c r="N188" s="46" t="s">
        <v>74</v>
      </c>
      <c r="O188" s="49"/>
      <c r="P188" s="50"/>
    </row>
    <row r="189" spans="1:16" ht="15.75" customHeight="1" x14ac:dyDescent="0.3">
      <c r="A189" s="11"/>
      <c r="B189" s="11"/>
      <c r="D189" s="35" t="s">
        <v>3</v>
      </c>
      <c r="E189" s="44">
        <v>45427</v>
      </c>
      <c r="F189" s="37"/>
      <c r="G189" s="45">
        <v>0.90416666666666667</v>
      </c>
      <c r="H189" s="46">
        <f t="shared" ref="H189" si="60">IF((E189=0),"0",IF((E189=E188+1),(((24-INT(G188))+INT(G189))-1),(INT(G189)-INT(G188)-1))+((1-((G188-INT(G188))/0.6))+((G189-INT(G189))/0.6)))+(F189)</f>
        <v>0.73611111111111116</v>
      </c>
      <c r="I189" s="40"/>
      <c r="J189" s="47" t="s">
        <v>6</v>
      </c>
      <c r="K189" s="46">
        <v>24.8</v>
      </c>
      <c r="L189" s="46">
        <v>119.3</v>
      </c>
      <c r="M189" s="46">
        <f>IF(D189="eosp",L189/H189,"")</f>
        <v>162.06792452830186</v>
      </c>
      <c r="N189" s="46" t="s">
        <v>75</v>
      </c>
      <c r="O189" s="51">
        <v>0.44</v>
      </c>
      <c r="P189" s="52">
        <v>141.1</v>
      </c>
    </row>
    <row r="190" spans="1:16" ht="15.75" customHeight="1" x14ac:dyDescent="0.3">
      <c r="A190" s="11"/>
      <c r="B190" s="11"/>
      <c r="D190" s="35"/>
      <c r="E190" s="36"/>
      <c r="F190" s="37"/>
      <c r="G190" s="38"/>
      <c r="H190" s="39"/>
      <c r="I190" s="40"/>
      <c r="J190" s="41"/>
      <c r="K190" s="39"/>
      <c r="L190" s="39"/>
      <c r="M190" s="39"/>
      <c r="N190" s="39" t="s">
        <v>74</v>
      </c>
      <c r="O190" s="42"/>
      <c r="P190" s="43"/>
    </row>
    <row r="191" spans="1:16" ht="15.75" customHeight="1" x14ac:dyDescent="0.3">
      <c r="A191" s="11"/>
      <c r="B191" s="11"/>
      <c r="D191" s="35" t="s">
        <v>4</v>
      </c>
      <c r="E191" s="44">
        <v>45428</v>
      </c>
      <c r="F191" s="37"/>
      <c r="G191" s="45">
        <v>0.73333333333333339</v>
      </c>
      <c r="H191" s="46"/>
      <c r="I191" s="40"/>
      <c r="J191" s="47" t="s">
        <v>8</v>
      </c>
      <c r="K191" s="48"/>
      <c r="L191" s="46"/>
      <c r="M191" s="46"/>
      <c r="N191" s="46" t="s">
        <v>74</v>
      </c>
      <c r="O191" s="49"/>
      <c r="P191" s="50"/>
    </row>
    <row r="192" spans="1:16" ht="15.75" customHeight="1" x14ac:dyDescent="0.3">
      <c r="A192" s="11"/>
      <c r="B192" s="11"/>
      <c r="D192" s="35" t="s">
        <v>3</v>
      </c>
      <c r="E192" s="44">
        <v>45429</v>
      </c>
      <c r="F192" s="37"/>
      <c r="G192" s="45">
        <v>0.22916666666666666</v>
      </c>
      <c r="H192" s="46">
        <f t="shared" ref="H192" si="61">IF((E192=0),"0",IF((E192=E191+1),(((24-INT(G191))+INT(G192))-1),(INT(G192)-INT(G191)-1))+((1-((G191-INT(G191))/0.6))+((G192-INT(G192))/0.6)))+(F192)</f>
        <v>23.159722222222221</v>
      </c>
      <c r="I192" s="40"/>
      <c r="J192" s="47" t="s">
        <v>5</v>
      </c>
      <c r="K192" s="46">
        <v>22</v>
      </c>
      <c r="L192" s="46">
        <v>119.2</v>
      </c>
      <c r="M192" s="46">
        <f>IF(D192="eosp",L192/H192,"")</f>
        <v>5.1468665667166418</v>
      </c>
      <c r="N192" s="46" t="s">
        <v>41</v>
      </c>
      <c r="O192" s="51">
        <v>0.41</v>
      </c>
      <c r="P192" s="52">
        <v>121</v>
      </c>
    </row>
    <row r="193" spans="1:16" ht="15.75" customHeight="1" x14ac:dyDescent="0.3">
      <c r="A193" s="11"/>
      <c r="B193" s="11"/>
      <c r="D193" s="35"/>
      <c r="E193" s="36"/>
      <c r="F193" s="37"/>
      <c r="G193" s="38"/>
      <c r="H193" s="39"/>
      <c r="I193" s="40"/>
      <c r="J193" s="41"/>
      <c r="K193" s="39"/>
      <c r="L193" s="39"/>
      <c r="M193" s="39"/>
      <c r="N193" s="39" t="s">
        <v>74</v>
      </c>
      <c r="O193" s="42"/>
      <c r="P193" s="43"/>
    </row>
    <row r="194" spans="1:16" ht="15.75" customHeight="1" x14ac:dyDescent="0.3">
      <c r="A194" s="11"/>
      <c r="B194" s="11"/>
      <c r="D194" s="35" t="s">
        <v>4</v>
      </c>
      <c r="E194" s="44">
        <v>45430</v>
      </c>
      <c r="F194" s="37"/>
      <c r="G194" s="45">
        <v>0.17500000000000002</v>
      </c>
      <c r="H194" s="46"/>
      <c r="I194" s="40"/>
      <c r="J194" s="47" t="s">
        <v>7</v>
      </c>
      <c r="K194" s="48"/>
      <c r="L194" s="46"/>
      <c r="M194" s="46"/>
      <c r="N194" s="46" t="s">
        <v>74</v>
      </c>
      <c r="O194" s="49"/>
      <c r="P194" s="50"/>
    </row>
    <row r="195" spans="1:16" ht="15.75" customHeight="1" x14ac:dyDescent="0.3">
      <c r="A195" s="11"/>
      <c r="B195" s="11"/>
      <c r="D195" s="35" t="s">
        <v>3</v>
      </c>
      <c r="E195" s="44">
        <v>45430</v>
      </c>
      <c r="F195" s="37"/>
      <c r="G195" s="45">
        <v>0.625</v>
      </c>
      <c r="H195" s="46">
        <f t="shared" ref="H195" si="62">IF((E195=0),"0",IF((E195=E194+1),(((24-INT(G194))+INT(G195))-1),(INT(G195)-INT(G194)-1))+((1-((G194-INT(G194))/0.6))+((G195-INT(G195))/0.6)))+(F195)</f>
        <v>0.75</v>
      </c>
      <c r="I195" s="40"/>
      <c r="J195" s="47" t="s">
        <v>6</v>
      </c>
      <c r="K195" s="46">
        <v>26</v>
      </c>
      <c r="L195" s="46">
        <v>120.6</v>
      </c>
      <c r="M195" s="46">
        <f>IF(D195="eosp",L195/H195,"")</f>
        <v>160.79999999999998</v>
      </c>
      <c r="N195" s="46" t="s">
        <v>55</v>
      </c>
      <c r="O195" s="51">
        <v>0.65</v>
      </c>
      <c r="P195" s="52">
        <v>142</v>
      </c>
    </row>
    <row r="196" spans="1:16" ht="15.75" customHeight="1" x14ac:dyDescent="0.3">
      <c r="A196" s="11"/>
      <c r="B196" s="11"/>
      <c r="D196" s="35"/>
      <c r="E196" s="36"/>
      <c r="F196" s="37"/>
      <c r="G196" s="38"/>
      <c r="H196" s="39"/>
      <c r="I196" s="40"/>
      <c r="J196" s="41"/>
      <c r="K196" s="39"/>
      <c r="L196" s="39"/>
      <c r="M196" s="39"/>
      <c r="N196" s="39" t="s">
        <v>74</v>
      </c>
      <c r="O196" s="42"/>
      <c r="P196" s="43"/>
    </row>
    <row r="197" spans="1:16" ht="15.75" customHeight="1" x14ac:dyDescent="0.3">
      <c r="A197" s="11"/>
      <c r="B197" s="11"/>
      <c r="D197" s="35" t="s">
        <v>4</v>
      </c>
      <c r="E197" s="44">
        <v>45431</v>
      </c>
      <c r="F197" s="37"/>
      <c r="G197" s="45">
        <v>0.62916666666666665</v>
      </c>
      <c r="H197" s="46"/>
      <c r="I197" s="40"/>
      <c r="J197" s="47" t="s">
        <v>8</v>
      </c>
      <c r="K197" s="48"/>
      <c r="L197" s="46"/>
      <c r="M197" s="46"/>
      <c r="N197" s="46" t="s">
        <v>74</v>
      </c>
      <c r="O197" s="49"/>
      <c r="P197" s="50"/>
    </row>
    <row r="198" spans="1:16" ht="15.75" customHeight="1" x14ac:dyDescent="0.3">
      <c r="A198" s="11"/>
      <c r="B198" s="11"/>
      <c r="D198" s="35" t="s">
        <v>3</v>
      </c>
      <c r="E198" s="44">
        <v>45432</v>
      </c>
      <c r="F198" s="37"/>
      <c r="G198" s="45">
        <v>0.125</v>
      </c>
      <c r="H198" s="46">
        <f t="shared" ref="H198" si="63">IF((E198=0),"0",IF((E198=E197+1),(((24-INT(G197))+INT(G198))-1),(INT(G198)-INT(G197)-1))+((1-((G197-INT(G197))/0.6))+((G198-INT(G198))/0.6)))+(F198)</f>
        <v>23.159722222222221</v>
      </c>
      <c r="I198" s="40"/>
      <c r="J198" s="47" t="s">
        <v>5</v>
      </c>
      <c r="K198" s="46">
        <v>21.9</v>
      </c>
      <c r="L198" s="46">
        <v>119.5</v>
      </c>
      <c r="M198" s="46">
        <f>IF(D198="eosp",L198/H198,"")</f>
        <v>5.1598200899550228</v>
      </c>
      <c r="N198" s="46" t="s">
        <v>39</v>
      </c>
      <c r="O198" s="51">
        <v>0.44</v>
      </c>
      <c r="P198" s="52">
        <v>121.2</v>
      </c>
    </row>
    <row r="199" spans="1:16" ht="15.75" customHeight="1" x14ac:dyDescent="0.3">
      <c r="A199" s="11"/>
      <c r="B199" s="11"/>
      <c r="D199" s="35"/>
      <c r="E199" s="36"/>
      <c r="F199" s="37"/>
      <c r="G199" s="38"/>
      <c r="H199" s="39"/>
      <c r="I199" s="40"/>
      <c r="J199" s="41"/>
      <c r="K199" s="39"/>
      <c r="L199" s="39"/>
      <c r="M199" s="39"/>
      <c r="N199" s="39" t="s">
        <v>74</v>
      </c>
      <c r="O199" s="42"/>
      <c r="P199" s="43"/>
    </row>
    <row r="200" spans="1:16" ht="15.75" customHeight="1" x14ac:dyDescent="0.3">
      <c r="A200" s="11"/>
      <c r="B200" s="11"/>
      <c r="D200" s="35" t="s">
        <v>4</v>
      </c>
      <c r="E200" s="44">
        <v>45433</v>
      </c>
      <c r="F200" s="37"/>
      <c r="G200" s="45">
        <v>4.1666666666666666E-3</v>
      </c>
      <c r="H200" s="46"/>
      <c r="I200" s="40"/>
      <c r="J200" s="47" t="s">
        <v>7</v>
      </c>
      <c r="K200" s="48"/>
      <c r="L200" s="46"/>
      <c r="M200" s="46"/>
      <c r="N200" s="46" t="s">
        <v>74</v>
      </c>
      <c r="O200" s="49"/>
      <c r="P200" s="50"/>
    </row>
    <row r="201" spans="1:16" ht="15.75" customHeight="1" x14ac:dyDescent="0.3">
      <c r="A201" s="11"/>
      <c r="B201" s="11"/>
      <c r="D201" s="35" t="s">
        <v>3</v>
      </c>
      <c r="E201" s="44">
        <v>45433</v>
      </c>
      <c r="F201" s="37"/>
      <c r="G201" s="45">
        <v>0.49583333333333335</v>
      </c>
      <c r="H201" s="46">
        <f t="shared" ref="H201" si="64">IF((E201=0),"0",IF((E201=E200+1),(((24-INT(G200))+INT(G201))-1),(INT(G201)-INT(G200)-1))+((1-((G200-INT(G200))/0.6))+((G201-INT(G201))/0.6)))+(F201)</f>
        <v>0.81944444444444464</v>
      </c>
      <c r="I201" s="40"/>
      <c r="J201" s="47" t="s">
        <v>6</v>
      </c>
      <c r="K201" s="46">
        <v>21.5</v>
      </c>
      <c r="L201" s="46">
        <v>119</v>
      </c>
      <c r="M201" s="46">
        <f>IF(D201="eosp",L201/H201,"")</f>
        <v>145.22033898305082</v>
      </c>
      <c r="N201" s="46" t="s">
        <v>37</v>
      </c>
      <c r="O201" s="51">
        <v>0.46</v>
      </c>
      <c r="P201" s="52">
        <v>121.1</v>
      </c>
    </row>
    <row r="202" spans="1:16" ht="15.75" customHeight="1" x14ac:dyDescent="0.3">
      <c r="A202" s="11"/>
      <c r="B202" s="11"/>
      <c r="D202" s="35"/>
      <c r="E202" s="36"/>
      <c r="F202" s="37"/>
      <c r="G202" s="38"/>
      <c r="H202" s="39"/>
      <c r="I202" s="40"/>
      <c r="J202" s="41"/>
      <c r="K202" s="39"/>
      <c r="L202" s="39"/>
      <c r="M202" s="39"/>
      <c r="N202" s="39" t="s">
        <v>74</v>
      </c>
      <c r="O202" s="42"/>
      <c r="P202" s="43"/>
    </row>
    <row r="203" spans="1:16" ht="15.75" customHeight="1" x14ac:dyDescent="0.3">
      <c r="A203" s="11"/>
      <c r="B203" s="11"/>
      <c r="D203" s="35" t="s">
        <v>4</v>
      </c>
      <c r="E203" s="44">
        <v>45437</v>
      </c>
      <c r="F203" s="37"/>
      <c r="G203" s="45">
        <v>0.50416666666666665</v>
      </c>
      <c r="H203" s="46"/>
      <c r="I203" s="40"/>
      <c r="J203" s="47" t="s">
        <v>7</v>
      </c>
      <c r="K203" s="48"/>
      <c r="L203" s="46"/>
      <c r="M203" s="46"/>
      <c r="N203" s="46" t="s">
        <v>74</v>
      </c>
      <c r="O203" s="49"/>
      <c r="P203" s="50"/>
    </row>
    <row r="204" spans="1:16" ht="15.75" customHeight="1" x14ac:dyDescent="0.3">
      <c r="A204" s="11"/>
      <c r="B204" s="11"/>
      <c r="D204" s="35" t="s">
        <v>3</v>
      </c>
      <c r="E204" s="44">
        <v>45437</v>
      </c>
      <c r="F204" s="37"/>
      <c r="G204" s="45">
        <v>0.95833333333333337</v>
      </c>
      <c r="H204" s="46">
        <f t="shared" ref="H204" si="65">IF((E204=0),"0",IF((E204=E203+1),(((24-INT(G203))+INT(G204))-1),(INT(G204)-INT(G203)-1))+((1-((G203-INT(G203))/0.6))+((G204-INT(G204))/0.6)))+(F204)</f>
        <v>0.75694444444444464</v>
      </c>
      <c r="I204" s="40"/>
      <c r="J204" s="47" t="s">
        <v>6</v>
      </c>
      <c r="K204" s="46">
        <v>30.5</v>
      </c>
      <c r="L204" s="46">
        <v>101.3</v>
      </c>
      <c r="M204" s="46">
        <f>IF(D204="eosp",L204/H204,"")</f>
        <v>133.82752293577977</v>
      </c>
      <c r="N204" s="46" t="s">
        <v>51</v>
      </c>
      <c r="O204" s="51">
        <v>0.52</v>
      </c>
      <c r="P204" s="52">
        <v>126</v>
      </c>
    </row>
    <row r="205" spans="1:16" ht="15.75" customHeight="1" x14ac:dyDescent="0.3">
      <c r="A205" s="11"/>
      <c r="B205" s="11"/>
      <c r="D205" s="35"/>
      <c r="E205" s="36"/>
      <c r="F205" s="37"/>
      <c r="G205" s="38"/>
      <c r="H205" s="39"/>
      <c r="I205" s="40"/>
      <c r="J205" s="41"/>
      <c r="K205" s="39"/>
      <c r="L205" s="39"/>
      <c r="M205" s="39"/>
      <c r="N205" s="39" t="s">
        <v>74</v>
      </c>
      <c r="O205" s="42"/>
      <c r="P205" s="43"/>
    </row>
    <row r="206" spans="1:16" ht="15.75" customHeight="1" x14ac:dyDescent="0.3">
      <c r="A206" s="11"/>
      <c r="B206" s="11"/>
      <c r="D206" s="35" t="s">
        <v>4</v>
      </c>
      <c r="E206" s="44">
        <v>45439</v>
      </c>
      <c r="F206" s="37"/>
      <c r="G206" s="45">
        <v>0.46249999999999997</v>
      </c>
      <c r="H206" s="46"/>
      <c r="I206" s="40"/>
      <c r="J206" s="47" t="s">
        <v>8</v>
      </c>
      <c r="K206" s="48"/>
      <c r="L206" s="46"/>
      <c r="M206" s="46"/>
      <c r="N206" s="46" t="s">
        <v>74</v>
      </c>
      <c r="O206" s="49"/>
      <c r="P206" s="50"/>
    </row>
    <row r="207" spans="1:16" ht="15.75" customHeight="1" x14ac:dyDescent="0.3">
      <c r="A207" s="11"/>
      <c r="B207" s="11"/>
      <c r="D207" s="35" t="s">
        <v>3</v>
      </c>
      <c r="E207" s="44">
        <v>45439</v>
      </c>
      <c r="F207" s="37"/>
      <c r="G207" s="45">
        <v>0.875</v>
      </c>
      <c r="H207" s="46">
        <f t="shared" ref="H207" si="66">IF((E207=0),"0",IF((E207=E206+1),(((24-INT(G206))+INT(G207))-1),(INT(G207)-INT(G206)-1))+((1-((G206-INT(G206))/0.6))+((G207-INT(G207))/0.6)))+(F207)</f>
        <v>0.68750000000000022</v>
      </c>
      <c r="I207" s="40"/>
      <c r="J207" s="47" t="s">
        <v>5</v>
      </c>
      <c r="K207" s="46">
        <v>22.4</v>
      </c>
      <c r="L207" s="46">
        <v>113.7</v>
      </c>
      <c r="M207" s="46">
        <f>IF(D207="eosp",L207/H207,"")</f>
        <v>165.38181818181812</v>
      </c>
      <c r="N207" s="46" t="s">
        <v>49</v>
      </c>
      <c r="O207" s="51">
        <v>0.61</v>
      </c>
      <c r="P207" s="52">
        <v>139.5</v>
      </c>
    </row>
    <row r="208" spans="1:16" ht="15.75" customHeight="1" x14ac:dyDescent="0.3">
      <c r="A208" s="11"/>
      <c r="B208" s="11"/>
      <c r="D208" s="35"/>
      <c r="E208" s="36"/>
      <c r="F208" s="37"/>
      <c r="G208" s="38"/>
      <c r="H208" s="39"/>
      <c r="I208" s="40"/>
      <c r="J208" s="41"/>
      <c r="K208" s="39"/>
      <c r="L208" s="39"/>
      <c r="M208" s="39"/>
      <c r="N208" s="39" t="s">
        <v>74</v>
      </c>
      <c r="O208" s="42"/>
      <c r="P208" s="43"/>
    </row>
    <row r="209" spans="1:18" ht="15.75" customHeight="1" x14ac:dyDescent="0.3">
      <c r="A209" s="11"/>
      <c r="B209" s="11"/>
      <c r="D209" s="35" t="s">
        <v>4</v>
      </c>
      <c r="E209" s="44">
        <v>45440</v>
      </c>
      <c r="F209" s="37"/>
      <c r="G209" s="45">
        <v>0.75416666666666676</v>
      </c>
      <c r="H209" s="46"/>
      <c r="I209" s="40"/>
      <c r="J209" s="47" t="s">
        <v>7</v>
      </c>
      <c r="K209" s="48"/>
      <c r="L209" s="46"/>
      <c r="M209" s="46"/>
      <c r="N209" s="46" t="s">
        <v>74</v>
      </c>
      <c r="O209" s="49"/>
      <c r="P209" s="50"/>
    </row>
    <row r="210" spans="1:18" ht="15.75" customHeight="1" x14ac:dyDescent="0.3">
      <c r="A210" s="11"/>
      <c r="B210" s="11"/>
      <c r="D210" s="35" t="s">
        <v>3</v>
      </c>
      <c r="E210" s="44">
        <v>45441</v>
      </c>
      <c r="F210" s="37"/>
      <c r="G210" s="45">
        <v>0.25</v>
      </c>
      <c r="H210" s="46">
        <f t="shared" ref="H210" si="67">IF((E210=0),"0",IF((E210=E209+1),(((24-INT(G209))+INT(G210))-1),(INT(G210)-INT(G209)-1))+((1-((G209-INT(G209))/0.6))+((G210-INT(G210))/0.6)))+(F210)</f>
        <v>23.159722222222221</v>
      </c>
      <c r="I210" s="40"/>
      <c r="J210" s="47" t="s">
        <v>6</v>
      </c>
      <c r="K210" s="46">
        <v>29.4</v>
      </c>
      <c r="L210" s="46">
        <v>108.3</v>
      </c>
      <c r="M210" s="46">
        <f>IF(D210="eosp",L210/H210,"")</f>
        <v>4.6762218890554719</v>
      </c>
      <c r="N210" s="46" t="s">
        <v>37</v>
      </c>
      <c r="O210" s="51">
        <v>0.42</v>
      </c>
      <c r="P210" s="52">
        <v>121.4</v>
      </c>
    </row>
    <row r="211" spans="1:18" ht="15.75" customHeight="1" x14ac:dyDescent="0.3">
      <c r="A211" s="11"/>
      <c r="B211" s="11"/>
      <c r="D211" s="35"/>
      <c r="E211" s="36"/>
      <c r="F211" s="37"/>
      <c r="G211" s="38"/>
      <c r="H211" s="39"/>
      <c r="I211" s="40"/>
      <c r="J211" s="41"/>
      <c r="K211" s="39"/>
      <c r="L211" s="39"/>
      <c r="M211" s="39"/>
      <c r="N211" s="39" t="s">
        <v>74</v>
      </c>
      <c r="O211" s="42"/>
      <c r="P211" s="43"/>
    </row>
    <row r="212" spans="1:18" ht="15.75" customHeight="1" x14ac:dyDescent="0.3">
      <c r="A212" s="11"/>
      <c r="B212" s="11"/>
      <c r="D212" s="35" t="s">
        <v>4</v>
      </c>
      <c r="E212" s="44">
        <v>45442</v>
      </c>
      <c r="F212" s="37"/>
      <c r="G212" s="45">
        <v>4.1666666666666666E-3</v>
      </c>
      <c r="H212" s="46"/>
      <c r="I212" s="40"/>
      <c r="J212" s="47" t="s">
        <v>8</v>
      </c>
      <c r="K212" s="48"/>
      <c r="L212" s="46"/>
      <c r="M212" s="46"/>
      <c r="N212" s="46" t="s">
        <v>74</v>
      </c>
      <c r="O212" s="49"/>
      <c r="P212" s="50"/>
    </row>
    <row r="213" spans="1:18" ht="15.75" customHeight="1" x14ac:dyDescent="0.3">
      <c r="A213" s="11"/>
      <c r="B213" s="11"/>
      <c r="D213" s="35" t="s">
        <v>3</v>
      </c>
      <c r="E213" s="44">
        <v>45442</v>
      </c>
      <c r="F213" s="37"/>
      <c r="G213" s="45">
        <v>0.45833333333333331</v>
      </c>
      <c r="H213" s="46">
        <f t="shared" ref="H213" si="68">IF((E213=0),"0",IF((E213=E212+1),(((24-INT(G212))+INT(G213))-1),(INT(G213)-INT(G212)-1))+((1-((G212-INT(G212))/0.6))+((G213-INT(G213))/0.6)))+(F213)</f>
        <v>0.75694444444444442</v>
      </c>
      <c r="I213" s="40"/>
      <c r="J213" s="47" t="s">
        <v>5</v>
      </c>
      <c r="K213" s="46">
        <v>24.6</v>
      </c>
      <c r="L213" s="46">
        <v>120.1</v>
      </c>
      <c r="M213" s="46">
        <f>IF(D213="eosp",L213/H213,"")</f>
        <v>158.66422018348624</v>
      </c>
      <c r="N213" s="46" t="s">
        <v>56</v>
      </c>
      <c r="O213" s="51">
        <v>0.64</v>
      </c>
      <c r="P213" s="52">
        <v>137.69999999999999</v>
      </c>
    </row>
    <row r="214" spans="1:18" ht="15.75" customHeight="1" x14ac:dyDescent="0.3">
      <c r="A214" s="11"/>
      <c r="B214" s="11"/>
      <c r="D214" s="35"/>
      <c r="E214" s="36"/>
      <c r="F214" s="37"/>
      <c r="G214" s="38"/>
      <c r="H214" s="39"/>
      <c r="I214" s="40"/>
      <c r="J214" s="41"/>
      <c r="K214" s="39"/>
      <c r="L214" s="39"/>
      <c r="M214" s="39"/>
      <c r="N214" s="39" t="s">
        <v>74</v>
      </c>
      <c r="O214" s="42"/>
      <c r="P214" s="43"/>
    </row>
    <row r="215" spans="1:18" ht="15.75" customHeight="1" x14ac:dyDescent="0.3">
      <c r="A215" s="11"/>
      <c r="B215" s="11"/>
      <c r="D215" s="35" t="s">
        <v>4</v>
      </c>
      <c r="E215" s="44">
        <v>45446</v>
      </c>
      <c r="F215" s="37"/>
      <c r="G215" s="45">
        <v>0.96250000000000002</v>
      </c>
      <c r="H215" s="46"/>
      <c r="I215" s="40"/>
      <c r="J215" s="47" t="s">
        <v>8</v>
      </c>
      <c r="K215" s="48"/>
      <c r="L215" s="46"/>
      <c r="M215" s="46"/>
      <c r="N215" s="46" t="s">
        <v>74</v>
      </c>
      <c r="O215" s="49"/>
      <c r="P215" s="50"/>
    </row>
    <row r="216" spans="1:18" ht="15.75" customHeight="1" x14ac:dyDescent="0.3">
      <c r="A216" s="11"/>
      <c r="B216" s="11"/>
      <c r="D216" s="35" t="s">
        <v>3</v>
      </c>
      <c r="E216" s="44">
        <v>45447</v>
      </c>
      <c r="F216" s="37"/>
      <c r="G216" s="45">
        <v>0.33333333333333331</v>
      </c>
      <c r="H216" s="46">
        <f t="shared" ref="H216" si="69">IF((E216=0),"0",IF((E216=E215+1),(((24-INT(G215))+INT(G216))-1),(INT(G216)-INT(G215)-1))+((1-((G215-INT(G215))/0.6))+((G216-INT(G216))/0.6)))+(F216)</f>
        <v>22.951388888888889</v>
      </c>
      <c r="I216" s="40"/>
      <c r="J216" s="47" t="s">
        <v>5</v>
      </c>
      <c r="K216" s="46">
        <v>15.1</v>
      </c>
      <c r="L216" s="46">
        <v>115.7</v>
      </c>
      <c r="M216" s="46">
        <f>IF(D216="eosp",L216/H216,"")</f>
        <v>5.0410892586989409</v>
      </c>
      <c r="N216" s="46" t="s">
        <v>48</v>
      </c>
      <c r="O216" s="51">
        <v>0.61</v>
      </c>
      <c r="P216" s="52">
        <v>144.30000000000001</v>
      </c>
    </row>
    <row r="217" spans="1:18" ht="15.75" customHeight="1" x14ac:dyDescent="0.3">
      <c r="A217" s="11"/>
      <c r="B217" s="11"/>
      <c r="D217" s="35"/>
      <c r="E217" s="36"/>
      <c r="F217" s="37"/>
      <c r="G217" s="38"/>
      <c r="H217" s="39"/>
      <c r="I217" s="40"/>
      <c r="J217" s="41"/>
      <c r="K217" s="39"/>
      <c r="L217" s="39"/>
      <c r="M217" s="39"/>
      <c r="N217" s="39" t="s">
        <v>74</v>
      </c>
      <c r="O217" s="42"/>
      <c r="P217" s="43"/>
      <c r="Q217" s="15"/>
      <c r="R217" s="15"/>
    </row>
    <row r="218" spans="1:18" ht="15.75" customHeight="1" x14ac:dyDescent="0.3">
      <c r="A218" s="11"/>
      <c r="B218" s="11"/>
      <c r="D218" s="35" t="s">
        <v>4</v>
      </c>
      <c r="E218" s="44">
        <v>45448</v>
      </c>
      <c r="F218" s="37"/>
      <c r="G218" s="45">
        <v>0.37916666666666665</v>
      </c>
      <c r="H218" s="46"/>
      <c r="I218" s="40"/>
      <c r="J218" s="47" t="s">
        <v>7</v>
      </c>
      <c r="K218" s="48"/>
      <c r="L218" s="46"/>
      <c r="M218" s="46"/>
      <c r="N218" s="46" t="s">
        <v>74</v>
      </c>
      <c r="O218" s="49"/>
      <c r="P218" s="50"/>
    </row>
    <row r="219" spans="1:18" ht="15.75" customHeight="1" x14ac:dyDescent="0.3">
      <c r="A219" s="11"/>
      <c r="B219" s="11"/>
      <c r="D219" s="35" t="s">
        <v>3</v>
      </c>
      <c r="E219" s="44">
        <v>45448</v>
      </c>
      <c r="F219" s="37"/>
      <c r="G219" s="45">
        <v>0.70833333333333337</v>
      </c>
      <c r="H219" s="46">
        <f t="shared" ref="H219" si="70">IF((E219=0),"0",IF((E219=E218+1),(((24-INT(G218))+INT(G219))-1),(INT(G219)-INT(G218)-1))+((1-((G218-INT(G218))/0.6))+((G219-INT(G219))/0.6)))+(F219)</f>
        <v>0.54861111111111116</v>
      </c>
      <c r="I219" s="40"/>
      <c r="J219" s="47" t="s">
        <v>6</v>
      </c>
      <c r="K219" s="46">
        <v>13.8</v>
      </c>
      <c r="L219" s="46">
        <v>109.9</v>
      </c>
      <c r="M219" s="46">
        <f>IF(D219="eosp",L219/H219,"")</f>
        <v>200.32405063291139</v>
      </c>
      <c r="N219" s="46" t="s">
        <v>49</v>
      </c>
      <c r="O219" s="51">
        <v>0.62</v>
      </c>
      <c r="P219" s="52">
        <v>153.1</v>
      </c>
    </row>
    <row r="220" spans="1:18" ht="15.75" customHeight="1" x14ac:dyDescent="0.3">
      <c r="A220" s="11"/>
      <c r="B220" s="11"/>
      <c r="D220" s="35"/>
      <c r="E220" s="36"/>
      <c r="F220" s="37"/>
      <c r="G220" s="38"/>
      <c r="H220" s="39"/>
      <c r="I220" s="40"/>
      <c r="J220" s="41"/>
      <c r="K220" s="39"/>
      <c r="L220" s="39"/>
      <c r="M220" s="39"/>
      <c r="N220" s="39" t="s">
        <v>74</v>
      </c>
      <c r="O220" s="42"/>
      <c r="P220" s="43"/>
      <c r="Q220" s="15"/>
      <c r="R220" s="15"/>
    </row>
    <row r="221" spans="1:18" ht="15.75" customHeight="1" x14ac:dyDescent="0.3">
      <c r="A221" s="11"/>
      <c r="B221" s="11"/>
      <c r="D221" s="35" t="s">
        <v>4</v>
      </c>
      <c r="E221" s="44">
        <v>45449</v>
      </c>
      <c r="F221" s="37"/>
      <c r="G221" s="45">
        <v>0.58750000000000002</v>
      </c>
      <c r="H221" s="46"/>
      <c r="I221" s="40"/>
      <c r="J221" s="47" t="s">
        <v>8</v>
      </c>
      <c r="K221" s="48"/>
      <c r="L221" s="46"/>
      <c r="M221" s="46"/>
      <c r="N221" s="46" t="s">
        <v>74</v>
      </c>
      <c r="O221" s="49"/>
      <c r="P221" s="50"/>
    </row>
    <row r="222" spans="1:18" ht="15.75" customHeight="1" x14ac:dyDescent="0.3">
      <c r="A222" s="11"/>
      <c r="B222" s="11"/>
      <c r="D222" s="35" t="s">
        <v>3</v>
      </c>
      <c r="E222" s="44">
        <v>45450</v>
      </c>
      <c r="F222" s="37"/>
      <c r="G222" s="45">
        <v>0</v>
      </c>
      <c r="H222" s="46">
        <f t="shared" ref="H222" si="71">IF((E222=0),"0",IF((E222=E221+1),(((24-INT(G221))+INT(G222))-1),(INT(G222)-INT(G221)-1))+((1-((G221-INT(G221))/0.6))+((G222-INT(G222))/0.6)))+(F222)</f>
        <v>23.020833333333332</v>
      </c>
      <c r="I222" s="40"/>
      <c r="J222" s="47" t="s">
        <v>5</v>
      </c>
      <c r="K222" s="46">
        <v>9.8000000000000007</v>
      </c>
      <c r="L222" s="46">
        <v>115.2</v>
      </c>
      <c r="M222" s="46">
        <f>IF(D222="eosp",L222/H222,"")</f>
        <v>5.0041628959276023</v>
      </c>
      <c r="N222" s="46" t="s">
        <v>57</v>
      </c>
      <c r="O222" s="51">
        <v>0.3</v>
      </c>
      <c r="P222" s="52">
        <v>121.2</v>
      </c>
    </row>
    <row r="223" spans="1:18" ht="15.75" customHeight="1" x14ac:dyDescent="0.3">
      <c r="A223" s="11"/>
      <c r="B223" s="11"/>
      <c r="D223" s="35"/>
      <c r="E223" s="36"/>
      <c r="F223" s="37"/>
      <c r="G223" s="38"/>
      <c r="H223" s="39"/>
      <c r="I223" s="40"/>
      <c r="J223" s="41"/>
      <c r="K223" s="39"/>
      <c r="L223" s="39"/>
      <c r="M223" s="39"/>
      <c r="N223" s="39" t="s">
        <v>74</v>
      </c>
      <c r="O223" s="42"/>
      <c r="P223" s="43"/>
      <c r="Q223" s="15"/>
      <c r="R223" s="15"/>
    </row>
    <row r="224" spans="1:18" ht="15.75" customHeight="1" x14ac:dyDescent="0.3">
      <c r="A224" s="11"/>
      <c r="B224" s="11"/>
      <c r="D224" s="35" t="s">
        <v>4</v>
      </c>
      <c r="E224" s="44">
        <v>45450</v>
      </c>
      <c r="F224" s="37"/>
      <c r="G224" s="45">
        <v>0.79583333333333339</v>
      </c>
      <c r="H224" s="46"/>
      <c r="I224" s="40"/>
      <c r="J224" s="47" t="s">
        <v>7</v>
      </c>
      <c r="K224" s="48"/>
      <c r="L224" s="46"/>
      <c r="M224" s="46"/>
      <c r="N224" s="46" t="s">
        <v>74</v>
      </c>
      <c r="O224" s="49"/>
      <c r="P224" s="50"/>
    </row>
    <row r="225" spans="1:18" ht="15.75" customHeight="1" x14ac:dyDescent="0.3">
      <c r="A225" s="11"/>
      <c r="B225" s="11"/>
      <c r="D225" s="35" t="s">
        <v>3</v>
      </c>
      <c r="E225" s="44">
        <v>45451</v>
      </c>
      <c r="F225" s="37"/>
      <c r="G225" s="45">
        <v>0.25</v>
      </c>
      <c r="H225" s="46">
        <f t="shared" ref="H225" si="72">IF((E225=0),"0",IF((E225=E224+1),(((24-INT(G224))+INT(G225))-1),(INT(G225)-INT(G224)-1))+((1-((G224-INT(G224))/0.6))+((G225-INT(G225))/0.6)))+(F225)</f>
        <v>23.090277777777779</v>
      </c>
      <c r="I225" s="40"/>
      <c r="J225" s="47" t="s">
        <v>6</v>
      </c>
      <c r="K225" s="46">
        <v>17.100000000000001</v>
      </c>
      <c r="L225" s="46">
        <v>116</v>
      </c>
      <c r="M225" s="46">
        <f>IF(D225="eosp",L225/H225,"")</f>
        <v>5.0237593984962405</v>
      </c>
      <c r="N225" s="46" t="s">
        <v>35</v>
      </c>
      <c r="O225" s="51">
        <v>0.32</v>
      </c>
      <c r="P225" s="52">
        <v>121</v>
      </c>
    </row>
    <row r="226" spans="1:18" ht="15.75" customHeight="1" x14ac:dyDescent="0.3">
      <c r="A226" s="11"/>
      <c r="B226" s="11"/>
      <c r="D226" s="35"/>
      <c r="E226" s="36"/>
      <c r="F226" s="37"/>
      <c r="G226" s="38"/>
      <c r="H226" s="39"/>
      <c r="I226" s="40"/>
      <c r="J226" s="41"/>
      <c r="K226" s="39"/>
      <c r="L226" s="39"/>
      <c r="M226" s="39"/>
      <c r="N226" s="39" t="s">
        <v>74</v>
      </c>
      <c r="O226" s="42"/>
      <c r="P226" s="43"/>
      <c r="Q226" s="15"/>
      <c r="R226" s="15"/>
    </row>
    <row r="227" spans="1:18" ht="15.75" customHeight="1" x14ac:dyDescent="0.3">
      <c r="A227" s="11"/>
      <c r="B227" s="11"/>
      <c r="D227" s="35" t="s">
        <v>4</v>
      </c>
      <c r="E227" s="44">
        <v>45452</v>
      </c>
      <c r="F227" s="37"/>
      <c r="G227" s="45">
        <v>0.17083333333333331</v>
      </c>
      <c r="H227" s="46"/>
      <c r="I227" s="40"/>
      <c r="J227" s="47" t="s">
        <v>8</v>
      </c>
      <c r="K227" s="48"/>
      <c r="L227" s="46"/>
      <c r="M227" s="46"/>
      <c r="N227" s="46" t="s">
        <v>74</v>
      </c>
      <c r="O227" s="49"/>
      <c r="P227" s="50"/>
    </row>
    <row r="228" spans="1:18" ht="15.75" customHeight="1" x14ac:dyDescent="0.3">
      <c r="A228" s="11"/>
      <c r="B228" s="11"/>
      <c r="D228" s="35" t="s">
        <v>3</v>
      </c>
      <c r="E228" s="44">
        <v>45452</v>
      </c>
      <c r="F228" s="37"/>
      <c r="G228" s="45">
        <v>0.58333333333333337</v>
      </c>
      <c r="H228" s="46">
        <f t="shared" ref="H228" si="73">IF((E228=0),"0",IF((E228=E227+1),(((24-INT(G227))+INT(G228))-1),(INT(G228)-INT(G227)-1))+((1-((G227-INT(G227))/0.6))+((G228-INT(G228))/0.6)))+(F228)</f>
        <v>0.6875</v>
      </c>
      <c r="I228" s="40"/>
      <c r="J228" s="47" t="s">
        <v>5</v>
      </c>
      <c r="K228" s="46">
        <v>14.5</v>
      </c>
      <c r="L228" s="46">
        <v>119.2</v>
      </c>
      <c r="M228" s="46">
        <f>IF(D228="eosp",L228/H228,"")</f>
        <v>173.38181818181818</v>
      </c>
      <c r="N228" s="46" t="s">
        <v>39</v>
      </c>
      <c r="O228" s="51">
        <v>0.38</v>
      </c>
      <c r="P228" s="52">
        <v>130.1</v>
      </c>
    </row>
    <row r="229" spans="1:18" ht="15.75" customHeight="1" x14ac:dyDescent="0.3">
      <c r="A229" s="11"/>
      <c r="B229" s="11"/>
      <c r="D229" s="35"/>
      <c r="E229" s="36"/>
      <c r="F229" s="37"/>
      <c r="G229" s="38"/>
      <c r="H229" s="39"/>
      <c r="I229" s="40"/>
      <c r="J229" s="41"/>
      <c r="K229" s="39"/>
      <c r="L229" s="39"/>
      <c r="M229" s="39"/>
      <c r="N229" s="39" t="s">
        <v>74</v>
      </c>
      <c r="O229" s="42"/>
      <c r="P229" s="43"/>
      <c r="Q229" s="15"/>
      <c r="R229" s="15"/>
    </row>
    <row r="230" spans="1:18" ht="15.75" customHeight="1" x14ac:dyDescent="0.3">
      <c r="A230" s="11"/>
      <c r="B230" s="11"/>
      <c r="D230" s="35" t="s">
        <v>4</v>
      </c>
      <c r="E230" s="44">
        <v>45454</v>
      </c>
      <c r="F230" s="37"/>
      <c r="G230" s="45">
        <v>9.5833333333333326E-2</v>
      </c>
      <c r="H230" s="46"/>
      <c r="I230" s="40"/>
      <c r="J230" s="47" t="s">
        <v>7</v>
      </c>
      <c r="K230" s="48"/>
      <c r="L230" s="46"/>
      <c r="M230" s="46"/>
      <c r="N230" s="46" t="s">
        <v>74</v>
      </c>
      <c r="O230" s="49"/>
      <c r="P230" s="50"/>
    </row>
    <row r="231" spans="1:18" ht="15.75" customHeight="1" x14ac:dyDescent="0.3">
      <c r="A231" s="11"/>
      <c r="B231" s="11"/>
      <c r="D231" s="35" t="s">
        <v>3</v>
      </c>
      <c r="E231" s="44">
        <v>45454</v>
      </c>
      <c r="F231" s="37"/>
      <c r="G231" s="45">
        <v>0.52083333333333337</v>
      </c>
      <c r="H231" s="46">
        <f t="shared" ref="H231" si="74">IF((E231=0),"0",IF((E231=E230+1),(((24-INT(G230))+INT(G231))-1),(INT(G231)-INT(G230)-1))+((1-((G230-INT(G230))/0.6))+((G231-INT(G231))/0.6)))+(F231)</f>
        <v>0.70833333333333348</v>
      </c>
      <c r="I231" s="40"/>
      <c r="J231" s="47" t="s">
        <v>6</v>
      </c>
      <c r="K231" s="46">
        <v>16.100000000000001</v>
      </c>
      <c r="L231" s="46">
        <v>112.8</v>
      </c>
      <c r="M231" s="46">
        <f>IF(D231="eosp",L231/H231,"")</f>
        <v>159.24705882352939</v>
      </c>
      <c r="N231" s="46" t="s">
        <v>54</v>
      </c>
      <c r="O231" s="51">
        <v>0.34</v>
      </c>
      <c r="P231" s="52">
        <v>121.3</v>
      </c>
    </row>
    <row r="232" spans="1:18" ht="15.75" customHeight="1" x14ac:dyDescent="0.3">
      <c r="A232" s="11"/>
      <c r="B232" s="11"/>
      <c r="D232" s="35"/>
      <c r="E232" s="36"/>
      <c r="F232" s="37"/>
      <c r="G232" s="38"/>
      <c r="H232" s="39"/>
      <c r="I232" s="40"/>
      <c r="J232" s="41"/>
      <c r="K232" s="39"/>
      <c r="L232" s="39"/>
      <c r="M232" s="39"/>
      <c r="N232" s="39" t="s">
        <v>74</v>
      </c>
      <c r="O232" s="42"/>
      <c r="P232" s="43"/>
      <c r="Q232" s="15"/>
      <c r="R232" s="15"/>
    </row>
    <row r="233" spans="1:18" ht="15.75" customHeight="1" x14ac:dyDescent="0.3">
      <c r="A233" s="11"/>
      <c r="B233" s="11"/>
      <c r="D233" s="35" t="s">
        <v>4</v>
      </c>
      <c r="E233" s="44">
        <v>45455</v>
      </c>
      <c r="F233" s="37"/>
      <c r="G233" s="45">
        <v>0.33749999999999997</v>
      </c>
      <c r="H233" s="46"/>
      <c r="I233" s="40"/>
      <c r="J233" s="47" t="s">
        <v>8</v>
      </c>
      <c r="K233" s="48"/>
      <c r="L233" s="46"/>
      <c r="M233" s="46"/>
      <c r="N233" s="46" t="s">
        <v>74</v>
      </c>
      <c r="O233" s="49"/>
      <c r="P233" s="50"/>
    </row>
    <row r="234" spans="1:18" ht="15.75" customHeight="1" x14ac:dyDescent="0.3">
      <c r="A234" s="11"/>
      <c r="B234" s="11"/>
      <c r="D234" s="35" t="s">
        <v>3</v>
      </c>
      <c r="E234" s="44">
        <v>45455</v>
      </c>
      <c r="F234" s="37"/>
      <c r="G234" s="45">
        <v>0.75</v>
      </c>
      <c r="H234" s="46">
        <f t="shared" ref="H234" si="75">IF((E234=0),"0",IF((E234=E233+1),(((24-INT(G233))+INT(G234))-1),(INT(G234)-INT(G233)-1))+((1-((G233-INT(G233))/0.6))+((G234-INT(G234))/0.6)))+(F234)</f>
        <v>0.6875</v>
      </c>
      <c r="I234" s="40"/>
      <c r="J234" s="47" t="s">
        <v>5</v>
      </c>
      <c r="K234" s="46">
        <v>12.8</v>
      </c>
      <c r="L234" s="46">
        <v>121.2</v>
      </c>
      <c r="M234" s="46">
        <f>IF(D234="eosp",L234/H234,"")</f>
        <v>176.29090909090908</v>
      </c>
      <c r="N234" s="46" t="s">
        <v>53</v>
      </c>
      <c r="O234" s="51">
        <v>0.41</v>
      </c>
      <c r="P234" s="52">
        <v>133.80000000000001</v>
      </c>
    </row>
    <row r="235" spans="1:18" ht="15.75" customHeight="1" x14ac:dyDescent="0.3">
      <c r="A235" s="11"/>
      <c r="B235" s="11"/>
      <c r="D235" s="35"/>
      <c r="E235" s="36"/>
      <c r="F235" s="37"/>
      <c r="G235" s="38"/>
      <c r="H235" s="39"/>
      <c r="I235" s="40"/>
      <c r="J235" s="41"/>
      <c r="K235" s="39"/>
      <c r="L235" s="39"/>
      <c r="M235" s="39"/>
      <c r="N235" s="39" t="s">
        <v>74</v>
      </c>
      <c r="O235" s="42"/>
      <c r="P235" s="43"/>
      <c r="Q235" s="15"/>
      <c r="R235" s="15"/>
    </row>
    <row r="236" spans="1:18" ht="15.75" customHeight="1" x14ac:dyDescent="0.3">
      <c r="A236" s="11"/>
      <c r="B236" s="11"/>
      <c r="D236" s="35" t="s">
        <v>4</v>
      </c>
      <c r="E236" s="44">
        <v>45457</v>
      </c>
      <c r="F236" s="37"/>
      <c r="G236" s="45">
        <v>0.15416666666666667</v>
      </c>
      <c r="H236" s="46"/>
      <c r="I236" s="40"/>
      <c r="J236" s="47" t="s">
        <v>7</v>
      </c>
      <c r="K236" s="48"/>
      <c r="L236" s="46"/>
      <c r="M236" s="46"/>
      <c r="N236" s="46" t="s">
        <v>74</v>
      </c>
      <c r="O236" s="49"/>
      <c r="P236" s="50"/>
    </row>
    <row r="237" spans="1:18" ht="15.75" customHeight="1" x14ac:dyDescent="0.3">
      <c r="A237" s="11"/>
      <c r="B237" s="11"/>
      <c r="D237" s="35" t="s">
        <v>3</v>
      </c>
      <c r="E237" s="44">
        <v>45457</v>
      </c>
      <c r="F237" s="37"/>
      <c r="G237" s="45">
        <v>0.60416666666666663</v>
      </c>
      <c r="H237" s="46">
        <f t="shared" ref="H237" si="76">IF((E237=0),"0",IF((E237=E236+1),(((24-INT(G236))+INT(G237))-1),(INT(G237)-INT(G236)-1))+((1-((G236-INT(G236))/0.6))+((G237-INT(G237))/0.6)))+(F237)</f>
        <v>0.75</v>
      </c>
      <c r="I237" s="40"/>
      <c r="J237" s="47" t="s">
        <v>6</v>
      </c>
      <c r="K237" s="46">
        <v>15.3</v>
      </c>
      <c r="L237" s="46">
        <v>119</v>
      </c>
      <c r="M237" s="46">
        <f>IF(D237="eosp",L237/H237,"")</f>
        <v>158.66666666666666</v>
      </c>
      <c r="N237" s="46" t="s">
        <v>58</v>
      </c>
      <c r="O237" s="51">
        <v>0.32</v>
      </c>
      <c r="P237" s="52">
        <v>121</v>
      </c>
    </row>
    <row r="238" spans="1:18" ht="15.75" customHeight="1" x14ac:dyDescent="0.3">
      <c r="A238" s="11"/>
      <c r="B238" s="11"/>
      <c r="D238" s="35"/>
      <c r="E238" s="36"/>
      <c r="F238" s="37"/>
      <c r="G238" s="38"/>
      <c r="H238" s="39"/>
      <c r="I238" s="40"/>
      <c r="J238" s="41"/>
      <c r="K238" s="39"/>
      <c r="L238" s="39"/>
      <c r="M238" s="39"/>
      <c r="N238" s="39" t="s">
        <v>74</v>
      </c>
      <c r="O238" s="42"/>
      <c r="P238" s="43"/>
      <c r="Q238" s="15"/>
      <c r="R238" s="15"/>
    </row>
    <row r="239" spans="1:18" ht="15.75" customHeight="1" x14ac:dyDescent="0.3">
      <c r="A239" s="11"/>
      <c r="B239" s="11"/>
      <c r="D239" s="35" t="s">
        <v>4</v>
      </c>
      <c r="E239" s="44">
        <v>45458</v>
      </c>
      <c r="F239" s="37"/>
      <c r="G239" s="45">
        <v>0.71250000000000002</v>
      </c>
      <c r="H239" s="46"/>
      <c r="I239" s="40"/>
      <c r="J239" s="47" t="s">
        <v>8</v>
      </c>
      <c r="K239" s="48"/>
      <c r="L239" s="46"/>
      <c r="M239" s="46"/>
      <c r="N239" s="46" t="s">
        <v>74</v>
      </c>
      <c r="O239" s="49"/>
      <c r="P239" s="50"/>
    </row>
    <row r="240" spans="1:18" ht="15.75" customHeight="1" x14ac:dyDescent="0.3">
      <c r="A240" s="11"/>
      <c r="B240" s="11"/>
      <c r="D240" s="35" t="s">
        <v>3</v>
      </c>
      <c r="E240" s="44">
        <v>45459</v>
      </c>
      <c r="F240" s="37"/>
      <c r="G240" s="45">
        <v>0.20833333333333334</v>
      </c>
      <c r="H240" s="46">
        <f t="shared" ref="H240" si="77">IF((E240=0),"0",IF((E240=E239+1),(((24-INT(G239))+INT(G240))-1),(INT(G240)-INT(G239)-1))+((1-((G239-INT(G239))/0.6))+((G240-INT(G240))/0.6)))+(F240)</f>
        <v>23.159722222222221</v>
      </c>
      <c r="I240" s="40"/>
      <c r="J240" s="47" t="s">
        <v>5</v>
      </c>
      <c r="K240" s="46">
        <v>21</v>
      </c>
      <c r="L240" s="46">
        <v>121.2</v>
      </c>
      <c r="M240" s="46">
        <f>IF(D240="eosp",L240/H240,"")</f>
        <v>5.2332233883058477</v>
      </c>
      <c r="N240" s="46" t="s">
        <v>38</v>
      </c>
      <c r="O240" s="51">
        <v>0.3</v>
      </c>
      <c r="P240" s="52">
        <v>121.6</v>
      </c>
    </row>
    <row r="241" spans="1:18" ht="15.75" customHeight="1" x14ac:dyDescent="0.3">
      <c r="A241" s="11"/>
      <c r="B241" s="11"/>
      <c r="D241" s="35"/>
      <c r="E241" s="36"/>
      <c r="F241" s="37"/>
      <c r="G241" s="38"/>
      <c r="H241" s="39"/>
      <c r="I241" s="40"/>
      <c r="J241" s="41"/>
      <c r="K241" s="39"/>
      <c r="L241" s="39"/>
      <c r="M241" s="39"/>
      <c r="N241" s="39" t="s">
        <v>74</v>
      </c>
      <c r="O241" s="42"/>
      <c r="P241" s="43"/>
      <c r="Q241" s="15"/>
      <c r="R241" s="15"/>
    </row>
    <row r="242" spans="1:18" ht="15.75" customHeight="1" x14ac:dyDescent="0.3">
      <c r="A242" s="11"/>
      <c r="B242" s="11"/>
      <c r="D242" s="35" t="s">
        <v>4</v>
      </c>
      <c r="E242" s="44">
        <v>45460</v>
      </c>
      <c r="F242" s="37"/>
      <c r="G242" s="45">
        <v>0.17083333333333331</v>
      </c>
      <c r="H242" s="46"/>
      <c r="I242" s="40"/>
      <c r="J242" s="47" t="s">
        <v>7</v>
      </c>
      <c r="K242" s="48"/>
      <c r="L242" s="46"/>
      <c r="M242" s="46"/>
      <c r="N242" s="46" t="s">
        <v>74</v>
      </c>
      <c r="O242" s="49"/>
      <c r="P242" s="50"/>
    </row>
    <row r="243" spans="1:18" ht="15.75" customHeight="1" x14ac:dyDescent="0.3">
      <c r="A243" s="11"/>
      <c r="B243" s="11"/>
      <c r="D243" s="35" t="s">
        <v>3</v>
      </c>
      <c r="E243" s="44">
        <v>45460</v>
      </c>
      <c r="F243" s="37"/>
      <c r="G243" s="45">
        <v>0.58333333333333337</v>
      </c>
      <c r="H243" s="46">
        <f t="shared" ref="H243" si="78">IF((E243=0),"0",IF((E243=E242+1),(((24-INT(G242))+INT(G243))-1),(INT(G243)-INT(G242)-1))+((1-((G242-INT(G242))/0.6))+((G243-INT(G243))/0.6)))+(F243)</f>
        <v>0.6875</v>
      </c>
      <c r="I243" s="40"/>
      <c r="J243" s="47" t="s">
        <v>6</v>
      </c>
      <c r="K243" s="46">
        <v>19.3</v>
      </c>
      <c r="L243" s="46">
        <v>113.8</v>
      </c>
      <c r="M243" s="46">
        <f>IF(D243="eosp",L243/H243,"")</f>
        <v>165.52727272727273</v>
      </c>
      <c r="N243" s="46" t="s">
        <v>31</v>
      </c>
      <c r="O243" s="51">
        <v>0.47</v>
      </c>
      <c r="P243" s="52">
        <v>131.6</v>
      </c>
    </row>
    <row r="244" spans="1:18" ht="15.75" customHeight="1" x14ac:dyDescent="0.3">
      <c r="A244" s="11"/>
      <c r="B244" s="11"/>
      <c r="D244" s="35"/>
      <c r="E244" s="36"/>
      <c r="F244" s="37"/>
      <c r="G244" s="38"/>
      <c r="H244" s="39"/>
      <c r="I244" s="40"/>
      <c r="J244" s="41"/>
      <c r="K244" s="39"/>
      <c r="L244" s="39"/>
      <c r="M244" s="39"/>
      <c r="N244" s="39" t="s">
        <v>74</v>
      </c>
      <c r="O244" s="42"/>
      <c r="P244" s="43"/>
      <c r="Q244" s="15"/>
      <c r="R244" s="15"/>
    </row>
    <row r="245" spans="1:18" ht="15.75" customHeight="1" x14ac:dyDescent="0.3">
      <c r="A245" s="11"/>
      <c r="B245" s="11"/>
      <c r="D245" s="35" t="s">
        <v>4</v>
      </c>
      <c r="E245" s="44">
        <v>45461</v>
      </c>
      <c r="F245" s="37"/>
      <c r="G245" s="45">
        <v>0.58750000000000002</v>
      </c>
      <c r="H245" s="46"/>
      <c r="I245" s="40"/>
      <c r="J245" s="47" t="s">
        <v>8</v>
      </c>
      <c r="K245" s="48"/>
      <c r="L245" s="46"/>
      <c r="M245" s="46"/>
      <c r="N245" s="46" t="s">
        <v>74</v>
      </c>
      <c r="O245" s="49"/>
      <c r="P245" s="50"/>
    </row>
    <row r="246" spans="1:18" ht="15.75" customHeight="1" x14ac:dyDescent="0.3">
      <c r="A246" s="11"/>
      <c r="B246" s="11"/>
      <c r="D246" s="35" t="s">
        <v>3</v>
      </c>
      <c r="E246" s="44">
        <v>45462</v>
      </c>
      <c r="F246" s="37"/>
      <c r="G246" s="45">
        <v>8.3333333333333329E-2</v>
      </c>
      <c r="H246" s="46">
        <f t="shared" ref="H246" si="79">IF((E246=0),"0",IF((E246=E245+1),(((24-INT(G245))+INT(G246))-1),(INT(G246)-INT(G245)-1))+((1-((G245-INT(G245))/0.6))+((G246-INT(G246))/0.6)))+(F246)</f>
        <v>23.159722222222221</v>
      </c>
      <c r="I246" s="40"/>
      <c r="J246" s="47" t="s">
        <v>5</v>
      </c>
      <c r="K246" s="46">
        <v>19.7</v>
      </c>
      <c r="L246" s="46">
        <v>122.6</v>
      </c>
      <c r="M246" s="46">
        <f>IF(D246="eosp",L246/H246,"")</f>
        <v>5.2936731634182905</v>
      </c>
      <c r="N246" s="46" t="s">
        <v>44</v>
      </c>
      <c r="O246" s="51">
        <v>0.31</v>
      </c>
      <c r="P246" s="52">
        <v>120.8</v>
      </c>
    </row>
    <row r="247" spans="1:18" ht="15.75" customHeight="1" x14ac:dyDescent="0.3">
      <c r="A247" s="11"/>
      <c r="B247" s="11"/>
      <c r="D247" s="35"/>
      <c r="E247" s="36"/>
      <c r="F247" s="37"/>
      <c r="G247" s="38"/>
      <c r="H247" s="39"/>
      <c r="I247" s="40"/>
      <c r="J247" s="41"/>
      <c r="K247" s="39"/>
      <c r="L247" s="39"/>
      <c r="M247" s="39"/>
      <c r="N247" s="39" t="s">
        <v>74</v>
      </c>
      <c r="O247" s="42"/>
      <c r="P247" s="43"/>
      <c r="Q247" s="15"/>
      <c r="R247" s="15"/>
    </row>
    <row r="248" spans="1:18" ht="15.75" customHeight="1" x14ac:dyDescent="0.3">
      <c r="A248" s="11"/>
      <c r="B248" s="11"/>
      <c r="D248" s="35" t="s">
        <v>4</v>
      </c>
      <c r="E248" s="44">
        <v>45463</v>
      </c>
      <c r="F248" s="37"/>
      <c r="G248" s="45">
        <v>8.7500000000000008E-2</v>
      </c>
      <c r="H248" s="46"/>
      <c r="I248" s="40"/>
      <c r="J248" s="47" t="s">
        <v>7</v>
      </c>
      <c r="K248" s="48"/>
      <c r="L248" s="46"/>
      <c r="M248" s="46"/>
      <c r="N248" s="46" t="s">
        <v>74</v>
      </c>
      <c r="O248" s="49"/>
      <c r="P248" s="50"/>
    </row>
    <row r="249" spans="1:18" ht="15.75" customHeight="1" x14ac:dyDescent="0.3">
      <c r="A249" s="11"/>
      <c r="B249" s="11"/>
      <c r="D249" s="35" t="s">
        <v>3</v>
      </c>
      <c r="E249" s="44">
        <v>45463</v>
      </c>
      <c r="F249" s="37"/>
      <c r="G249" s="45">
        <v>0.54166666666666663</v>
      </c>
      <c r="H249" s="46">
        <f t="shared" ref="H249" si="80">IF((E249=0),"0",IF((E249=E248+1),(((24-INT(G248))+INT(G249))-1),(INT(G249)-INT(G248)-1))+((1-((G248-INT(G248))/0.6))+((G249-INT(G249))/0.6)))+(F249)</f>
        <v>0.75694444444444442</v>
      </c>
      <c r="I249" s="40"/>
      <c r="J249" s="47" t="s">
        <v>6</v>
      </c>
      <c r="K249" s="46">
        <v>20.3</v>
      </c>
      <c r="L249" s="46">
        <v>112.8</v>
      </c>
      <c r="M249" s="46">
        <f>IF(D249="eosp",L249/H249,"")</f>
        <v>149.02018348623852</v>
      </c>
      <c r="N249" s="46" t="s">
        <v>77</v>
      </c>
      <c r="O249" s="51">
        <v>0.3</v>
      </c>
      <c r="P249" s="52">
        <v>121</v>
      </c>
    </row>
    <row r="250" spans="1:18" ht="15.75" customHeight="1" x14ac:dyDescent="0.3">
      <c r="A250" s="11"/>
      <c r="B250" s="11"/>
      <c r="D250" s="35"/>
      <c r="E250" s="36"/>
      <c r="F250" s="37"/>
      <c r="G250" s="38"/>
      <c r="H250" s="39"/>
      <c r="I250" s="40"/>
      <c r="J250" s="41"/>
      <c r="K250" s="39"/>
      <c r="L250" s="39"/>
      <c r="M250" s="39"/>
      <c r="N250" s="39" t="s">
        <v>74</v>
      </c>
      <c r="O250" s="42"/>
      <c r="P250" s="43"/>
      <c r="Q250" s="15"/>
      <c r="R250" s="15"/>
    </row>
    <row r="251" spans="1:18" ht="15.75" customHeight="1" x14ac:dyDescent="0.3">
      <c r="A251" s="11"/>
      <c r="B251" s="11"/>
      <c r="D251" s="35" t="s">
        <v>4</v>
      </c>
      <c r="E251" s="44">
        <v>45464</v>
      </c>
      <c r="F251" s="37"/>
      <c r="G251" s="45">
        <v>0.50416666666666665</v>
      </c>
      <c r="H251" s="46"/>
      <c r="I251" s="40"/>
      <c r="J251" s="47" t="s">
        <v>8</v>
      </c>
      <c r="K251" s="48"/>
      <c r="L251" s="46"/>
      <c r="M251" s="46"/>
      <c r="N251" s="46" t="s">
        <v>74</v>
      </c>
      <c r="O251" s="49"/>
      <c r="P251" s="50"/>
    </row>
    <row r="252" spans="1:18" ht="15.75" customHeight="1" x14ac:dyDescent="0.3">
      <c r="A252" s="11"/>
      <c r="B252" s="11"/>
      <c r="D252" s="35" t="s">
        <v>3</v>
      </c>
      <c r="E252" s="44">
        <v>45464</v>
      </c>
      <c r="F252" s="37"/>
      <c r="G252" s="45">
        <v>0.8208333333333333</v>
      </c>
      <c r="H252" s="46">
        <f t="shared" ref="H252" si="81">IF((E252=0),"0",IF((E252=E251+1),(((24-INT(G251))+INT(G252))-1),(INT(G252)-INT(G251)-1))+((1-((G251-INT(G251))/0.6))+((G252-INT(G252))/0.6)))+(F252)</f>
        <v>0.52777777777777768</v>
      </c>
      <c r="I252" s="40"/>
      <c r="J252" s="47" t="s">
        <v>5</v>
      </c>
      <c r="K252" s="46">
        <v>12.2</v>
      </c>
      <c r="L252" s="46">
        <v>111.8</v>
      </c>
      <c r="M252" s="46">
        <f>IF(D252="eosp",L252/H252,"")</f>
        <v>211.83157894736846</v>
      </c>
      <c r="N252" s="46" t="s">
        <v>45</v>
      </c>
      <c r="O252" s="51">
        <v>0.77</v>
      </c>
      <c r="P252" s="52">
        <v>157.80000000000001</v>
      </c>
    </row>
    <row r="253" spans="1:18" ht="15.75" customHeight="1" x14ac:dyDescent="0.3">
      <c r="A253" s="11"/>
      <c r="B253" s="11"/>
      <c r="D253" s="35"/>
      <c r="E253" s="36"/>
      <c r="F253" s="37"/>
      <c r="G253" s="38"/>
      <c r="H253" s="39"/>
      <c r="I253" s="40"/>
      <c r="J253" s="41"/>
      <c r="K253" s="39"/>
      <c r="L253" s="39"/>
      <c r="M253" s="39"/>
      <c r="N253" s="39" t="s">
        <v>74</v>
      </c>
      <c r="O253" s="42"/>
      <c r="P253" s="43"/>
      <c r="Q253" s="15"/>
      <c r="R253" s="15"/>
    </row>
    <row r="254" spans="1:18" ht="15.75" customHeight="1" x14ac:dyDescent="0.3">
      <c r="A254" s="11"/>
      <c r="B254" s="11"/>
      <c r="D254" s="35" t="s">
        <v>4</v>
      </c>
      <c r="E254" s="44">
        <v>45465</v>
      </c>
      <c r="F254" s="37"/>
      <c r="G254" s="45">
        <v>0.67083333333333339</v>
      </c>
      <c r="H254" s="46"/>
      <c r="I254" s="40"/>
      <c r="J254" s="47" t="s">
        <v>7</v>
      </c>
      <c r="K254" s="48"/>
      <c r="L254" s="46"/>
      <c r="M254" s="46"/>
      <c r="N254" s="46" t="s">
        <v>74</v>
      </c>
      <c r="O254" s="49"/>
      <c r="P254" s="50"/>
    </row>
    <row r="255" spans="1:18" ht="15.75" customHeight="1" x14ac:dyDescent="0.3">
      <c r="A255" s="11"/>
      <c r="B255" s="11"/>
      <c r="D255" s="35" t="s">
        <v>3</v>
      </c>
      <c r="E255" s="44">
        <v>45466</v>
      </c>
      <c r="F255" s="37"/>
      <c r="G255" s="45">
        <v>0.16666666666666666</v>
      </c>
      <c r="H255" s="46">
        <f t="shared" ref="H255" si="82">IF((E255=0),"0",IF((E255=E254+1),(((24-INT(G254))+INT(G255))-1),(INT(G255)-INT(G254)-1))+((1-((G254-INT(G254))/0.6))+((G255-INT(G255))/0.6)))+(F255)</f>
        <v>23.159722222222221</v>
      </c>
      <c r="I255" s="40"/>
      <c r="J255" s="47" t="s">
        <v>6</v>
      </c>
      <c r="K255" s="46">
        <v>26.3</v>
      </c>
      <c r="L255" s="46">
        <v>112.6</v>
      </c>
      <c r="M255" s="46">
        <f>IF(D255="eosp",L255/H255,"")</f>
        <v>4.8618890554722638</v>
      </c>
      <c r="N255" s="46" t="s">
        <v>52</v>
      </c>
      <c r="O255" s="51">
        <v>0.32</v>
      </c>
      <c r="P255" s="52">
        <v>121</v>
      </c>
    </row>
    <row r="256" spans="1:18" ht="15.75" customHeight="1" x14ac:dyDescent="0.3">
      <c r="A256" s="11"/>
      <c r="B256" s="11"/>
      <c r="D256" s="35"/>
      <c r="E256" s="36"/>
      <c r="F256" s="37"/>
      <c r="G256" s="38"/>
      <c r="H256" s="39"/>
      <c r="I256" s="40"/>
      <c r="J256" s="41"/>
      <c r="K256" s="39"/>
      <c r="L256" s="39"/>
      <c r="M256" s="39"/>
      <c r="N256" s="39" t="s">
        <v>74</v>
      </c>
      <c r="O256" s="42"/>
      <c r="P256" s="43"/>
      <c r="Q256" s="15"/>
      <c r="R256" s="15"/>
    </row>
    <row r="257" spans="1:18" ht="15.75" customHeight="1" x14ac:dyDescent="0.3">
      <c r="A257" s="11"/>
      <c r="B257" s="11"/>
      <c r="D257" s="35" t="s">
        <v>4</v>
      </c>
      <c r="E257" s="44">
        <v>45467</v>
      </c>
      <c r="F257" s="37"/>
      <c r="G257" s="45">
        <v>0.17083333333333331</v>
      </c>
      <c r="H257" s="46"/>
      <c r="I257" s="40"/>
      <c r="J257" s="47" t="s">
        <v>8</v>
      </c>
      <c r="K257" s="48"/>
      <c r="L257" s="46"/>
      <c r="M257" s="46"/>
      <c r="N257" s="46" t="s">
        <v>74</v>
      </c>
      <c r="O257" s="49"/>
      <c r="P257" s="50"/>
    </row>
    <row r="258" spans="1:18" ht="15.75" customHeight="1" x14ac:dyDescent="0.3">
      <c r="A258" s="11"/>
      <c r="B258" s="11"/>
      <c r="D258" s="35" t="s">
        <v>3</v>
      </c>
      <c r="E258" s="44">
        <v>45467</v>
      </c>
      <c r="F258" s="37"/>
      <c r="G258" s="45">
        <v>0.54166666666666663</v>
      </c>
      <c r="H258" s="46">
        <f t="shared" ref="H258" si="83">IF((E258=0),"0",IF((E258=E257+1),(((24-INT(G257))+INT(G258))-1),(INT(G258)-INT(G257)-1))+((1-((G257-INT(G257))/0.6))+((G258-INT(G258))/0.6)))+(F258)</f>
        <v>0.61805555555555558</v>
      </c>
      <c r="I258" s="40"/>
      <c r="J258" s="47" t="s">
        <v>5</v>
      </c>
      <c r="K258" s="46">
        <v>18.100000000000001</v>
      </c>
      <c r="L258" s="46">
        <v>118.6</v>
      </c>
      <c r="M258" s="46">
        <f>IF(D258="eosp",L258/H258,"")</f>
        <v>191.89213483146065</v>
      </c>
      <c r="N258" s="46" t="s">
        <v>59</v>
      </c>
      <c r="O258" s="51">
        <v>0.64</v>
      </c>
      <c r="P258" s="52">
        <v>151.30000000000001</v>
      </c>
    </row>
    <row r="259" spans="1:18" ht="15.75" customHeight="1" x14ac:dyDescent="0.3">
      <c r="A259" s="11"/>
      <c r="B259" s="11"/>
      <c r="D259" s="35"/>
      <c r="E259" s="36"/>
      <c r="F259" s="37"/>
      <c r="G259" s="38"/>
      <c r="H259" s="39"/>
      <c r="I259" s="40"/>
      <c r="J259" s="41"/>
      <c r="K259" s="39"/>
      <c r="L259" s="39"/>
      <c r="M259" s="39"/>
      <c r="N259" s="39" t="s">
        <v>74</v>
      </c>
      <c r="O259" s="42"/>
      <c r="P259" s="43"/>
      <c r="Q259" s="15"/>
      <c r="R259" s="15"/>
    </row>
    <row r="260" spans="1:18" ht="15.75" customHeight="1" x14ac:dyDescent="0.3">
      <c r="A260" s="11"/>
      <c r="B260" s="11"/>
      <c r="D260" s="35" t="s">
        <v>4</v>
      </c>
      <c r="E260" s="44">
        <v>45468</v>
      </c>
      <c r="F260" s="37"/>
      <c r="G260" s="45">
        <v>0.50416666666666665</v>
      </c>
      <c r="H260" s="46"/>
      <c r="I260" s="40"/>
      <c r="J260" s="47" t="s">
        <v>7</v>
      </c>
      <c r="K260" s="48"/>
      <c r="L260" s="46"/>
      <c r="M260" s="46"/>
      <c r="N260" s="46" t="s">
        <v>74</v>
      </c>
      <c r="O260" s="49"/>
      <c r="P260" s="50"/>
    </row>
    <row r="261" spans="1:18" ht="15.75" customHeight="1" x14ac:dyDescent="0.3">
      <c r="A261" s="11"/>
      <c r="B261" s="11"/>
      <c r="D261" s="35" t="s">
        <v>3</v>
      </c>
      <c r="E261" s="44">
        <v>45468</v>
      </c>
      <c r="F261" s="37"/>
      <c r="G261" s="45">
        <v>0.8666666666666667</v>
      </c>
      <c r="H261" s="46">
        <f t="shared" ref="H261" si="84">IF((E261=0),"0",IF((E261=E260+1),(((24-INT(G260))+INT(G261))-1),(INT(G261)-INT(G260)-1))+((1-((G260-INT(G260))/0.6))+((G261-INT(G261))/0.6)))+(F261)</f>
        <v>0.60416666666666696</v>
      </c>
      <c r="I261" s="40"/>
      <c r="J261" s="47" t="s">
        <v>6</v>
      </c>
      <c r="K261" s="46">
        <v>17.899999999999999</v>
      </c>
      <c r="L261" s="46">
        <v>115.5</v>
      </c>
      <c r="M261" s="46">
        <f>IF(D261="eosp",L261/H261,"")</f>
        <v>191.17241379310335</v>
      </c>
      <c r="N261" s="46" t="s">
        <v>78</v>
      </c>
      <c r="O261" s="51">
        <v>0.65</v>
      </c>
      <c r="P261" s="52">
        <v>152.30000000000001</v>
      </c>
    </row>
    <row r="262" spans="1:18" ht="15.75" customHeight="1" x14ac:dyDescent="0.3">
      <c r="A262" s="11"/>
      <c r="B262" s="11"/>
      <c r="D262" s="35"/>
      <c r="E262" s="36"/>
      <c r="F262" s="37"/>
      <c r="G262" s="38"/>
      <c r="H262" s="39"/>
      <c r="I262" s="40"/>
      <c r="J262" s="41"/>
      <c r="K262" s="39"/>
      <c r="L262" s="39"/>
      <c r="M262" s="39"/>
      <c r="N262" s="39" t="s">
        <v>74</v>
      </c>
      <c r="O262" s="42"/>
      <c r="P262" s="43"/>
      <c r="Q262" s="15"/>
      <c r="R262" s="15"/>
    </row>
    <row r="263" spans="1:18" ht="15.75" customHeight="1" x14ac:dyDescent="0.3">
      <c r="A263" s="11"/>
      <c r="B263" s="11"/>
      <c r="D263" s="35" t="s">
        <v>4</v>
      </c>
      <c r="E263" s="44">
        <v>45469</v>
      </c>
      <c r="F263" s="37"/>
      <c r="G263" s="45">
        <v>0.67083333333333339</v>
      </c>
      <c r="H263" s="46"/>
      <c r="I263" s="40"/>
      <c r="J263" s="47" t="s">
        <v>8</v>
      </c>
      <c r="K263" s="48"/>
      <c r="L263" s="46"/>
      <c r="M263" s="46"/>
      <c r="N263" s="46" t="s">
        <v>74</v>
      </c>
      <c r="O263" s="49"/>
      <c r="P263" s="50"/>
    </row>
    <row r="264" spans="1:18" ht="15.75" customHeight="1" x14ac:dyDescent="0.3">
      <c r="A264" s="11"/>
      <c r="B264" s="11"/>
      <c r="D264" s="35" t="s">
        <v>3</v>
      </c>
      <c r="E264" s="44">
        <v>45470</v>
      </c>
      <c r="F264" s="37"/>
      <c r="G264" s="45">
        <v>0.16666666666666666</v>
      </c>
      <c r="H264" s="46">
        <f t="shared" ref="H264" si="85">IF((E264=0),"0",IF((E264=E263+1),(((24-INT(G263))+INT(G264))-1),(INT(G264)-INT(G263)-1))+((1-((G263-INT(G263))/0.6))+((G264-INT(G264))/0.6)))+(F264)</f>
        <v>23.159722222222221</v>
      </c>
      <c r="I264" s="40"/>
      <c r="J264" s="47" t="s">
        <v>5</v>
      </c>
      <c r="K264" s="46">
        <v>22.3</v>
      </c>
      <c r="L264" s="46">
        <v>119.2</v>
      </c>
      <c r="M264" s="46">
        <f>IF(D264="eosp",L264/H264,"")</f>
        <v>5.1468665667166418</v>
      </c>
      <c r="N264" s="46" t="s">
        <v>52</v>
      </c>
      <c r="O264" s="51">
        <v>0.32</v>
      </c>
      <c r="P264" s="52">
        <v>121.5</v>
      </c>
    </row>
    <row r="265" spans="1:18" ht="15.75" customHeight="1" x14ac:dyDescent="0.3">
      <c r="A265" s="11"/>
      <c r="B265" s="11"/>
      <c r="D265" s="35"/>
      <c r="E265" s="36"/>
      <c r="F265" s="37"/>
      <c r="G265" s="38"/>
      <c r="H265" s="39"/>
      <c r="I265" s="40"/>
      <c r="J265" s="41"/>
      <c r="K265" s="39"/>
      <c r="L265" s="39"/>
      <c r="M265" s="39"/>
      <c r="N265" s="39" t="s">
        <v>74</v>
      </c>
      <c r="O265" s="42"/>
      <c r="P265" s="43"/>
      <c r="Q265" s="15"/>
      <c r="R265" s="15"/>
    </row>
    <row r="266" spans="1:18" ht="15.75" customHeight="1" x14ac:dyDescent="0.3">
      <c r="A266" s="11"/>
      <c r="B266" s="11"/>
      <c r="D266" s="35" t="s">
        <v>4</v>
      </c>
      <c r="E266" s="44">
        <v>45471</v>
      </c>
      <c r="F266" s="37"/>
      <c r="G266" s="45">
        <v>0.19166666666666665</v>
      </c>
      <c r="H266" s="46"/>
      <c r="I266" s="40"/>
      <c r="J266" s="47" t="s">
        <v>7</v>
      </c>
      <c r="K266" s="48"/>
      <c r="L266" s="46"/>
      <c r="M266" s="46"/>
      <c r="N266" s="46" t="s">
        <v>74</v>
      </c>
      <c r="O266" s="49"/>
      <c r="P266" s="50"/>
    </row>
    <row r="267" spans="1:18" ht="15.75" customHeight="1" x14ac:dyDescent="0.3">
      <c r="A267" s="11"/>
      <c r="B267" s="11"/>
      <c r="D267" s="35" t="s">
        <v>3</v>
      </c>
      <c r="E267" s="44">
        <v>45471</v>
      </c>
      <c r="F267" s="37"/>
      <c r="G267" s="45">
        <v>0.60416666666666663</v>
      </c>
      <c r="H267" s="46">
        <f t="shared" ref="H267" si="86">IF((E267=0),"0",IF((E267=E266+1),(((24-INT(G266))+INT(G267))-1),(INT(G267)-INT(G266)-1))+((1-((G266-INT(G266))/0.6))+((G267-INT(G267))/0.6)))+(F267)</f>
        <v>0.6875</v>
      </c>
      <c r="I267" s="40"/>
      <c r="J267" s="47" t="s">
        <v>6</v>
      </c>
      <c r="K267" s="46">
        <v>18.899999999999999</v>
      </c>
      <c r="L267" s="46">
        <v>108.9</v>
      </c>
      <c r="M267" s="46">
        <f>IF(D267="eosp",L267/H267,"")</f>
        <v>158.4</v>
      </c>
      <c r="N267" s="46" t="s">
        <v>43</v>
      </c>
      <c r="O267" s="51">
        <v>0.36</v>
      </c>
      <c r="P267" s="52">
        <v>128.4</v>
      </c>
    </row>
    <row r="268" spans="1:18" ht="15.75" customHeight="1" x14ac:dyDescent="0.3">
      <c r="A268" s="11"/>
      <c r="B268" s="11"/>
      <c r="D268" s="35"/>
      <c r="E268" s="36"/>
      <c r="F268" s="37"/>
      <c r="G268" s="38"/>
      <c r="H268" s="39"/>
      <c r="I268" s="40"/>
      <c r="J268" s="41"/>
      <c r="K268" s="39"/>
      <c r="L268" s="39"/>
      <c r="M268" s="39"/>
      <c r="N268" s="39" t="s">
        <v>74</v>
      </c>
      <c r="O268" s="42"/>
      <c r="P268" s="43"/>
      <c r="Q268" s="15"/>
      <c r="R268" s="15"/>
    </row>
    <row r="269" spans="1:18" ht="15.75" customHeight="1" x14ac:dyDescent="0.3">
      <c r="A269" s="11"/>
      <c r="B269" s="11"/>
      <c r="D269" s="35" t="s">
        <v>4</v>
      </c>
      <c r="E269" s="44">
        <v>45472</v>
      </c>
      <c r="F269" s="37"/>
      <c r="G269" s="45">
        <v>0.73333333333333339</v>
      </c>
      <c r="H269" s="46"/>
      <c r="I269" s="40"/>
      <c r="J269" s="47" t="s">
        <v>8</v>
      </c>
      <c r="K269" s="48"/>
      <c r="L269" s="46"/>
      <c r="M269" s="46"/>
      <c r="N269" s="46" t="s">
        <v>74</v>
      </c>
      <c r="O269" s="49"/>
      <c r="P269" s="50"/>
    </row>
    <row r="270" spans="1:18" ht="15.75" customHeight="1" x14ac:dyDescent="0.3">
      <c r="A270" s="11"/>
      <c r="B270" s="11"/>
      <c r="D270" s="35" t="s">
        <v>3</v>
      </c>
      <c r="E270" s="44">
        <v>45473</v>
      </c>
      <c r="F270" s="37"/>
      <c r="G270" s="45">
        <v>0.16666666666666666</v>
      </c>
      <c r="H270" s="46">
        <f t="shared" ref="H270" si="87">IF((E270=0),"0",IF((E270=E269+1),(((24-INT(G269))+INT(G270))-1),(INT(G270)-INT(G269)-1))+((1-((G269-INT(G269))/0.6))+((G270-INT(G270))/0.6)))+(F270)</f>
        <v>23.055555555555557</v>
      </c>
      <c r="I270" s="40"/>
      <c r="J270" s="47" t="s">
        <v>5</v>
      </c>
      <c r="K270" s="46">
        <v>17.2</v>
      </c>
      <c r="L270" s="46">
        <v>110.6</v>
      </c>
      <c r="M270" s="46">
        <f>IF(D270="eosp",L270/H270,"")</f>
        <v>4.7971084337349392</v>
      </c>
      <c r="N270" s="46" t="s">
        <v>35</v>
      </c>
      <c r="O270" s="51">
        <v>0.32</v>
      </c>
      <c r="P270" s="52">
        <v>121</v>
      </c>
    </row>
    <row r="271" spans="1:18" ht="15.75" customHeight="1" x14ac:dyDescent="0.3">
      <c r="A271" s="11"/>
      <c r="B271" s="11"/>
      <c r="D271" s="35"/>
      <c r="E271" s="36"/>
      <c r="F271" s="37"/>
      <c r="G271" s="38"/>
      <c r="H271" s="39"/>
      <c r="I271" s="40"/>
      <c r="J271" s="41"/>
      <c r="K271" s="39"/>
      <c r="L271" s="39"/>
      <c r="M271" s="39"/>
      <c r="N271" s="39" t="s">
        <v>74</v>
      </c>
      <c r="O271" s="42"/>
      <c r="P271" s="43"/>
      <c r="Q271" s="15"/>
      <c r="R271" s="15"/>
    </row>
    <row r="272" spans="1:18" ht="15.75" customHeight="1" x14ac:dyDescent="0.3">
      <c r="A272" s="11"/>
      <c r="B272" s="11"/>
      <c r="D272" s="35" t="s">
        <v>4</v>
      </c>
      <c r="E272" s="44">
        <v>45474</v>
      </c>
      <c r="F272" s="37"/>
      <c r="G272" s="45">
        <v>0.19166666666666665</v>
      </c>
      <c r="H272" s="46"/>
      <c r="I272" s="40"/>
      <c r="J272" s="47" t="s">
        <v>7</v>
      </c>
      <c r="K272" s="48"/>
      <c r="L272" s="46"/>
      <c r="M272" s="46"/>
      <c r="N272" s="46" t="s">
        <v>74</v>
      </c>
      <c r="O272" s="49"/>
      <c r="P272" s="50"/>
    </row>
    <row r="273" spans="1:18" ht="15.75" customHeight="1" x14ac:dyDescent="0.3">
      <c r="A273" s="11"/>
      <c r="B273" s="11"/>
      <c r="D273" s="35" t="s">
        <v>3</v>
      </c>
      <c r="E273" s="44">
        <v>45474</v>
      </c>
      <c r="F273" s="37"/>
      <c r="G273" s="45">
        <v>0.64583333333333337</v>
      </c>
      <c r="H273" s="46">
        <f t="shared" ref="H273" si="88">IF((E273=0),"0",IF((E273=E272+1),(((24-INT(G272))+INT(G273))-1),(INT(G273)-INT(G272)-1))+((1-((G272-INT(G272))/0.6))+((G273-INT(G273))/0.6)))+(F273)</f>
        <v>0.75694444444444464</v>
      </c>
      <c r="I273" s="40"/>
      <c r="J273" s="47" t="s">
        <v>6</v>
      </c>
      <c r="K273" s="46">
        <v>18.100000000000001</v>
      </c>
      <c r="L273" s="46">
        <v>114.6</v>
      </c>
      <c r="M273" s="46">
        <f>IF(D273="eosp",L273/H273,"")</f>
        <v>151.39816513761463</v>
      </c>
      <c r="N273" s="46" t="s">
        <v>77</v>
      </c>
      <c r="O273" s="51">
        <v>0.32</v>
      </c>
      <c r="P273" s="52">
        <v>120.5</v>
      </c>
    </row>
    <row r="274" spans="1:18" ht="15.75" customHeight="1" x14ac:dyDescent="0.3">
      <c r="A274" s="11"/>
      <c r="B274" s="11"/>
      <c r="D274" s="35"/>
      <c r="E274" s="36"/>
      <c r="F274" s="37"/>
      <c r="G274" s="38"/>
      <c r="H274" s="39"/>
      <c r="I274" s="40"/>
      <c r="J274" s="41"/>
      <c r="K274" s="39"/>
      <c r="L274" s="39"/>
      <c r="M274" s="39"/>
      <c r="N274" s="39" t="s">
        <v>74</v>
      </c>
      <c r="O274" s="42"/>
      <c r="P274" s="43"/>
      <c r="Q274" s="15"/>
      <c r="R274" s="15"/>
    </row>
    <row r="275" spans="1:18" ht="15.75" customHeight="1" x14ac:dyDescent="0.3">
      <c r="A275" s="11"/>
      <c r="B275" s="11"/>
      <c r="D275" s="35" t="s">
        <v>4</v>
      </c>
      <c r="E275" s="44">
        <v>45475</v>
      </c>
      <c r="F275" s="37"/>
      <c r="G275" s="45">
        <v>0.56666666666666665</v>
      </c>
      <c r="H275" s="46"/>
      <c r="I275" s="40"/>
      <c r="J275" s="47" t="s">
        <v>8</v>
      </c>
      <c r="K275" s="48"/>
      <c r="L275" s="46"/>
      <c r="M275" s="46"/>
      <c r="N275" s="46" t="s">
        <v>74</v>
      </c>
      <c r="O275" s="49"/>
      <c r="P275" s="50"/>
    </row>
    <row r="276" spans="1:18" ht="15.75" customHeight="1" x14ac:dyDescent="0.3">
      <c r="A276" s="11"/>
      <c r="B276" s="11"/>
      <c r="D276" s="35" t="s">
        <v>3</v>
      </c>
      <c r="E276" s="44">
        <v>45476</v>
      </c>
      <c r="F276" s="37"/>
      <c r="G276" s="45">
        <v>6.25E-2</v>
      </c>
      <c r="H276" s="46">
        <f t="shared" ref="H276" si="89">IF((E276=0),"0",IF((E276=E275+1),(((24-INT(G275))+INT(G276))-1),(INT(G276)-INT(G275)-1))+((1-((G275-INT(G275))/0.6))+((G276-INT(G276))/0.6)))+(F276)</f>
        <v>23.159722222222221</v>
      </c>
      <c r="I276" s="40"/>
      <c r="J276" s="47" t="s">
        <v>5</v>
      </c>
      <c r="K276" s="46">
        <v>25.9</v>
      </c>
      <c r="L276" s="46">
        <v>113.2</v>
      </c>
      <c r="M276" s="46">
        <f>IF(D276="eosp",L276/H276,"")</f>
        <v>4.8877961019490259</v>
      </c>
      <c r="N276" s="46" t="s">
        <v>43</v>
      </c>
      <c r="O276" s="51">
        <v>0.31</v>
      </c>
      <c r="P276" s="52">
        <v>120.9</v>
      </c>
    </row>
    <row r="277" spans="1:18" ht="15.75" customHeight="1" x14ac:dyDescent="0.3">
      <c r="A277" s="11"/>
      <c r="B277" s="11"/>
      <c r="D277" s="35"/>
      <c r="E277" s="36"/>
      <c r="F277" s="37"/>
      <c r="G277" s="38"/>
      <c r="H277" s="39"/>
      <c r="I277" s="40"/>
      <c r="J277" s="41"/>
      <c r="K277" s="39"/>
      <c r="L277" s="39"/>
      <c r="M277" s="39"/>
      <c r="N277" s="39" t="s">
        <v>74</v>
      </c>
      <c r="O277" s="42"/>
      <c r="P277" s="43"/>
      <c r="Q277" s="15"/>
      <c r="R277" s="15"/>
    </row>
    <row r="278" spans="1:18" ht="15.75" customHeight="1" x14ac:dyDescent="0.3">
      <c r="A278" s="11"/>
      <c r="B278" s="11"/>
      <c r="D278" s="35" t="s">
        <v>4</v>
      </c>
      <c r="E278" s="44">
        <v>45477</v>
      </c>
      <c r="F278" s="37"/>
      <c r="G278" s="45">
        <v>6.6666666666666666E-2</v>
      </c>
      <c r="H278" s="46"/>
      <c r="I278" s="40"/>
      <c r="J278" s="47" t="s">
        <v>7</v>
      </c>
      <c r="K278" s="48"/>
      <c r="L278" s="46"/>
      <c r="M278" s="46"/>
      <c r="N278" s="46" t="s">
        <v>74</v>
      </c>
      <c r="O278" s="49"/>
      <c r="P278" s="50"/>
    </row>
    <row r="279" spans="1:18" ht="15.75" customHeight="1" x14ac:dyDescent="0.3">
      <c r="A279" s="11"/>
      <c r="B279" s="11"/>
      <c r="D279" s="35" t="s">
        <v>3</v>
      </c>
      <c r="E279" s="44">
        <v>45477</v>
      </c>
      <c r="F279" s="37"/>
      <c r="G279" s="45">
        <v>0.41666666666666669</v>
      </c>
      <c r="H279" s="46">
        <f t="shared" ref="H279" si="90">IF((E279=0),"0",IF((E279=E278+1),(((24-INT(G278))+INT(G279))-1),(INT(G279)-INT(G278)-1))+((1-((G278-INT(G278))/0.6))+((G279-INT(G279))/0.6)))+(F279)</f>
        <v>0.58333333333333348</v>
      </c>
      <c r="I279" s="40"/>
      <c r="J279" s="47" t="s">
        <v>6</v>
      </c>
      <c r="K279" s="46">
        <v>16.600000000000001</v>
      </c>
      <c r="L279" s="46">
        <v>107.3</v>
      </c>
      <c r="M279" s="46">
        <f>IF(D279="eosp",L279/H279,"")</f>
        <v>183.94285714285709</v>
      </c>
      <c r="N279" s="46" t="s">
        <v>60</v>
      </c>
      <c r="O279" s="51">
        <v>0.56000000000000005</v>
      </c>
      <c r="P279" s="52">
        <v>144.30000000000001</v>
      </c>
    </row>
    <row r="280" spans="1:18" ht="15.75" customHeight="1" x14ac:dyDescent="0.3">
      <c r="A280" s="11"/>
      <c r="B280" s="11"/>
      <c r="D280" s="35"/>
      <c r="E280" s="36"/>
      <c r="F280" s="37"/>
      <c r="G280" s="38"/>
      <c r="H280" s="39"/>
      <c r="I280" s="40"/>
      <c r="J280" s="41"/>
      <c r="K280" s="39"/>
      <c r="L280" s="39"/>
      <c r="M280" s="39"/>
      <c r="N280" s="39" t="s">
        <v>74</v>
      </c>
      <c r="O280" s="42"/>
      <c r="P280" s="43"/>
      <c r="Q280" s="15"/>
      <c r="R280" s="15"/>
    </row>
    <row r="281" spans="1:18" ht="15.75" customHeight="1" x14ac:dyDescent="0.3">
      <c r="A281" s="11"/>
      <c r="B281" s="11"/>
      <c r="D281" s="35" t="s">
        <v>4</v>
      </c>
      <c r="E281" s="44">
        <v>45478</v>
      </c>
      <c r="F281" s="37"/>
      <c r="G281" s="45">
        <v>0.37916666666666665</v>
      </c>
      <c r="H281" s="46"/>
      <c r="I281" s="40"/>
      <c r="J281" s="47" t="s">
        <v>8</v>
      </c>
      <c r="K281" s="48"/>
      <c r="L281" s="46"/>
      <c r="M281" s="46"/>
      <c r="N281" s="46" t="s">
        <v>74</v>
      </c>
      <c r="O281" s="49"/>
      <c r="P281" s="50"/>
    </row>
    <row r="282" spans="1:18" ht="15.75" customHeight="1" x14ac:dyDescent="0.3">
      <c r="A282" s="11"/>
      <c r="B282" s="11"/>
      <c r="D282" s="35" t="s">
        <v>3</v>
      </c>
      <c r="E282" s="44">
        <v>45478</v>
      </c>
      <c r="F282" s="37"/>
      <c r="G282" s="45">
        <v>0.875</v>
      </c>
      <c r="H282" s="46">
        <f t="shared" ref="H282" si="91">IF((E282=0),"0",IF((E282=E281+1),(((24-INT(G281))+INT(G282))-1),(INT(G282)-INT(G281)-1))+((1-((G281-INT(G281))/0.6))+((G282-INT(G282))/0.6)))+(F282)</f>
        <v>0.82638888888888906</v>
      </c>
      <c r="I282" s="40"/>
      <c r="J282" s="47" t="s">
        <v>5</v>
      </c>
      <c r="K282" s="46">
        <v>24.1</v>
      </c>
      <c r="L282" s="46">
        <v>117.8</v>
      </c>
      <c r="M282" s="46">
        <f>IF(D282="eosp",L282/H282,"")</f>
        <v>142.54789915966384</v>
      </c>
      <c r="N282" s="46" t="s">
        <v>52</v>
      </c>
      <c r="O282" s="51">
        <v>0.33</v>
      </c>
      <c r="P282" s="52">
        <v>121</v>
      </c>
    </row>
    <row r="283" spans="1:18" ht="15.75" customHeight="1" x14ac:dyDescent="0.3">
      <c r="A283" s="11"/>
      <c r="B283" s="11"/>
      <c r="D283" s="35"/>
      <c r="E283" s="36"/>
      <c r="F283" s="37"/>
      <c r="G283" s="38"/>
      <c r="H283" s="39"/>
      <c r="I283" s="40"/>
      <c r="J283" s="41"/>
      <c r="K283" s="39"/>
      <c r="L283" s="39"/>
      <c r="M283" s="39"/>
      <c r="N283" s="39" t="s">
        <v>74</v>
      </c>
      <c r="O283" s="42"/>
      <c r="P283" s="43"/>
      <c r="Q283" s="15"/>
      <c r="R283" s="15"/>
    </row>
    <row r="284" spans="1:18" ht="15.75" customHeight="1" x14ac:dyDescent="0.3">
      <c r="A284" s="11"/>
      <c r="B284" s="11"/>
      <c r="D284" s="35" t="s">
        <v>4</v>
      </c>
      <c r="E284" s="44">
        <v>45479</v>
      </c>
      <c r="F284" s="37"/>
      <c r="G284" s="45">
        <v>0.81666666666666676</v>
      </c>
      <c r="H284" s="46"/>
      <c r="I284" s="40"/>
      <c r="J284" s="47" t="s">
        <v>7</v>
      </c>
      <c r="K284" s="48"/>
      <c r="L284" s="46"/>
      <c r="M284" s="46"/>
      <c r="N284" s="46" t="s">
        <v>74</v>
      </c>
      <c r="O284" s="49"/>
      <c r="P284" s="50"/>
    </row>
    <row r="285" spans="1:18" ht="15.75" customHeight="1" x14ac:dyDescent="0.3">
      <c r="A285" s="11"/>
      <c r="B285" s="11"/>
      <c r="D285" s="35" t="s">
        <v>3</v>
      </c>
      <c r="E285" s="44">
        <v>45480</v>
      </c>
      <c r="F285" s="37"/>
      <c r="G285" s="45">
        <v>0.3125</v>
      </c>
      <c r="H285" s="46">
        <f t="shared" ref="H285" si="92">IF((E285=0),"0",IF((E285=E284+1),(((24-INT(G284))+INT(G285))-1),(INT(G285)-INT(G284)-1))+((1-((G284-INT(G284))/0.6))+((G285-INT(G285))/0.6)))+(F285)</f>
        <v>23.159722222222221</v>
      </c>
      <c r="I285" s="40"/>
      <c r="J285" s="47" t="s">
        <v>6</v>
      </c>
      <c r="K285" s="46">
        <v>20.5</v>
      </c>
      <c r="L285" s="46">
        <v>121.5</v>
      </c>
      <c r="M285" s="46">
        <f>IF(D285="eosp",L285/H285,"")</f>
        <v>5.2461769115442278</v>
      </c>
      <c r="N285" s="46" t="s">
        <v>35</v>
      </c>
      <c r="O285" s="51">
        <v>0.32</v>
      </c>
      <c r="P285" s="52">
        <v>121</v>
      </c>
    </row>
    <row r="286" spans="1:18" ht="15.75" customHeight="1" x14ac:dyDescent="0.3">
      <c r="A286" s="11"/>
      <c r="B286" s="11"/>
      <c r="D286" s="35"/>
      <c r="E286" s="36"/>
      <c r="F286" s="37"/>
      <c r="G286" s="38"/>
      <c r="H286" s="39"/>
      <c r="I286" s="40"/>
      <c r="J286" s="41"/>
      <c r="K286" s="39"/>
      <c r="L286" s="39"/>
      <c r="M286" s="39"/>
      <c r="N286" s="39" t="s">
        <v>74</v>
      </c>
      <c r="O286" s="42"/>
      <c r="P286" s="43"/>
      <c r="Q286" s="15"/>
      <c r="R286" s="15"/>
    </row>
    <row r="287" spans="1:18" ht="15.75" customHeight="1" x14ac:dyDescent="0.3">
      <c r="A287" s="11"/>
      <c r="B287" s="11"/>
      <c r="D287" s="35" t="s">
        <v>4</v>
      </c>
      <c r="E287" s="44">
        <v>45481</v>
      </c>
      <c r="F287" s="37"/>
      <c r="G287" s="45">
        <v>0.27499999999999997</v>
      </c>
      <c r="H287" s="46"/>
      <c r="I287" s="40"/>
      <c r="J287" s="47" t="s">
        <v>8</v>
      </c>
      <c r="K287" s="48"/>
      <c r="L287" s="46"/>
      <c r="M287" s="46"/>
      <c r="N287" s="46" t="s">
        <v>74</v>
      </c>
      <c r="O287" s="49"/>
      <c r="P287" s="50"/>
    </row>
    <row r="288" spans="1:18" ht="15.75" customHeight="1" x14ac:dyDescent="0.3">
      <c r="A288" s="11"/>
      <c r="B288" s="11"/>
      <c r="D288" s="35" t="s">
        <v>3</v>
      </c>
      <c r="E288" s="44">
        <v>45481</v>
      </c>
      <c r="F288" s="37"/>
      <c r="G288" s="45">
        <v>0.61249999999999993</v>
      </c>
      <c r="H288" s="46">
        <f t="shared" ref="H288" si="93">IF((E288=0),"0",IF((E288=E287+1),(((24-INT(G287))+INT(G288))-1),(INT(G288)-INT(G287)-1))+((1-((G287-INT(G287))/0.6))+((G288-INT(G288))/0.6)))+(F288)</f>
        <v>0.5625</v>
      </c>
      <c r="I288" s="40"/>
      <c r="J288" s="47" t="s">
        <v>5</v>
      </c>
      <c r="K288" s="46">
        <v>28</v>
      </c>
      <c r="L288" s="46">
        <v>105</v>
      </c>
      <c r="M288" s="46">
        <f>IF(D288="eosp",L288/H288,"")</f>
        <v>186.66666666666666</v>
      </c>
      <c r="N288" s="46" t="s">
        <v>39</v>
      </c>
      <c r="O288" s="51">
        <v>73</v>
      </c>
      <c r="P288" s="52">
        <v>157.80000000000001</v>
      </c>
    </row>
    <row r="289" spans="1:18" ht="15.75" customHeight="1" x14ac:dyDescent="0.3">
      <c r="A289" s="11"/>
      <c r="B289" s="11"/>
      <c r="D289" s="35"/>
      <c r="E289" s="36"/>
      <c r="F289" s="37"/>
      <c r="G289" s="38"/>
      <c r="H289" s="39"/>
      <c r="I289" s="40"/>
      <c r="J289" s="41"/>
      <c r="K289" s="39"/>
      <c r="L289" s="39"/>
      <c r="M289" s="39"/>
      <c r="N289" s="39" t="s">
        <v>74</v>
      </c>
      <c r="O289" s="42"/>
      <c r="P289" s="43"/>
      <c r="Q289" s="15"/>
      <c r="R289" s="15"/>
    </row>
    <row r="290" spans="1:18" ht="15.75" customHeight="1" x14ac:dyDescent="0.3">
      <c r="A290" s="11"/>
      <c r="B290" s="11"/>
      <c r="D290" s="35" t="s">
        <v>4</v>
      </c>
      <c r="E290" s="44">
        <v>45482</v>
      </c>
      <c r="F290" s="37"/>
      <c r="G290" s="45">
        <v>0.67083333333333339</v>
      </c>
      <c r="H290" s="46"/>
      <c r="I290" s="40"/>
      <c r="J290" s="47" t="s">
        <v>7</v>
      </c>
      <c r="K290" s="48"/>
      <c r="L290" s="46"/>
      <c r="M290" s="46"/>
      <c r="N290" s="46" t="s">
        <v>74</v>
      </c>
      <c r="O290" s="49"/>
      <c r="P290" s="50"/>
    </row>
    <row r="291" spans="1:18" ht="15.75" customHeight="1" x14ac:dyDescent="0.3">
      <c r="A291" s="11"/>
      <c r="B291" s="11"/>
      <c r="D291" s="35" t="s">
        <v>3</v>
      </c>
      <c r="E291" s="44">
        <v>45483</v>
      </c>
      <c r="F291" s="37"/>
      <c r="G291" s="45">
        <v>0.16666666666666666</v>
      </c>
      <c r="H291" s="46">
        <f t="shared" ref="H291" si="94">IF((E291=0),"0",IF((E291=E290+1),(((24-INT(G290))+INT(G291))-1),(INT(G291)-INT(G290)-1))+((1-((G290-INT(G290))/0.6))+((G291-INT(G291))/0.6)))+(F291)</f>
        <v>23.159722222222221</v>
      </c>
      <c r="I291" s="40"/>
      <c r="J291" s="47" t="s">
        <v>6</v>
      </c>
      <c r="K291" s="46">
        <v>25.5</v>
      </c>
      <c r="L291" s="46">
        <v>114.3</v>
      </c>
      <c r="M291" s="46">
        <f>IF(D291="eosp",L291/H291,"")</f>
        <v>4.9352923538230886</v>
      </c>
      <c r="N291" s="46" t="s">
        <v>79</v>
      </c>
      <c r="O291" s="51">
        <v>0.32</v>
      </c>
      <c r="P291" s="52">
        <v>121.5</v>
      </c>
    </row>
    <row r="292" spans="1:18" ht="15.75" customHeight="1" x14ac:dyDescent="0.3">
      <c r="A292" s="11"/>
      <c r="B292" s="11"/>
      <c r="D292" s="35"/>
      <c r="E292" s="36"/>
      <c r="F292" s="37"/>
      <c r="G292" s="38"/>
      <c r="H292" s="39"/>
      <c r="I292" s="40"/>
      <c r="J292" s="41"/>
      <c r="K292" s="39"/>
      <c r="L292" s="39"/>
      <c r="M292" s="39"/>
      <c r="N292" s="39" t="s">
        <v>74</v>
      </c>
      <c r="O292" s="42"/>
      <c r="P292" s="43"/>
      <c r="Q292" s="15"/>
      <c r="R292" s="15"/>
    </row>
    <row r="293" spans="1:18" ht="15.75" customHeight="1" x14ac:dyDescent="0.3">
      <c r="A293" s="11"/>
      <c r="B293" s="11"/>
      <c r="D293" s="35" t="s">
        <v>4</v>
      </c>
      <c r="E293" s="44">
        <v>45483</v>
      </c>
      <c r="F293" s="37"/>
      <c r="G293" s="45">
        <v>0.92083333333333339</v>
      </c>
      <c r="H293" s="46"/>
      <c r="I293" s="40"/>
      <c r="J293" s="47" t="s">
        <v>8</v>
      </c>
      <c r="K293" s="48"/>
      <c r="L293" s="46"/>
      <c r="M293" s="46"/>
      <c r="N293" s="46" t="s">
        <v>74</v>
      </c>
      <c r="O293" s="49"/>
      <c r="P293" s="50"/>
    </row>
    <row r="294" spans="1:18" ht="15.75" customHeight="1" x14ac:dyDescent="0.3">
      <c r="A294" s="11"/>
      <c r="B294" s="11"/>
      <c r="D294" s="35" t="s">
        <v>3</v>
      </c>
      <c r="E294" s="44">
        <v>45484</v>
      </c>
      <c r="F294" s="37"/>
      <c r="G294" s="45">
        <v>0.375</v>
      </c>
      <c r="H294" s="46">
        <f t="shared" ref="H294" si="95">IF((E294=0),"0",IF((E294=E293+1),(((24-INT(G293))+INT(G294))-1),(INT(G294)-INT(G293)-1))+((1-((G293-INT(G293))/0.6))+((G294-INT(G294))/0.6)))+(F294)</f>
        <v>23.090277777777779</v>
      </c>
      <c r="I294" s="40"/>
      <c r="J294" s="47" t="s">
        <v>5</v>
      </c>
      <c r="K294" s="46">
        <v>18.5</v>
      </c>
      <c r="L294" s="46">
        <v>118.6</v>
      </c>
      <c r="M294" s="46">
        <f>IF(D294="eosp",L294/H294,"")</f>
        <v>5.1363609022556389</v>
      </c>
      <c r="N294" s="46" t="s">
        <v>61</v>
      </c>
      <c r="O294" s="51">
        <v>0.44</v>
      </c>
      <c r="P294" s="52">
        <v>125.9</v>
      </c>
    </row>
    <row r="295" spans="1:18" ht="15.75" customHeight="1" x14ac:dyDescent="0.3">
      <c r="A295" s="11"/>
      <c r="B295" s="11"/>
      <c r="D295" s="35"/>
      <c r="E295" s="36"/>
      <c r="F295" s="37"/>
      <c r="G295" s="38"/>
      <c r="H295" s="39"/>
      <c r="I295" s="40"/>
      <c r="J295" s="41"/>
      <c r="K295" s="39"/>
      <c r="L295" s="39"/>
      <c r="M295" s="39"/>
      <c r="N295" s="39" t="s">
        <v>74</v>
      </c>
      <c r="O295" s="42"/>
      <c r="P295" s="43"/>
      <c r="Q295" s="15"/>
      <c r="R295" s="15"/>
    </row>
    <row r="296" spans="1:18" ht="15.75" customHeight="1" x14ac:dyDescent="0.3">
      <c r="A296" s="11"/>
      <c r="B296" s="11"/>
      <c r="D296" s="35" t="s">
        <v>4</v>
      </c>
      <c r="E296" s="44">
        <v>45498</v>
      </c>
      <c r="F296" s="37"/>
      <c r="G296" s="45">
        <v>0.83750000000000002</v>
      </c>
      <c r="H296" s="46"/>
      <c r="I296" s="40"/>
      <c r="J296" s="47" t="s">
        <v>8</v>
      </c>
      <c r="K296" s="48"/>
      <c r="L296" s="46"/>
      <c r="M296" s="46"/>
      <c r="N296" s="46" t="s">
        <v>74</v>
      </c>
      <c r="O296" s="49"/>
      <c r="P296" s="50"/>
    </row>
    <row r="297" spans="1:18" ht="15.75" customHeight="1" x14ac:dyDescent="0.3">
      <c r="A297" s="11"/>
      <c r="B297" s="11"/>
      <c r="D297" s="35" t="s">
        <v>3</v>
      </c>
      <c r="E297" s="44">
        <v>45499</v>
      </c>
      <c r="F297" s="37"/>
      <c r="G297" s="45">
        <v>0.33333333333333331</v>
      </c>
      <c r="H297" s="46">
        <f t="shared" ref="H297" si="96">IF((E297=0),"0",IF((E297=E296+1),(((24-INT(G296))+INT(G297))-1),(INT(G297)-INT(G296)-1))+((1-((G296-INT(G296))/0.6))+((G297-INT(G297))/0.6)))+(F297)</f>
        <v>23.159722222222221</v>
      </c>
      <c r="I297" s="40"/>
      <c r="J297" s="47" t="s">
        <v>5</v>
      </c>
      <c r="K297" s="46">
        <v>20.3</v>
      </c>
      <c r="L297" s="46">
        <v>129.5</v>
      </c>
      <c r="M297" s="46">
        <f>IF(D297="eosp",L297/H297,"")</f>
        <v>5.5916041979010496</v>
      </c>
      <c r="N297" s="46" t="s">
        <v>62</v>
      </c>
      <c r="O297" s="51">
        <v>0.42</v>
      </c>
      <c r="P297" s="52">
        <v>128.69999999999999</v>
      </c>
    </row>
    <row r="298" spans="1:18" ht="15.75" customHeight="1" x14ac:dyDescent="0.3">
      <c r="A298" s="11"/>
      <c r="B298" s="11"/>
      <c r="D298" s="35"/>
      <c r="E298" s="36"/>
      <c r="F298" s="37"/>
      <c r="G298" s="38"/>
      <c r="H298" s="39"/>
      <c r="I298" s="40"/>
      <c r="J298" s="41"/>
      <c r="K298" s="39"/>
      <c r="L298" s="39"/>
      <c r="M298" s="39"/>
      <c r="N298" s="39" t="s">
        <v>74</v>
      </c>
      <c r="O298" s="42"/>
      <c r="P298" s="43"/>
      <c r="Q298" s="15"/>
      <c r="R298" s="15"/>
    </row>
    <row r="299" spans="1:18" ht="15.75" customHeight="1" x14ac:dyDescent="0.3">
      <c r="A299" s="11"/>
      <c r="B299" s="11"/>
      <c r="D299" s="35" t="s">
        <v>4</v>
      </c>
      <c r="E299" s="44">
        <v>45509</v>
      </c>
      <c r="F299" s="37"/>
      <c r="G299" s="45">
        <v>0.62916666666666665</v>
      </c>
      <c r="H299" s="46"/>
      <c r="I299" s="40"/>
      <c r="J299" s="47" t="s">
        <v>7</v>
      </c>
      <c r="K299" s="48"/>
      <c r="L299" s="46"/>
      <c r="M299" s="46"/>
      <c r="N299" s="46" t="s">
        <v>74</v>
      </c>
      <c r="O299" s="49"/>
      <c r="P299" s="50"/>
    </row>
    <row r="300" spans="1:18" ht="15.75" customHeight="1" x14ac:dyDescent="0.3">
      <c r="A300" s="11"/>
      <c r="B300" s="11"/>
      <c r="D300" s="35" t="s">
        <v>3</v>
      </c>
      <c r="E300" s="44">
        <v>45510</v>
      </c>
      <c r="F300" s="37"/>
      <c r="G300" s="45">
        <v>0.125</v>
      </c>
      <c r="H300" s="46">
        <f t="shared" ref="H300" si="97">IF((E300=0),"0",IF((E300=E299+1),(((24-INT(G299))+INT(G300))-1),(INT(G300)-INT(G299)-1))+((1-((G299-INT(G299))/0.6))+((G300-INT(G300))/0.6)))+(F300)</f>
        <v>23.159722222222221</v>
      </c>
      <c r="I300" s="40"/>
      <c r="J300" s="47" t="s">
        <v>6</v>
      </c>
      <c r="K300" s="46">
        <v>29.2</v>
      </c>
      <c r="L300" s="46">
        <v>113.4</v>
      </c>
      <c r="M300" s="46">
        <f>IF(D300="eosp",L300/H300,"")</f>
        <v>4.8964317841079463</v>
      </c>
      <c r="N300" s="46" t="s">
        <v>62</v>
      </c>
      <c r="O300" s="51">
        <v>0.39</v>
      </c>
      <c r="P300" s="52">
        <v>126.8</v>
      </c>
    </row>
    <row r="301" spans="1:18" ht="15.75" customHeight="1" x14ac:dyDescent="0.3">
      <c r="A301" s="11"/>
      <c r="B301" s="11"/>
      <c r="D301" s="35"/>
      <c r="E301" s="36"/>
      <c r="F301" s="37"/>
      <c r="G301" s="38"/>
      <c r="H301" s="39"/>
      <c r="I301" s="40"/>
      <c r="J301" s="41"/>
      <c r="K301" s="39"/>
      <c r="L301" s="39"/>
      <c r="M301" s="39"/>
      <c r="N301" s="39" t="s">
        <v>74</v>
      </c>
      <c r="O301" s="42"/>
      <c r="P301" s="43"/>
      <c r="Q301" s="15"/>
      <c r="R301" s="15"/>
    </row>
    <row r="302" spans="1:18" ht="15.75" customHeight="1" x14ac:dyDescent="0.3">
      <c r="A302" s="11"/>
      <c r="B302" s="11"/>
      <c r="D302" s="35" t="s">
        <v>4</v>
      </c>
      <c r="E302" s="44">
        <v>45511</v>
      </c>
      <c r="F302" s="37"/>
      <c r="G302" s="45">
        <v>2.4999999999999998E-2</v>
      </c>
      <c r="H302" s="46"/>
      <c r="I302" s="40"/>
      <c r="J302" s="47" t="s">
        <v>8</v>
      </c>
      <c r="K302" s="48"/>
      <c r="L302" s="46"/>
      <c r="M302" s="46"/>
      <c r="N302" s="46" t="s">
        <v>74</v>
      </c>
      <c r="O302" s="49"/>
      <c r="P302" s="50"/>
    </row>
    <row r="303" spans="1:18" ht="15.75" customHeight="1" x14ac:dyDescent="0.3">
      <c r="A303" s="11"/>
      <c r="B303" s="11"/>
      <c r="D303" s="35" t="s">
        <v>3</v>
      </c>
      <c r="E303" s="44">
        <v>45511</v>
      </c>
      <c r="F303" s="37"/>
      <c r="G303" s="45">
        <v>0.44166666666666665</v>
      </c>
      <c r="H303" s="46">
        <f t="shared" ref="H303" si="98">IF((E303=0),"0",IF((E303=E302+1),(((24-INT(G302))+INT(G303))-1),(INT(G303)-INT(G302)-1))+((1-((G302-INT(G302))/0.6))+((G303-INT(G303))/0.6)))+(F303)</f>
        <v>0.69444444444444464</v>
      </c>
      <c r="I303" s="40"/>
      <c r="J303" s="47" t="s">
        <v>5</v>
      </c>
      <c r="K303" s="46">
        <v>19.5</v>
      </c>
      <c r="L303" s="46">
        <v>109.9</v>
      </c>
      <c r="M303" s="46">
        <f>IF(D303="eosp",L303/H303,"")</f>
        <v>158.25599999999997</v>
      </c>
      <c r="N303" s="46" t="s">
        <v>63</v>
      </c>
      <c r="O303" s="51">
        <v>0.4</v>
      </c>
      <c r="P303" s="52">
        <v>128.69999999999999</v>
      </c>
    </row>
    <row r="304" spans="1:18" ht="15.75" customHeight="1" x14ac:dyDescent="0.3">
      <c r="A304" s="11"/>
      <c r="B304" s="11"/>
      <c r="D304" s="35"/>
      <c r="E304" s="36"/>
      <c r="F304" s="37"/>
      <c r="G304" s="38"/>
      <c r="H304" s="39"/>
      <c r="I304" s="40"/>
      <c r="J304" s="41"/>
      <c r="K304" s="39"/>
      <c r="L304" s="39"/>
      <c r="M304" s="39"/>
      <c r="N304" s="39" t="s">
        <v>74</v>
      </c>
      <c r="O304" s="42"/>
      <c r="P304" s="43"/>
      <c r="Q304" s="15"/>
      <c r="R304" s="15"/>
    </row>
    <row r="305" spans="1:18" ht="15.75" customHeight="1" x14ac:dyDescent="0.3">
      <c r="A305" s="11"/>
      <c r="B305" s="11"/>
      <c r="D305" s="35" t="s">
        <v>4</v>
      </c>
      <c r="E305" s="44">
        <v>45516</v>
      </c>
      <c r="F305" s="37"/>
      <c r="G305" s="45">
        <v>0.25416666666666665</v>
      </c>
      <c r="H305" s="46"/>
      <c r="I305" s="40"/>
      <c r="J305" s="47" t="s">
        <v>7</v>
      </c>
      <c r="K305" s="48"/>
      <c r="L305" s="46"/>
      <c r="M305" s="46"/>
      <c r="N305" s="46" t="s">
        <v>74</v>
      </c>
      <c r="O305" s="49"/>
      <c r="P305" s="50"/>
    </row>
    <row r="306" spans="1:18" ht="15.75" customHeight="1" x14ac:dyDescent="0.3">
      <c r="A306" s="11"/>
      <c r="B306" s="11"/>
      <c r="D306" s="35" t="s">
        <v>3</v>
      </c>
      <c r="E306" s="44">
        <v>45516</v>
      </c>
      <c r="F306" s="37"/>
      <c r="G306" s="45">
        <v>0.66666666666666663</v>
      </c>
      <c r="H306" s="46">
        <f t="shared" ref="H306" si="99">IF((E306=0),"0",IF((E306=E305+1),(((24-INT(G305))+INT(G306))-1),(INT(G306)-INT(G305)-1))+((1-((G305-INT(G305))/0.6))+((G306-INT(G306))/0.6)))+(F306)</f>
        <v>0.6875</v>
      </c>
      <c r="I306" s="40"/>
      <c r="J306" s="47" t="s">
        <v>6</v>
      </c>
      <c r="K306" s="46">
        <v>21.6</v>
      </c>
      <c r="L306" s="46">
        <v>116.5</v>
      </c>
      <c r="M306" s="46">
        <f>IF(D306="eosp",L306/H306,"")</f>
        <v>169.45454545454547</v>
      </c>
      <c r="N306" s="46" t="s">
        <v>36</v>
      </c>
      <c r="O306" s="51">
        <v>0.44</v>
      </c>
      <c r="P306" s="52">
        <v>130.80000000000001</v>
      </c>
    </row>
    <row r="307" spans="1:18" ht="15.75" customHeight="1" x14ac:dyDescent="0.3">
      <c r="A307" s="11"/>
      <c r="B307" s="11"/>
      <c r="D307" s="35"/>
      <c r="E307" s="36"/>
      <c r="F307" s="37"/>
      <c r="G307" s="38"/>
      <c r="H307" s="39"/>
      <c r="I307" s="40"/>
      <c r="J307" s="41"/>
      <c r="K307" s="39"/>
      <c r="L307" s="39"/>
      <c r="M307" s="39"/>
      <c r="N307" s="39" t="s">
        <v>74</v>
      </c>
      <c r="O307" s="42"/>
      <c r="P307" s="43"/>
      <c r="Q307" s="15"/>
      <c r="R307" s="15"/>
    </row>
    <row r="308" spans="1:18" ht="15.75" customHeight="1" x14ac:dyDescent="0.3">
      <c r="A308" s="11"/>
      <c r="B308" s="11"/>
      <c r="D308" s="35" t="s">
        <v>4</v>
      </c>
      <c r="E308" s="44">
        <v>45517</v>
      </c>
      <c r="F308" s="37"/>
      <c r="G308" s="45">
        <v>0.85833333333333339</v>
      </c>
      <c r="H308" s="46"/>
      <c r="I308" s="40"/>
      <c r="J308" s="47" t="s">
        <v>8</v>
      </c>
      <c r="K308" s="48"/>
      <c r="L308" s="46"/>
      <c r="M308" s="46"/>
      <c r="N308" s="46" t="s">
        <v>74</v>
      </c>
      <c r="O308" s="49"/>
      <c r="P308" s="50"/>
    </row>
    <row r="309" spans="1:18" ht="15.75" customHeight="1" x14ac:dyDescent="0.3">
      <c r="A309" s="11"/>
      <c r="B309" s="11"/>
      <c r="D309" s="35" t="s">
        <v>3</v>
      </c>
      <c r="E309" s="44">
        <v>45518</v>
      </c>
      <c r="F309" s="37"/>
      <c r="G309" s="45">
        <v>0.25</v>
      </c>
      <c r="H309" s="46">
        <f t="shared" ref="H309" si="100">IF((E309=0),"0",IF((E309=E308+1),(((24-INT(G308))+INT(G309))-1),(INT(G309)-INT(G308)-1))+((1-((G308-INT(G308))/0.6))+((G309-INT(G309))/0.6)))+(F309)</f>
        <v>22.986111111111111</v>
      </c>
      <c r="I309" s="40"/>
      <c r="J309" s="47" t="s">
        <v>5</v>
      </c>
      <c r="K309" s="46">
        <v>16.899999999999999</v>
      </c>
      <c r="L309" s="46">
        <v>107.2</v>
      </c>
      <c r="M309" s="46">
        <f>IF(D309="eosp",L309/H309,"")</f>
        <v>4.6636858006042301</v>
      </c>
      <c r="N309" s="46" t="s">
        <v>64</v>
      </c>
      <c r="O309" s="51">
        <v>0.41</v>
      </c>
      <c r="P309" s="52">
        <v>129.30000000000001</v>
      </c>
    </row>
    <row r="310" spans="1:18" ht="15.75" customHeight="1" x14ac:dyDescent="0.3">
      <c r="A310" s="11"/>
      <c r="B310" s="11"/>
      <c r="D310" s="35"/>
      <c r="E310" s="36"/>
      <c r="F310" s="37"/>
      <c r="G310" s="38"/>
      <c r="H310" s="39"/>
      <c r="I310" s="40"/>
      <c r="J310" s="41"/>
      <c r="K310" s="39"/>
      <c r="L310" s="39"/>
      <c r="M310" s="39"/>
      <c r="N310" s="39" t="s">
        <v>74</v>
      </c>
      <c r="O310" s="42"/>
      <c r="P310" s="43"/>
      <c r="Q310" s="15"/>
      <c r="R310" s="15"/>
    </row>
    <row r="311" spans="1:18" ht="15.75" customHeight="1" x14ac:dyDescent="0.3">
      <c r="A311" s="11"/>
      <c r="B311" s="11"/>
      <c r="D311" s="35" t="s">
        <v>4</v>
      </c>
      <c r="E311" s="44">
        <v>45519</v>
      </c>
      <c r="F311" s="37"/>
      <c r="G311" s="45">
        <v>0.33749999999999997</v>
      </c>
      <c r="H311" s="46"/>
      <c r="I311" s="40"/>
      <c r="J311" s="47" t="s">
        <v>7</v>
      </c>
      <c r="K311" s="48"/>
      <c r="L311" s="46"/>
      <c r="M311" s="46"/>
      <c r="N311" s="46" t="s">
        <v>74</v>
      </c>
      <c r="O311" s="49"/>
      <c r="P311" s="50"/>
    </row>
    <row r="312" spans="1:18" ht="15.75" customHeight="1" x14ac:dyDescent="0.3">
      <c r="A312" s="11"/>
      <c r="B312" s="11"/>
      <c r="D312" s="35" t="s">
        <v>3</v>
      </c>
      <c r="E312" s="44">
        <v>45519</v>
      </c>
      <c r="F312" s="37"/>
      <c r="G312" s="45">
        <v>0.625</v>
      </c>
      <c r="H312" s="46">
        <f t="shared" ref="H312" si="101">IF((E312=0),"0",IF((E312=E311+1),(((24-INT(G311))+INT(G312))-1),(INT(G312)-INT(G311)-1))+((1-((G311-INT(G311))/0.6))+((G312-INT(G312))/0.6)))+(F312)</f>
        <v>0.47916666666666674</v>
      </c>
      <c r="I312" s="40"/>
      <c r="J312" s="47" t="s">
        <v>6</v>
      </c>
      <c r="K312" s="46">
        <v>20.2</v>
      </c>
      <c r="L312" s="46">
        <v>74.900000000000006</v>
      </c>
      <c r="M312" s="46">
        <f>IF(D312="eosp",L312/H312,"")</f>
        <v>156.31304347826085</v>
      </c>
      <c r="N312" s="46" t="s">
        <v>65</v>
      </c>
      <c r="O312" s="51">
        <v>0.4</v>
      </c>
      <c r="P312" s="52">
        <v>128.80000000000001</v>
      </c>
    </row>
    <row r="313" spans="1:18" ht="15.75" customHeight="1" x14ac:dyDescent="0.3">
      <c r="A313" s="11"/>
      <c r="B313" s="11"/>
      <c r="D313" s="35"/>
      <c r="E313" s="36"/>
      <c r="F313" s="37"/>
      <c r="G313" s="38"/>
      <c r="H313" s="39"/>
      <c r="I313" s="40"/>
      <c r="J313" s="41"/>
      <c r="K313" s="39"/>
      <c r="L313" s="39"/>
      <c r="M313" s="39"/>
      <c r="N313" s="39" t="s">
        <v>74</v>
      </c>
      <c r="O313" s="42"/>
      <c r="P313" s="43"/>
      <c r="Q313" s="15"/>
      <c r="R313" s="15"/>
    </row>
    <row r="314" spans="1:18" ht="15.75" customHeight="1" x14ac:dyDescent="0.3">
      <c r="A314" s="11"/>
      <c r="B314" s="11"/>
      <c r="D314" s="35" t="s">
        <v>4</v>
      </c>
      <c r="E314" s="44">
        <v>45520</v>
      </c>
      <c r="F314" s="37"/>
      <c r="G314" s="45">
        <v>0.94166666666666676</v>
      </c>
      <c r="H314" s="46"/>
      <c r="I314" s="40"/>
      <c r="J314" s="47" t="s">
        <v>8</v>
      </c>
      <c r="K314" s="48"/>
      <c r="L314" s="46"/>
      <c r="M314" s="46"/>
      <c r="N314" s="46" t="s">
        <v>74</v>
      </c>
      <c r="O314" s="49"/>
      <c r="P314" s="50"/>
      <c r="Q314" s="16"/>
      <c r="R314" s="16"/>
    </row>
    <row r="315" spans="1:18" ht="15.75" customHeight="1" x14ac:dyDescent="0.3">
      <c r="A315" s="11"/>
      <c r="B315" s="11"/>
      <c r="D315" s="35" t="s">
        <v>3</v>
      </c>
      <c r="E315" s="44">
        <v>45521</v>
      </c>
      <c r="F315" s="37"/>
      <c r="G315" s="45">
        <v>0.40833333333333338</v>
      </c>
      <c r="H315" s="46">
        <f t="shared" ref="H315" si="102">IF((E315=0),"0",IF((E315=E314+1),(((24-INT(G314))+INT(G315))-1),(INT(G315)-INT(G314)-1))+((1-((G314-INT(G314))/0.6))+((G315-INT(G315))/0.6)))+(F315)</f>
        <v>23.111111111111111</v>
      </c>
      <c r="I315" s="40"/>
      <c r="J315" s="47" t="s">
        <v>5</v>
      </c>
      <c r="K315" s="46">
        <v>17.2</v>
      </c>
      <c r="L315" s="46">
        <v>126.8</v>
      </c>
      <c r="M315" s="46">
        <f>IF(D315="eosp",L315/H315,"")</f>
        <v>5.4865384615384611</v>
      </c>
      <c r="N315" s="46" t="s">
        <v>66</v>
      </c>
      <c r="O315" s="51">
        <v>0.42</v>
      </c>
      <c r="P315" s="52">
        <v>128.9</v>
      </c>
    </row>
    <row r="316" spans="1:18" ht="15.75" customHeight="1" x14ac:dyDescent="0.3">
      <c r="A316" s="11"/>
      <c r="B316" s="11"/>
      <c r="D316" s="35"/>
      <c r="E316" s="36"/>
      <c r="F316" s="37"/>
      <c r="G316" s="38"/>
      <c r="H316" s="39"/>
      <c r="I316" s="40"/>
      <c r="J316" s="41"/>
      <c r="K316" s="39"/>
      <c r="L316" s="39"/>
      <c r="M316" s="39"/>
      <c r="N316" s="39" t="s">
        <v>74</v>
      </c>
      <c r="O316" s="42"/>
      <c r="P316" s="43"/>
      <c r="Q316" s="15"/>
      <c r="R316" s="15"/>
    </row>
    <row r="317" spans="1:18" ht="15.75" customHeight="1" x14ac:dyDescent="0.3">
      <c r="A317" s="11"/>
      <c r="B317" s="11"/>
      <c r="D317" s="35" t="s">
        <v>4</v>
      </c>
      <c r="E317" s="44">
        <v>45522</v>
      </c>
      <c r="F317" s="37"/>
      <c r="G317" s="45">
        <v>0.82500000000000007</v>
      </c>
      <c r="H317" s="46"/>
      <c r="I317" s="40"/>
      <c r="J317" s="47" t="s">
        <v>7</v>
      </c>
      <c r="K317" s="48"/>
      <c r="L317" s="46"/>
      <c r="M317" s="46"/>
      <c r="N317" s="46" t="s">
        <v>74</v>
      </c>
      <c r="O317" s="49"/>
      <c r="P317" s="50"/>
    </row>
    <row r="318" spans="1:18" ht="15.75" customHeight="1" x14ac:dyDescent="0.3">
      <c r="A318" s="11"/>
      <c r="B318" s="11"/>
      <c r="D318" s="35" t="s">
        <v>3</v>
      </c>
      <c r="E318" s="44">
        <v>45523</v>
      </c>
      <c r="F318" s="37"/>
      <c r="G318" s="45">
        <v>0.32083333333333336</v>
      </c>
      <c r="H318" s="46">
        <f t="shared" ref="H318" si="103">IF((E318=0),"0",IF((E318=E317+1),(((24-INT(G317))+INT(G318))-1),(INT(G318)-INT(G317)-1))+((1-((G317-INT(G317))/0.6))+((G318-INT(G318))/0.6)))+(F318)</f>
        <v>23.159722222222221</v>
      </c>
      <c r="I318" s="40"/>
      <c r="J318" s="47" t="s">
        <v>6</v>
      </c>
      <c r="K318" s="46">
        <v>26.2</v>
      </c>
      <c r="L318" s="46">
        <v>118.3</v>
      </c>
      <c r="M318" s="46">
        <f>IF(D318="eosp",L318/H318,"")</f>
        <v>5.1080059970014995</v>
      </c>
      <c r="N318" s="46" t="s">
        <v>40</v>
      </c>
      <c r="O318" s="51">
        <v>0.4</v>
      </c>
      <c r="P318" s="52">
        <v>126.8</v>
      </c>
    </row>
    <row r="319" spans="1:18" ht="15.75" customHeight="1" x14ac:dyDescent="0.3">
      <c r="A319" s="11"/>
      <c r="B319" s="11" t="s">
        <v>14</v>
      </c>
      <c r="D319" s="35"/>
      <c r="E319" s="36"/>
      <c r="F319" s="37"/>
      <c r="G319" s="38"/>
      <c r="H319" s="39"/>
      <c r="I319" s="40"/>
      <c r="J319" s="41"/>
      <c r="K319" s="39"/>
      <c r="L319" s="39"/>
      <c r="M319" s="39"/>
      <c r="N319" s="39" t="s">
        <v>74</v>
      </c>
      <c r="O319" s="42"/>
      <c r="P319" s="43"/>
      <c r="Q319" s="15"/>
      <c r="R319" s="15"/>
    </row>
    <row r="320" spans="1:18" ht="15.75" customHeight="1" x14ac:dyDescent="0.3">
      <c r="A320" s="11"/>
      <c r="B320" s="11"/>
      <c r="D320" s="35" t="s">
        <v>4</v>
      </c>
      <c r="E320" s="44">
        <v>45524</v>
      </c>
      <c r="F320" s="37"/>
      <c r="G320" s="45">
        <v>0.5</v>
      </c>
      <c r="H320" s="46"/>
      <c r="I320" s="40"/>
      <c r="J320" s="47" t="s">
        <v>8</v>
      </c>
      <c r="K320" s="48"/>
      <c r="L320" s="46"/>
      <c r="M320" s="46"/>
      <c r="N320" s="46" t="s">
        <v>74</v>
      </c>
      <c r="O320" s="49"/>
      <c r="P320" s="50"/>
    </row>
    <row r="321" spans="1:18" ht="15.75" customHeight="1" x14ac:dyDescent="0.3">
      <c r="A321" s="11"/>
      <c r="B321" s="11"/>
      <c r="D321" s="35" t="s">
        <v>3</v>
      </c>
      <c r="E321" s="44">
        <v>45524</v>
      </c>
      <c r="F321" s="37"/>
      <c r="G321" s="45">
        <v>0.88750000000000007</v>
      </c>
      <c r="H321" s="46">
        <f t="shared" ref="H321" si="104">IF((E321=0),"0",IF((E321=E320+1),(((24-INT(G320))+INT(G321))-1),(INT(G321)-INT(G320)-1))+((1-((G320-INT(G320))/0.6))+((G321-INT(G321))/0.6)))+(F321)</f>
        <v>0.64583333333333348</v>
      </c>
      <c r="I321" s="40"/>
      <c r="J321" s="47" t="s">
        <v>5</v>
      </c>
      <c r="K321" s="46">
        <v>11.6</v>
      </c>
      <c r="L321" s="46">
        <v>111.5</v>
      </c>
      <c r="M321" s="46">
        <f>IF(D321="eosp",L321/H321,"")</f>
        <v>172.64516129032253</v>
      </c>
      <c r="N321" s="46" t="s">
        <v>67</v>
      </c>
      <c r="O321" s="51">
        <v>0.4</v>
      </c>
      <c r="P321" s="52">
        <v>127.8</v>
      </c>
    </row>
    <row r="322" spans="1:18" ht="15.75" customHeight="1" x14ac:dyDescent="0.3">
      <c r="A322" s="11"/>
      <c r="B322" s="11"/>
      <c r="D322" s="35"/>
      <c r="E322" s="36"/>
      <c r="F322" s="37"/>
      <c r="G322" s="38"/>
      <c r="H322" s="39"/>
      <c r="I322" s="40"/>
      <c r="J322" s="41"/>
      <c r="K322" s="39"/>
      <c r="L322" s="39"/>
      <c r="M322" s="39"/>
      <c r="N322" s="39" t="s">
        <v>74</v>
      </c>
      <c r="O322" s="42"/>
      <c r="P322" s="43"/>
      <c r="Q322" s="15"/>
      <c r="R322" s="15"/>
    </row>
    <row r="323" spans="1:18" ht="15.75" customHeight="1" x14ac:dyDescent="0.3">
      <c r="A323" s="11"/>
      <c r="B323" s="11"/>
      <c r="D323" s="35" t="s">
        <v>4</v>
      </c>
      <c r="E323" s="44">
        <v>45526</v>
      </c>
      <c r="F323" s="37"/>
      <c r="G323" s="45">
        <v>0.70000000000000007</v>
      </c>
      <c r="H323" s="46"/>
      <c r="I323" s="40"/>
      <c r="J323" s="47" t="s">
        <v>7</v>
      </c>
      <c r="K323" s="48"/>
      <c r="L323" s="46"/>
      <c r="M323" s="46"/>
      <c r="N323" s="46" t="s">
        <v>74</v>
      </c>
      <c r="O323" s="49"/>
      <c r="P323" s="50"/>
    </row>
    <row r="324" spans="1:18" ht="15.75" customHeight="1" x14ac:dyDescent="0.3">
      <c r="A324" s="11"/>
      <c r="B324" s="11"/>
      <c r="D324" s="35" t="s">
        <v>3</v>
      </c>
      <c r="E324" s="44">
        <v>45527</v>
      </c>
      <c r="F324" s="37"/>
      <c r="G324" s="45">
        <v>0.17500000000000002</v>
      </c>
      <c r="H324" s="46">
        <f t="shared" ref="H324" si="105">IF((E324=0),"0",IF((E324=E323+1),(((24-INT(G323))+INT(G324))-1),(INT(G324)-INT(G323)-1))+((1-((G323-INT(G323))/0.6))+((G324-INT(G324))/0.6)))+(F324)</f>
        <v>23.125</v>
      </c>
      <c r="I324" s="40"/>
      <c r="J324" s="47" t="s">
        <v>6</v>
      </c>
      <c r="K324" s="46">
        <v>23.8</v>
      </c>
      <c r="L324" s="46">
        <v>116.4</v>
      </c>
      <c r="M324" s="46">
        <f>IF(D324="eosp",L324/H324,"")</f>
        <v>5.0335135135135136</v>
      </c>
      <c r="N324" s="46" t="s">
        <v>68</v>
      </c>
      <c r="O324" s="51">
        <v>0.4</v>
      </c>
      <c r="P324" s="52">
        <v>126.3</v>
      </c>
    </row>
    <row r="325" spans="1:18" ht="15.75" customHeight="1" x14ac:dyDescent="0.3">
      <c r="A325" s="11"/>
      <c r="B325" s="11"/>
      <c r="D325" s="35"/>
      <c r="E325" s="36"/>
      <c r="F325" s="37"/>
      <c r="G325" s="38"/>
      <c r="H325" s="39"/>
      <c r="I325" s="40"/>
      <c r="J325" s="41"/>
      <c r="K325" s="39"/>
      <c r="L325" s="39"/>
      <c r="M325" s="39"/>
      <c r="N325" s="39" t="s">
        <v>74</v>
      </c>
      <c r="O325" s="42"/>
      <c r="P325" s="43"/>
      <c r="Q325" s="15"/>
      <c r="R325" s="15"/>
    </row>
    <row r="326" spans="1:18" ht="15.75" customHeight="1" x14ac:dyDescent="0.3">
      <c r="A326" s="11"/>
      <c r="B326" s="11"/>
      <c r="D326" s="35" t="s">
        <v>4</v>
      </c>
      <c r="E326" s="44">
        <v>45528</v>
      </c>
      <c r="F326" s="37"/>
      <c r="G326" s="45">
        <v>4.5833333333333337E-2</v>
      </c>
      <c r="H326" s="46"/>
      <c r="I326" s="40"/>
      <c r="J326" s="47" t="s">
        <v>8</v>
      </c>
      <c r="K326" s="48"/>
      <c r="L326" s="46"/>
      <c r="M326" s="46"/>
      <c r="N326" s="46" t="s">
        <v>74</v>
      </c>
      <c r="O326" s="49"/>
      <c r="P326" s="50"/>
    </row>
    <row r="327" spans="1:18" ht="15.75" customHeight="1" x14ac:dyDescent="0.3">
      <c r="A327" s="11"/>
      <c r="B327" s="11"/>
      <c r="D327" s="35" t="s">
        <v>3</v>
      </c>
      <c r="E327" s="44">
        <v>45528</v>
      </c>
      <c r="F327" s="37"/>
      <c r="G327" s="45">
        <v>0.5</v>
      </c>
      <c r="H327" s="46">
        <f t="shared" ref="H327" si="106">IF((E327=0),"0",IF((E327=E326+1),(((24-INT(G326))+INT(G327))-1),(INT(G327)-INT(G326)-1))+((1-((G326-INT(G326))/0.6))+((G327-INT(G327))/0.6)))+(F327)</f>
        <v>0.75694444444444464</v>
      </c>
      <c r="I327" s="40"/>
      <c r="J327" s="47" t="s">
        <v>5</v>
      </c>
      <c r="K327" s="46">
        <v>14.3</v>
      </c>
      <c r="L327" s="46">
        <v>126.9</v>
      </c>
      <c r="M327" s="46">
        <f>IF(D327="eosp",L327/H327,"")</f>
        <v>167.6477064220183</v>
      </c>
      <c r="N327" s="46" t="s">
        <v>61</v>
      </c>
      <c r="O327" s="51">
        <v>0.4</v>
      </c>
      <c r="P327" s="52"/>
    </row>
    <row r="328" spans="1:18" ht="15.75" customHeight="1" x14ac:dyDescent="0.3">
      <c r="A328" s="11"/>
      <c r="B328" s="11"/>
      <c r="D328" s="35"/>
      <c r="E328" s="36"/>
      <c r="F328" s="37"/>
      <c r="G328" s="38"/>
      <c r="H328" s="39"/>
      <c r="I328" s="40"/>
      <c r="J328" s="41"/>
      <c r="K328" s="39"/>
      <c r="L328" s="39"/>
      <c r="M328" s="39"/>
      <c r="N328" s="39" t="s">
        <v>74</v>
      </c>
      <c r="O328" s="42"/>
      <c r="P328" s="43"/>
      <c r="Q328" s="15"/>
      <c r="R328" s="15"/>
    </row>
    <row r="329" spans="1:18" ht="15.75" customHeight="1" x14ac:dyDescent="0.3">
      <c r="A329" s="11"/>
      <c r="B329" s="11"/>
      <c r="D329" s="35" t="s">
        <v>4</v>
      </c>
      <c r="E329" s="44">
        <v>45530</v>
      </c>
      <c r="F329" s="37"/>
      <c r="G329" s="45">
        <v>0.62083333333333335</v>
      </c>
      <c r="H329" s="46"/>
      <c r="I329" s="40"/>
      <c r="J329" s="47" t="s">
        <v>7</v>
      </c>
      <c r="K329" s="48"/>
      <c r="L329" s="46"/>
      <c r="M329" s="46"/>
      <c r="N329" s="46" t="s">
        <v>74</v>
      </c>
      <c r="O329" s="51"/>
      <c r="P329" s="52"/>
    </row>
    <row r="330" spans="1:18" ht="15.75" customHeight="1" x14ac:dyDescent="0.3">
      <c r="A330" s="11"/>
      <c r="B330" s="11"/>
      <c r="D330" s="35" t="s">
        <v>3</v>
      </c>
      <c r="E330" s="44">
        <v>45531</v>
      </c>
      <c r="F330" s="37"/>
      <c r="G330" s="45">
        <v>9.1666666666666674E-2</v>
      </c>
      <c r="H330" s="46">
        <f t="shared" ref="H330" si="107">IF((E330=0),"0",IF((E330=E329+1),(((24-INT(G329))+INT(G330))-1),(INT(G330)-INT(G329)-1))+((1-((G329-INT(G329))/0.6))+((G330-INT(G330))/0.6)))+(F330)</f>
        <v>23.118055555555557</v>
      </c>
      <c r="I330" s="40"/>
      <c r="J330" s="47" t="s">
        <v>6</v>
      </c>
      <c r="K330" s="46">
        <v>21.7</v>
      </c>
      <c r="L330" s="46">
        <v>119.5</v>
      </c>
      <c r="M330" s="46">
        <f>IF(D330="eosp",L330/H330,"")</f>
        <v>5.1691198558125562</v>
      </c>
      <c r="N330" s="46" t="s">
        <v>69</v>
      </c>
      <c r="O330" s="51">
        <v>0.39</v>
      </c>
      <c r="P330" s="52">
        <v>127.3</v>
      </c>
      <c r="Q330" s="12"/>
      <c r="R330" s="12"/>
    </row>
    <row r="331" spans="1:18" ht="15.75" customHeight="1" x14ac:dyDescent="0.3">
      <c r="A331" s="11"/>
      <c r="B331" s="11"/>
      <c r="D331" s="35"/>
      <c r="E331" s="36"/>
      <c r="F331" s="37"/>
      <c r="G331" s="38"/>
      <c r="H331" s="39"/>
      <c r="I331" s="40"/>
      <c r="J331" s="41"/>
      <c r="K331" s="39"/>
      <c r="L331" s="39"/>
      <c r="M331" s="39"/>
      <c r="N331" s="39" t="s">
        <v>74</v>
      </c>
      <c r="O331" s="42"/>
      <c r="P331" s="43"/>
      <c r="Q331" s="15"/>
      <c r="R331" s="15"/>
    </row>
    <row r="332" spans="1:18" ht="15.75" customHeight="1" x14ac:dyDescent="0.3">
      <c r="A332" s="11"/>
      <c r="B332" s="11"/>
      <c r="D332" s="35" t="s">
        <v>4</v>
      </c>
      <c r="E332" s="44">
        <v>45532</v>
      </c>
      <c r="F332" s="37"/>
      <c r="G332" s="45">
        <v>4.1666666666666666E-3</v>
      </c>
      <c r="H332" s="46"/>
      <c r="I332" s="40"/>
      <c r="J332" s="47" t="s">
        <v>8</v>
      </c>
      <c r="K332" s="48"/>
      <c r="L332" s="46"/>
      <c r="M332" s="46"/>
      <c r="N332" s="46" t="s">
        <v>74</v>
      </c>
      <c r="O332" s="49"/>
      <c r="P332" s="50"/>
      <c r="Q332" s="17"/>
      <c r="R332" s="17"/>
    </row>
    <row r="333" spans="1:18" ht="15.75" customHeight="1" x14ac:dyDescent="0.3">
      <c r="A333" s="11"/>
      <c r="B333" s="11"/>
      <c r="D333" s="35" t="s">
        <v>3</v>
      </c>
      <c r="E333" s="44">
        <v>45532</v>
      </c>
      <c r="F333" s="37"/>
      <c r="G333" s="45">
        <v>0.46249999999999997</v>
      </c>
      <c r="H333" s="46">
        <f t="shared" ref="H333" si="108">IF((E333=0),"0",IF((E333=E332+1),(((24-INT(G332))+INT(G333))-1),(INT(G333)-INT(G332)-1))+((1-((G332-INT(G332))/0.6))+((G333-INT(G333))/0.6)))+(F333)</f>
        <v>0.76388888888888884</v>
      </c>
      <c r="I333" s="40"/>
      <c r="J333" s="47" t="s">
        <v>5</v>
      </c>
      <c r="K333" s="46">
        <v>17.5</v>
      </c>
      <c r="L333" s="46">
        <v>123.1</v>
      </c>
      <c r="M333" s="46">
        <f>IF(D333="eosp",L333/H333,"")</f>
        <v>161.14909090909092</v>
      </c>
      <c r="N333" s="46" t="s">
        <v>79</v>
      </c>
      <c r="O333" s="51">
        <v>0.4</v>
      </c>
      <c r="P333" s="52">
        <v>127.8</v>
      </c>
      <c r="Q333" s="16"/>
      <c r="R333" s="16"/>
    </row>
    <row r="334" spans="1:18" ht="15.75" customHeight="1" x14ac:dyDescent="0.3">
      <c r="A334" s="11"/>
      <c r="B334" s="11"/>
      <c r="D334" s="35"/>
      <c r="E334" s="36"/>
      <c r="F334" s="37"/>
      <c r="G334" s="38"/>
      <c r="H334" s="39"/>
      <c r="I334" s="40"/>
      <c r="J334" s="41"/>
      <c r="K334" s="39"/>
      <c r="L334" s="39"/>
      <c r="M334" s="39"/>
      <c r="N334" s="39" t="s">
        <v>74</v>
      </c>
      <c r="O334" s="42"/>
      <c r="P334" s="43"/>
      <c r="Q334" s="15"/>
      <c r="R334" s="15"/>
    </row>
    <row r="335" spans="1:18" ht="15.75" customHeight="1" x14ac:dyDescent="0.3">
      <c r="A335" s="11"/>
      <c r="B335" s="11"/>
      <c r="D335" s="35" t="s">
        <v>4</v>
      </c>
      <c r="E335" s="44">
        <v>45534</v>
      </c>
      <c r="F335" s="37"/>
      <c r="G335" s="45">
        <v>0.29166666666666669</v>
      </c>
      <c r="H335" s="46"/>
      <c r="I335" s="40"/>
      <c r="J335" s="47" t="s">
        <v>7</v>
      </c>
      <c r="K335" s="48"/>
      <c r="L335" s="46"/>
      <c r="M335" s="46"/>
      <c r="N335" s="46" t="s">
        <v>74</v>
      </c>
      <c r="O335" s="49"/>
      <c r="P335" s="50"/>
      <c r="Q335" s="16"/>
      <c r="R335" s="16"/>
    </row>
    <row r="336" spans="1:18" ht="15.75" customHeight="1" x14ac:dyDescent="0.3">
      <c r="A336" s="11"/>
      <c r="B336" s="11"/>
      <c r="D336" s="35" t="s">
        <v>3</v>
      </c>
      <c r="E336" s="44">
        <v>45534</v>
      </c>
      <c r="F336" s="37"/>
      <c r="G336" s="45">
        <v>0.7583333333333333</v>
      </c>
      <c r="H336" s="46">
        <f t="shared" ref="H336" si="109">IF((E336=0),"0",IF((E336=E335+1),(((24-INT(G335))+INT(G336))-1),(INT(G336)-INT(G335)-1))+((1-((G335-INT(G335))/0.6))+((G336-INT(G336))/0.6)))+(F336)</f>
        <v>0.77777777777777768</v>
      </c>
      <c r="I336" s="40"/>
      <c r="J336" s="47" t="s">
        <v>6</v>
      </c>
      <c r="K336" s="46">
        <v>25.1</v>
      </c>
      <c r="L336" s="46">
        <v>112.8</v>
      </c>
      <c r="M336" s="46">
        <f>IF(D336="eosp",L336/H336,"")</f>
        <v>145.02857142857144</v>
      </c>
      <c r="N336" s="46" t="s">
        <v>68</v>
      </c>
      <c r="O336" s="51">
        <v>0.38</v>
      </c>
      <c r="P336" s="52">
        <v>126.7</v>
      </c>
      <c r="Q336" s="16"/>
      <c r="R336" s="16"/>
    </row>
    <row r="337" spans="1:18" ht="15.75" customHeight="1" x14ac:dyDescent="0.3">
      <c r="A337" s="11"/>
      <c r="B337" s="11"/>
      <c r="D337" s="35"/>
      <c r="E337" s="36"/>
      <c r="F337" s="37"/>
      <c r="G337" s="38"/>
      <c r="H337" s="39"/>
      <c r="I337" s="40"/>
      <c r="J337" s="41"/>
      <c r="K337" s="39"/>
      <c r="L337" s="39"/>
      <c r="M337" s="39"/>
      <c r="N337" s="39" t="s">
        <v>74</v>
      </c>
      <c r="O337" s="42"/>
      <c r="P337" s="43"/>
      <c r="Q337" s="15"/>
      <c r="R337" s="15"/>
    </row>
    <row r="338" spans="1:18" ht="15.75" customHeight="1" x14ac:dyDescent="0.3">
      <c r="A338" s="11"/>
      <c r="B338" s="11"/>
      <c r="D338" s="35" t="s">
        <v>4</v>
      </c>
      <c r="E338" s="44">
        <v>45535</v>
      </c>
      <c r="F338" s="37"/>
      <c r="G338" s="45">
        <v>0.97083333333333333</v>
      </c>
      <c r="H338" s="46"/>
      <c r="I338" s="40"/>
      <c r="J338" s="47" t="s">
        <v>8</v>
      </c>
      <c r="K338" s="48"/>
      <c r="L338" s="46"/>
      <c r="M338" s="46"/>
      <c r="N338" s="46" t="s">
        <v>74</v>
      </c>
      <c r="O338" s="49"/>
      <c r="P338" s="50"/>
      <c r="Q338" s="17"/>
      <c r="R338" s="17"/>
    </row>
    <row r="339" spans="1:18" ht="15.75" customHeight="1" x14ac:dyDescent="0.3">
      <c r="A339" s="11"/>
      <c r="B339" s="11"/>
      <c r="D339" s="35" t="s">
        <v>3</v>
      </c>
      <c r="E339" s="44">
        <v>45536</v>
      </c>
      <c r="F339" s="37"/>
      <c r="G339" s="45">
        <v>0.41666666666666669</v>
      </c>
      <c r="H339" s="46">
        <f t="shared" ref="H339" si="110">IF((E339=0),"0",IF((E339=E338+1),(((24-INT(G338))+INT(G339))-1),(INT(G339)-INT(G338)-1))+((1-((G338-INT(G338))/0.6))+((G339-INT(G339))/0.6)))+(F339)</f>
        <v>23.076388888888889</v>
      </c>
      <c r="I339" s="40"/>
      <c r="J339" s="47" t="s">
        <v>5</v>
      </c>
      <c r="K339" s="46">
        <v>19</v>
      </c>
      <c r="L339" s="46">
        <v>117.8</v>
      </c>
      <c r="M339" s="46">
        <f>IF(D339="eosp",L339/H339,"")</f>
        <v>5.1047848329822445</v>
      </c>
      <c r="N339" s="46" t="s">
        <v>61</v>
      </c>
      <c r="O339" s="51">
        <v>0.4</v>
      </c>
      <c r="P339" s="52">
        <v>128.1</v>
      </c>
      <c r="Q339" s="16"/>
      <c r="R339" s="16"/>
    </row>
    <row r="340" spans="1:18" ht="15.75" customHeight="1" x14ac:dyDescent="0.3">
      <c r="A340" s="11"/>
      <c r="B340" s="11"/>
      <c r="D340" s="35"/>
      <c r="E340" s="36"/>
      <c r="F340" s="37"/>
      <c r="G340" s="38"/>
      <c r="H340" s="39"/>
      <c r="I340" s="40"/>
      <c r="J340" s="41"/>
      <c r="K340" s="39"/>
      <c r="L340" s="39"/>
      <c r="M340" s="39"/>
      <c r="N340" s="39" t="s">
        <v>74</v>
      </c>
      <c r="O340" s="42"/>
      <c r="P340" s="43"/>
      <c r="Q340" s="15"/>
      <c r="R340" s="15"/>
    </row>
    <row r="341" spans="1:18" ht="15.75" customHeight="1" x14ac:dyDescent="0.3">
      <c r="A341" s="11"/>
      <c r="B341" s="11"/>
      <c r="D341" s="35" t="s">
        <v>4</v>
      </c>
      <c r="E341" s="44">
        <v>45538</v>
      </c>
      <c r="F341" s="37"/>
      <c r="G341" s="45">
        <v>0.4375</v>
      </c>
      <c r="H341" s="46"/>
      <c r="I341" s="40"/>
      <c r="J341" s="47" t="s">
        <v>7</v>
      </c>
      <c r="K341" s="48"/>
      <c r="L341" s="46"/>
      <c r="M341" s="46"/>
      <c r="N341" s="46" t="s">
        <v>74</v>
      </c>
      <c r="O341" s="49"/>
      <c r="P341" s="50"/>
      <c r="Q341" s="16"/>
      <c r="R341" s="16"/>
    </row>
    <row r="342" spans="1:18" ht="15.75" customHeight="1" x14ac:dyDescent="0.3">
      <c r="A342" s="11"/>
      <c r="B342" s="11"/>
      <c r="D342" s="35" t="s">
        <v>3</v>
      </c>
      <c r="E342" s="44">
        <v>45538</v>
      </c>
      <c r="F342" s="37"/>
      <c r="G342" s="45">
        <v>0.89583333333333337</v>
      </c>
      <c r="H342" s="46">
        <f t="shared" ref="H342" si="111">IF((E342=0),"0",IF((E342=E341+1),(((24-INT(G341))+INT(G342))-1),(INT(G342)-INT(G341)-1))+((1-((G341-INT(G341))/0.6))+((G342-INT(G342))/0.6)))+(F342)</f>
        <v>0.76388888888888884</v>
      </c>
      <c r="I342" s="40"/>
      <c r="J342" s="47" t="s">
        <v>6</v>
      </c>
      <c r="K342" s="46">
        <v>23.5</v>
      </c>
      <c r="L342" s="46">
        <v>123.2</v>
      </c>
      <c r="M342" s="46">
        <f>IF(D342="eosp",L342/H342,"")</f>
        <v>161.28</v>
      </c>
      <c r="N342" s="46" t="s">
        <v>43</v>
      </c>
      <c r="O342" s="51">
        <v>0.57999999999999996</v>
      </c>
      <c r="P342" s="52">
        <v>141.9</v>
      </c>
      <c r="Q342" s="16"/>
      <c r="R342" s="16"/>
    </row>
    <row r="343" spans="1:18" ht="15.75" customHeight="1" x14ac:dyDescent="0.3">
      <c r="A343" s="11"/>
      <c r="B343" s="11"/>
      <c r="D343" s="35"/>
      <c r="E343" s="36"/>
      <c r="F343" s="37"/>
      <c r="G343" s="38"/>
      <c r="H343" s="39"/>
      <c r="I343" s="40"/>
      <c r="J343" s="41"/>
      <c r="K343" s="39"/>
      <c r="L343" s="39"/>
      <c r="M343" s="39"/>
      <c r="N343" s="39" t="s">
        <v>74</v>
      </c>
      <c r="O343" s="42"/>
      <c r="P343" s="43"/>
      <c r="Q343" s="15"/>
      <c r="R343" s="15"/>
    </row>
    <row r="344" spans="1:18" ht="15.75" customHeight="1" x14ac:dyDescent="0.3">
      <c r="A344" s="11"/>
      <c r="B344" s="11"/>
      <c r="D344" s="35" t="s">
        <v>4</v>
      </c>
      <c r="E344" s="44">
        <v>45539</v>
      </c>
      <c r="F344" s="37"/>
      <c r="G344" s="45">
        <v>0.67499999999999993</v>
      </c>
      <c r="H344" s="46"/>
      <c r="I344" s="40"/>
      <c r="J344" s="47" t="s">
        <v>8</v>
      </c>
      <c r="K344" s="48"/>
      <c r="L344" s="46"/>
      <c r="M344" s="46"/>
      <c r="N344" s="46" t="s">
        <v>74</v>
      </c>
      <c r="O344" s="49"/>
      <c r="P344" s="50"/>
      <c r="Q344" s="17"/>
      <c r="R344" s="17"/>
    </row>
    <row r="345" spans="1:18" ht="15.75" customHeight="1" x14ac:dyDescent="0.3">
      <c r="A345" s="11"/>
      <c r="B345" s="11"/>
      <c r="D345" s="35" t="s">
        <v>3</v>
      </c>
      <c r="E345" s="44">
        <v>45540</v>
      </c>
      <c r="F345" s="37"/>
      <c r="G345" s="45">
        <v>9.1666666666666674E-2</v>
      </c>
      <c r="H345" s="46">
        <f t="shared" ref="H345" si="112">IF((E345=0),"0",IF((E345=E344+1),(((24-INT(G344))+INT(G345))-1),(INT(G345)-INT(G344)-1))+((1-((G344-INT(G344))/0.6))+((G345-INT(G345))/0.6)))+(F345)</f>
        <v>23.027777777777779</v>
      </c>
      <c r="I345" s="40"/>
      <c r="J345" s="47" t="s">
        <v>5</v>
      </c>
      <c r="K345" s="46">
        <v>19.399999999999999</v>
      </c>
      <c r="L345" s="46">
        <v>123.5</v>
      </c>
      <c r="M345" s="46">
        <f>IF(D345="eosp",L345/H345,"")</f>
        <v>5.3630880579010851</v>
      </c>
      <c r="N345" s="46" t="s">
        <v>38</v>
      </c>
      <c r="O345" s="51">
        <v>0.61</v>
      </c>
      <c r="P345" s="52">
        <v>144.4</v>
      </c>
      <c r="Q345" s="16"/>
      <c r="R345" s="16"/>
    </row>
    <row r="346" spans="1:18" ht="15.75" customHeight="1" x14ac:dyDescent="0.3">
      <c r="A346" s="11"/>
      <c r="B346" s="11"/>
      <c r="D346" s="35"/>
      <c r="E346" s="36"/>
      <c r="F346" s="37"/>
      <c r="G346" s="38"/>
      <c r="H346" s="39"/>
      <c r="I346" s="40"/>
      <c r="J346" s="41"/>
      <c r="K346" s="39"/>
      <c r="L346" s="39"/>
      <c r="M346" s="39"/>
      <c r="N346" s="39" t="s">
        <v>74</v>
      </c>
      <c r="O346" s="42"/>
      <c r="P346" s="43"/>
      <c r="Q346" s="15"/>
      <c r="R346" s="15"/>
    </row>
    <row r="347" spans="1:18" ht="15.75" customHeight="1" x14ac:dyDescent="0.3">
      <c r="A347" s="11"/>
      <c r="B347" s="11"/>
      <c r="D347" s="35" t="s">
        <v>4</v>
      </c>
      <c r="E347" s="44">
        <v>45542</v>
      </c>
      <c r="F347" s="37"/>
      <c r="G347" s="45">
        <v>2.0833333333333332E-2</v>
      </c>
      <c r="H347" s="46"/>
      <c r="I347" s="40"/>
      <c r="J347" s="47" t="s">
        <v>7</v>
      </c>
      <c r="K347" s="48"/>
      <c r="L347" s="46"/>
      <c r="M347" s="46"/>
      <c r="N347" s="46" t="s">
        <v>74</v>
      </c>
      <c r="O347" s="49"/>
      <c r="P347" s="50"/>
      <c r="Q347" s="16"/>
      <c r="R347" s="16"/>
    </row>
    <row r="348" spans="1:18" ht="15.75" customHeight="1" x14ac:dyDescent="0.3">
      <c r="A348" s="11"/>
      <c r="B348" s="11"/>
      <c r="D348" s="35" t="s">
        <v>3</v>
      </c>
      <c r="E348" s="44">
        <v>45542</v>
      </c>
      <c r="F348" s="37"/>
      <c r="G348" s="45">
        <v>0.4375</v>
      </c>
      <c r="H348" s="46">
        <f t="shared" ref="H348" si="113">IF((E348=0),"0",IF((E348=E347+1),(((24-INT(G347))+INT(G348))-1),(INT(G348)-INT(G347)-1))+((1-((G347-INT(G347))/0.6))+((G348-INT(G348))/0.6)))+(F348)</f>
        <v>0.69444444444444464</v>
      </c>
      <c r="I348" s="40"/>
      <c r="J348" s="47" t="s">
        <v>6</v>
      </c>
      <c r="K348" s="46">
        <v>23.6</v>
      </c>
      <c r="L348" s="46">
        <v>117</v>
      </c>
      <c r="M348" s="46">
        <f>IF(D348="eosp",L348/H348,"")</f>
        <v>168.47999999999996</v>
      </c>
      <c r="N348" s="46" t="s">
        <v>44</v>
      </c>
      <c r="O348" s="51">
        <v>0.57999999999999996</v>
      </c>
      <c r="P348" s="52">
        <v>144.30000000000001</v>
      </c>
      <c r="Q348" s="16"/>
      <c r="R348" s="16"/>
    </row>
    <row r="349" spans="1:18" ht="15.75" customHeight="1" x14ac:dyDescent="0.3">
      <c r="A349" s="11"/>
      <c r="B349" s="11"/>
      <c r="D349" s="35"/>
      <c r="E349" s="36"/>
      <c r="F349" s="37"/>
      <c r="G349" s="38"/>
      <c r="H349" s="39"/>
      <c r="I349" s="40"/>
      <c r="J349" s="41"/>
      <c r="K349" s="39"/>
      <c r="L349" s="39"/>
      <c r="M349" s="39"/>
      <c r="N349" s="39" t="s">
        <v>74</v>
      </c>
      <c r="O349" s="42"/>
      <c r="P349" s="43"/>
      <c r="Q349" s="15"/>
      <c r="R349" s="15"/>
    </row>
    <row r="350" spans="1:18" ht="15.75" customHeight="1" x14ac:dyDescent="0.3">
      <c r="A350" s="11"/>
      <c r="B350" s="11"/>
      <c r="D350" s="35" t="s">
        <v>4</v>
      </c>
      <c r="E350" s="44">
        <v>45543</v>
      </c>
      <c r="F350" s="37"/>
      <c r="G350" s="45">
        <v>7.4999999999999997E-2</v>
      </c>
      <c r="H350" s="46"/>
      <c r="I350" s="40"/>
      <c r="J350" s="47" t="s">
        <v>8</v>
      </c>
      <c r="K350" s="48"/>
      <c r="L350" s="46"/>
      <c r="M350" s="46"/>
      <c r="N350" s="46" t="s">
        <v>74</v>
      </c>
      <c r="O350" s="49"/>
      <c r="P350" s="50"/>
      <c r="Q350" s="17"/>
      <c r="R350" s="17"/>
    </row>
    <row r="351" spans="1:18" ht="15.75" customHeight="1" x14ac:dyDescent="0.3">
      <c r="A351" s="11"/>
      <c r="B351" s="11"/>
      <c r="D351" s="35" t="s">
        <v>3</v>
      </c>
      <c r="E351" s="44">
        <v>45543</v>
      </c>
      <c r="F351" s="37"/>
      <c r="G351" s="45">
        <v>0.5</v>
      </c>
      <c r="H351" s="46">
        <f t="shared" ref="H351" si="114">IF((E351=0),"0",IF((E351=E350+1),(((24-INT(G350))+INT(G351))-1),(INT(G351)-INT(G350)-1))+((1-((G350-INT(G350))/0.6))+((G351-INT(G351))/0.6)))+(F351)</f>
        <v>0.70833333333333348</v>
      </c>
      <c r="I351" s="40"/>
      <c r="J351" s="47" t="s">
        <v>5</v>
      </c>
      <c r="K351" s="46">
        <v>15.9</v>
      </c>
      <c r="L351" s="46">
        <v>127.7</v>
      </c>
      <c r="M351" s="46">
        <f>IF(D351="eosp",L351/H351,"")</f>
        <v>180.28235294117644</v>
      </c>
      <c r="N351" s="46" t="s">
        <v>42</v>
      </c>
      <c r="O351" s="51">
        <v>0.59</v>
      </c>
      <c r="P351" s="52">
        <v>140.30000000000001</v>
      </c>
      <c r="Q351" s="16"/>
      <c r="R351" s="16"/>
    </row>
    <row r="352" spans="1:18" ht="15.75" customHeight="1" x14ac:dyDescent="0.3">
      <c r="A352" s="11"/>
      <c r="B352" s="11"/>
      <c r="D352" s="35"/>
      <c r="E352" s="36"/>
      <c r="F352" s="37"/>
      <c r="G352" s="38"/>
      <c r="H352" s="39"/>
      <c r="I352" s="40"/>
      <c r="J352" s="41"/>
      <c r="K352" s="39"/>
      <c r="L352" s="39"/>
      <c r="M352" s="39"/>
      <c r="N352" s="39" t="s">
        <v>74</v>
      </c>
      <c r="O352" s="42"/>
      <c r="P352" s="43"/>
      <c r="Q352" s="15"/>
      <c r="R352" s="15"/>
    </row>
    <row r="353" spans="1:18" ht="15.75" customHeight="1" x14ac:dyDescent="0.3">
      <c r="A353" s="11"/>
      <c r="B353" s="11"/>
      <c r="D353" s="35" t="s">
        <v>4</v>
      </c>
      <c r="E353" s="44">
        <v>45544</v>
      </c>
      <c r="F353" s="37"/>
      <c r="G353" s="45">
        <v>0.90833333333333333</v>
      </c>
      <c r="H353" s="46"/>
      <c r="I353" s="40"/>
      <c r="J353" s="47" t="s">
        <v>7</v>
      </c>
      <c r="K353" s="48"/>
      <c r="L353" s="46"/>
      <c r="M353" s="46"/>
      <c r="N353" s="46" t="s">
        <v>74</v>
      </c>
      <c r="O353" s="49"/>
      <c r="P353" s="50"/>
      <c r="Q353" s="16"/>
      <c r="R353" s="16"/>
    </row>
    <row r="354" spans="1:18" ht="15.75" customHeight="1" x14ac:dyDescent="0.3">
      <c r="A354" s="11"/>
      <c r="B354" s="11"/>
      <c r="D354" s="35" t="s">
        <v>3</v>
      </c>
      <c r="E354" s="44">
        <v>45545</v>
      </c>
      <c r="F354" s="37"/>
      <c r="G354" s="45">
        <v>0.32916666666666666</v>
      </c>
      <c r="H354" s="46">
        <f t="shared" ref="H354" si="115">IF((E354=0),"0",IF((E354=E353+1),(((24-INT(G353))+INT(G354))-1),(INT(G354)-INT(G353)-1))+((1-((G353-INT(G353))/0.6))+((G354-INT(G354))/0.6)))+(F354)</f>
        <v>23.034722222222221</v>
      </c>
      <c r="I354" s="40"/>
      <c r="J354" s="47" t="s">
        <v>6</v>
      </c>
      <c r="K354" s="46">
        <v>21.7</v>
      </c>
      <c r="L354" s="46">
        <v>120.9</v>
      </c>
      <c r="M354" s="46">
        <f>IF(D354="eosp",L354/H354,"")</f>
        <v>5.2485981308411223</v>
      </c>
      <c r="N354" s="46" t="s">
        <v>44</v>
      </c>
      <c r="O354" s="51">
        <v>0.57999999999999996</v>
      </c>
      <c r="P354" s="52">
        <v>144.1</v>
      </c>
      <c r="Q354" s="16"/>
      <c r="R354" s="16"/>
    </row>
    <row r="355" spans="1:18" ht="15.75" customHeight="1" x14ac:dyDescent="0.3">
      <c r="A355" s="11"/>
      <c r="B355" s="11"/>
      <c r="D355" s="35"/>
      <c r="E355" s="36"/>
      <c r="F355" s="37"/>
      <c r="G355" s="38"/>
      <c r="H355" s="39"/>
      <c r="I355" s="40"/>
      <c r="J355" s="41"/>
      <c r="K355" s="39"/>
      <c r="L355" s="39"/>
      <c r="M355" s="39"/>
      <c r="N355" s="39" t="s">
        <v>74</v>
      </c>
      <c r="O355" s="42"/>
      <c r="P355" s="43"/>
      <c r="Q355" s="15"/>
      <c r="R355" s="15"/>
    </row>
    <row r="356" spans="1:18" ht="15.75" customHeight="1" x14ac:dyDescent="0.3">
      <c r="A356" s="11"/>
      <c r="B356" s="11"/>
      <c r="D356" s="35" t="s">
        <v>4</v>
      </c>
      <c r="E356" s="44">
        <v>45546</v>
      </c>
      <c r="F356" s="37"/>
      <c r="G356" s="45">
        <v>9.1666666666666674E-2</v>
      </c>
      <c r="H356" s="46"/>
      <c r="I356" s="40"/>
      <c r="J356" s="47" t="s">
        <v>8</v>
      </c>
      <c r="K356" s="48"/>
      <c r="L356" s="46"/>
      <c r="M356" s="46"/>
      <c r="N356" s="46" t="s">
        <v>74</v>
      </c>
      <c r="O356" s="49"/>
      <c r="P356" s="50"/>
      <c r="Q356" s="17"/>
      <c r="R356" s="17"/>
    </row>
    <row r="357" spans="1:18" ht="15.75" customHeight="1" x14ac:dyDescent="0.3">
      <c r="A357" s="11"/>
      <c r="B357" s="11"/>
      <c r="D357" s="35" t="s">
        <v>3</v>
      </c>
      <c r="E357" s="44">
        <v>45546</v>
      </c>
      <c r="F357" s="37"/>
      <c r="G357" s="45">
        <v>0.5</v>
      </c>
      <c r="H357" s="46">
        <f t="shared" ref="H357" si="116">IF((E357=0),"0",IF((E357=E356+1),(((24-INT(G356))+INT(G357))-1),(INT(G357)-INT(G356)-1))+((1-((G356-INT(G356))/0.6))+((G357-INT(G357))/0.6)))+(F357)</f>
        <v>0.68055555555555558</v>
      </c>
      <c r="I357" s="40"/>
      <c r="J357" s="47" t="s">
        <v>5</v>
      </c>
      <c r="K357" s="46">
        <v>15.5</v>
      </c>
      <c r="L357" s="46">
        <v>128</v>
      </c>
      <c r="M357" s="46">
        <f>IF(D357="eosp",L357/H357,"")</f>
        <v>188.08163265306121</v>
      </c>
      <c r="N357" s="46" t="s">
        <v>39</v>
      </c>
      <c r="O357" s="51">
        <v>0.56999999999999995</v>
      </c>
      <c r="P357" s="52">
        <v>145.6</v>
      </c>
      <c r="Q357" s="16"/>
      <c r="R357" s="16"/>
    </row>
    <row r="358" spans="1:18" ht="15.75" customHeight="1" x14ac:dyDescent="0.3">
      <c r="A358" s="11"/>
      <c r="B358" s="11"/>
      <c r="D358" s="35"/>
      <c r="E358" s="36"/>
      <c r="F358" s="37"/>
      <c r="G358" s="38"/>
      <c r="H358" s="39"/>
      <c r="I358" s="40"/>
      <c r="J358" s="41"/>
      <c r="K358" s="39"/>
      <c r="L358" s="39"/>
      <c r="M358" s="39"/>
      <c r="N358" s="39" t="s">
        <v>74</v>
      </c>
      <c r="O358" s="42"/>
      <c r="P358" s="43"/>
      <c r="Q358" s="13"/>
      <c r="R358" s="13"/>
    </row>
    <row r="359" spans="1:18" ht="15.75" customHeight="1" x14ac:dyDescent="0.3">
      <c r="A359" s="11"/>
      <c r="B359" s="11"/>
      <c r="D359" s="35" t="s">
        <v>4</v>
      </c>
      <c r="E359" s="44">
        <v>45547</v>
      </c>
      <c r="F359" s="37"/>
      <c r="G359" s="45">
        <v>0.1875</v>
      </c>
      <c r="H359" s="46"/>
      <c r="I359" s="40"/>
      <c r="J359" s="47" t="s">
        <v>7</v>
      </c>
      <c r="K359" s="48"/>
      <c r="L359" s="46"/>
      <c r="M359" s="46"/>
      <c r="N359" s="46" t="s">
        <v>74</v>
      </c>
      <c r="O359" s="49"/>
      <c r="P359" s="50"/>
      <c r="Q359" s="16"/>
      <c r="R359" s="16"/>
    </row>
    <row r="360" spans="1:18" ht="15.75" customHeight="1" x14ac:dyDescent="0.3">
      <c r="A360" s="11"/>
      <c r="B360" s="11"/>
      <c r="D360" s="35" t="s">
        <v>3</v>
      </c>
      <c r="E360" s="44">
        <v>45547</v>
      </c>
      <c r="F360" s="37"/>
      <c r="G360" s="45">
        <v>0.61249999999999993</v>
      </c>
      <c r="H360" s="46">
        <f t="shared" ref="H360" si="117">IF((E360=0),"0",IF((E360=E359+1),(((24-INT(G359))+INT(G360))-1),(INT(G360)-INT(G359)-1))+((1-((G359-INT(G359))/0.6))+((G360-INT(G360))/0.6)))+(F360)</f>
        <v>0.70833333333333326</v>
      </c>
      <c r="I360" s="40"/>
      <c r="J360" s="47" t="s">
        <v>6</v>
      </c>
      <c r="K360" s="46">
        <v>24.8</v>
      </c>
      <c r="L360" s="46">
        <v>117.5</v>
      </c>
      <c r="M360" s="46">
        <f>IF(D360="eosp",L360/H360,"")</f>
        <v>165.88235294117649</v>
      </c>
      <c r="N360" s="46" t="s">
        <v>43</v>
      </c>
      <c r="O360" s="51">
        <v>0.56999999999999995</v>
      </c>
      <c r="P360" s="52">
        <v>144.30000000000001</v>
      </c>
      <c r="Q360" s="16"/>
      <c r="R360" s="16"/>
    </row>
    <row r="361" spans="1:18" ht="15.75" customHeight="1" x14ac:dyDescent="0.3">
      <c r="A361" s="11"/>
      <c r="B361" s="11"/>
      <c r="D361" s="35"/>
      <c r="E361" s="36"/>
      <c r="F361" s="37"/>
      <c r="G361" s="38"/>
      <c r="H361" s="39"/>
      <c r="I361" s="40"/>
      <c r="J361" s="41"/>
      <c r="K361" s="39"/>
      <c r="L361" s="39"/>
      <c r="M361" s="39"/>
      <c r="N361" s="39" t="s">
        <v>74</v>
      </c>
      <c r="O361" s="42"/>
      <c r="P361" s="43"/>
      <c r="Q361" s="15"/>
      <c r="R361" s="15"/>
    </row>
    <row r="362" spans="1:18" ht="15.75" customHeight="1" x14ac:dyDescent="0.3">
      <c r="A362" s="11"/>
      <c r="B362" s="11"/>
      <c r="D362" s="35" t="s">
        <v>4</v>
      </c>
      <c r="E362" s="44">
        <v>45548</v>
      </c>
      <c r="F362" s="37"/>
      <c r="G362" s="45">
        <v>0.35416666666666669</v>
      </c>
      <c r="H362" s="46"/>
      <c r="I362" s="40"/>
      <c r="J362" s="47" t="s">
        <v>8</v>
      </c>
      <c r="K362" s="48"/>
      <c r="L362" s="46"/>
      <c r="M362" s="46"/>
      <c r="N362" s="46" t="s">
        <v>74</v>
      </c>
      <c r="O362" s="49"/>
      <c r="P362" s="50"/>
      <c r="Q362" s="17"/>
      <c r="R362" s="17"/>
    </row>
    <row r="363" spans="1:18" ht="15.75" customHeight="1" x14ac:dyDescent="0.3">
      <c r="A363" s="11"/>
      <c r="B363" s="11"/>
      <c r="D363" s="35" t="s">
        <v>3</v>
      </c>
      <c r="E363" s="44">
        <v>45548</v>
      </c>
      <c r="F363" s="37"/>
      <c r="G363" s="45">
        <v>0.78749999999999998</v>
      </c>
      <c r="H363" s="46">
        <f t="shared" ref="H363" si="118">IF((E363=0),"0",IF((E363=E362+1),(((24-INT(G362))+INT(G363))-1),(INT(G363)-INT(G362)-1))+((1-((G362-INT(G362))/0.6))+((G363-INT(G363))/0.6)))+(F363)</f>
        <v>0.72222222222222232</v>
      </c>
      <c r="I363" s="40"/>
      <c r="J363" s="47" t="s">
        <v>5</v>
      </c>
      <c r="K363" s="46">
        <v>18.5</v>
      </c>
      <c r="L363" s="46">
        <v>128.9</v>
      </c>
      <c r="M363" s="46">
        <f>IF(D363="eosp",L363/H363,"")</f>
        <v>178.47692307692307</v>
      </c>
      <c r="N363" s="46" t="s">
        <v>43</v>
      </c>
      <c r="O363" s="51">
        <v>0.61</v>
      </c>
      <c r="P363" s="52">
        <v>144.30000000000001</v>
      </c>
      <c r="Q363" s="16"/>
      <c r="R363" s="16"/>
    </row>
    <row r="364" spans="1:18" ht="15.75" customHeight="1" x14ac:dyDescent="0.3">
      <c r="A364" s="11"/>
      <c r="B364" s="11"/>
      <c r="D364" s="35"/>
      <c r="E364" s="36"/>
      <c r="F364" s="37"/>
      <c r="G364" s="38"/>
      <c r="H364" s="39"/>
      <c r="I364" s="40"/>
      <c r="J364" s="41"/>
      <c r="K364" s="39"/>
      <c r="L364" s="39"/>
      <c r="M364" s="39"/>
      <c r="N364" s="39" t="s">
        <v>74</v>
      </c>
      <c r="O364" s="42"/>
      <c r="P364" s="43"/>
      <c r="Q364" s="15"/>
      <c r="R364" s="15"/>
    </row>
    <row r="365" spans="1:18" ht="15.75" customHeight="1" x14ac:dyDescent="0.3">
      <c r="A365" s="11"/>
      <c r="B365" s="11"/>
      <c r="D365" s="35" t="s">
        <v>4</v>
      </c>
      <c r="E365" s="44">
        <v>45549</v>
      </c>
      <c r="F365" s="37"/>
      <c r="G365" s="45">
        <v>0.77083333333333337</v>
      </c>
      <c r="H365" s="46"/>
      <c r="I365" s="40"/>
      <c r="J365" s="47" t="s">
        <v>7</v>
      </c>
      <c r="K365" s="48"/>
      <c r="L365" s="46"/>
      <c r="M365" s="46"/>
      <c r="N365" s="46" t="s">
        <v>74</v>
      </c>
      <c r="O365" s="49"/>
      <c r="P365" s="50"/>
      <c r="Q365" s="16"/>
      <c r="R365" s="16"/>
    </row>
    <row r="366" spans="1:18" ht="15.75" customHeight="1" x14ac:dyDescent="0.3">
      <c r="A366" s="11"/>
      <c r="B366" s="11"/>
      <c r="D366" s="35" t="s">
        <v>3</v>
      </c>
      <c r="E366" s="44">
        <v>45550</v>
      </c>
      <c r="F366" s="37"/>
      <c r="G366" s="45">
        <v>0.24166666666666667</v>
      </c>
      <c r="H366" s="46">
        <f t="shared" ref="H366" si="119">IF((E366=0),"0",IF((E366=E365+1),(((24-INT(G365))+INT(G366))-1),(INT(G366)-INT(G365)-1))+((1-((G365-INT(G365))/0.6))+((G366-INT(G366))/0.6)))+(F366)</f>
        <v>23.118055555555557</v>
      </c>
      <c r="I366" s="40"/>
      <c r="J366" s="47" t="s">
        <v>6</v>
      </c>
      <c r="K366" s="46">
        <v>22.7</v>
      </c>
      <c r="L366" s="46">
        <v>118.5</v>
      </c>
      <c r="M366" s="46">
        <f>IF(D366="eosp",L366/H366,"")</f>
        <v>5.125863622709522</v>
      </c>
      <c r="N366" s="46" t="s">
        <v>70</v>
      </c>
      <c r="O366" s="51">
        <v>0.45</v>
      </c>
      <c r="P366" s="52">
        <v>127.8</v>
      </c>
      <c r="Q366" s="16"/>
      <c r="R366" s="16"/>
    </row>
    <row r="367" spans="1:18" ht="15.75" customHeight="1" x14ac:dyDescent="0.3">
      <c r="A367" s="11"/>
      <c r="B367" s="11"/>
      <c r="D367" s="35"/>
      <c r="E367" s="36"/>
      <c r="F367" s="37"/>
      <c r="G367" s="38"/>
      <c r="H367" s="39"/>
      <c r="I367" s="40"/>
      <c r="J367" s="41"/>
      <c r="K367" s="39"/>
      <c r="L367" s="39"/>
      <c r="M367" s="39"/>
      <c r="N367" s="39" t="s">
        <v>74</v>
      </c>
      <c r="O367" s="42"/>
      <c r="P367" s="43"/>
      <c r="Q367" s="15"/>
      <c r="R367" s="15"/>
    </row>
    <row r="368" spans="1:18" ht="15.75" customHeight="1" x14ac:dyDescent="0.3">
      <c r="A368" s="11"/>
      <c r="B368" s="11"/>
      <c r="D368" s="35" t="s">
        <v>4</v>
      </c>
      <c r="E368" s="44">
        <v>45551</v>
      </c>
      <c r="F368" s="37"/>
      <c r="G368" s="45">
        <v>0.125</v>
      </c>
      <c r="H368" s="46"/>
      <c r="I368" s="40"/>
      <c r="J368" s="47" t="s">
        <v>8</v>
      </c>
      <c r="K368" s="48"/>
      <c r="L368" s="46"/>
      <c r="M368" s="46"/>
      <c r="N368" s="46" t="s">
        <v>74</v>
      </c>
      <c r="O368" s="49"/>
      <c r="P368" s="50"/>
      <c r="Q368" s="17"/>
      <c r="R368" s="17"/>
    </row>
    <row r="369" spans="1:18" ht="15.75" customHeight="1" x14ac:dyDescent="0.3">
      <c r="A369" s="11"/>
      <c r="B369" s="11"/>
      <c r="D369" s="35" t="s">
        <v>3</v>
      </c>
      <c r="E369" s="44">
        <v>45551</v>
      </c>
      <c r="F369" s="37"/>
      <c r="G369" s="45">
        <v>0.54999999999999993</v>
      </c>
      <c r="H369" s="46">
        <f t="shared" ref="H369" si="120">IF((E369=0),"0",IF((E369=E368+1),(((24-INT(G368))+INT(G369))-1),(INT(G369)-INT(G368)-1))+((1-((G368-INT(G368))/0.6))+((G369-INT(G369))/0.6)))+(F369)</f>
        <v>0.70833333333333326</v>
      </c>
      <c r="I369" s="40"/>
      <c r="J369" s="47" t="s">
        <v>5</v>
      </c>
      <c r="K369" s="46">
        <v>19.8</v>
      </c>
      <c r="L369" s="46">
        <v>124.9</v>
      </c>
      <c r="M369" s="46">
        <f>IF(D369="eosp",L369/H369,"")</f>
        <v>176.3294117647059</v>
      </c>
      <c r="N369" s="46" t="s">
        <v>43</v>
      </c>
      <c r="O369" s="51">
        <v>0.57999999999999996</v>
      </c>
      <c r="P369" s="52">
        <v>144.30000000000001</v>
      </c>
      <c r="Q369" s="16"/>
      <c r="R369" s="16"/>
    </row>
    <row r="370" spans="1:18" ht="15.75" customHeight="1" x14ac:dyDescent="0.3">
      <c r="A370" s="11"/>
      <c r="B370" s="11"/>
      <c r="D370" s="35"/>
      <c r="E370" s="36"/>
      <c r="F370" s="37"/>
      <c r="G370" s="38"/>
      <c r="H370" s="39"/>
      <c r="I370" s="40"/>
      <c r="J370" s="41"/>
      <c r="K370" s="39"/>
      <c r="L370" s="39"/>
      <c r="M370" s="39"/>
      <c r="N370" s="39" t="s">
        <v>74</v>
      </c>
      <c r="O370" s="42"/>
      <c r="P370" s="43"/>
      <c r="Q370" s="15"/>
      <c r="R370" s="15"/>
    </row>
    <row r="371" spans="1:18" ht="15.75" customHeight="1" x14ac:dyDescent="0.3">
      <c r="A371" s="11"/>
      <c r="B371" s="11"/>
      <c r="D371" s="35" t="s">
        <v>4</v>
      </c>
      <c r="E371" s="44">
        <v>45560</v>
      </c>
      <c r="F371" s="37"/>
      <c r="G371" s="45">
        <v>0.65416666666666667</v>
      </c>
      <c r="H371" s="46"/>
      <c r="I371" s="40"/>
      <c r="J371" s="47" t="s">
        <v>7</v>
      </c>
      <c r="K371" s="48"/>
      <c r="L371" s="46"/>
      <c r="M371" s="46"/>
      <c r="N371" s="46" t="s">
        <v>74</v>
      </c>
      <c r="O371" s="49"/>
      <c r="P371" s="50"/>
      <c r="Q371" s="16"/>
      <c r="R371" s="16"/>
    </row>
    <row r="372" spans="1:18" ht="15.75" customHeight="1" x14ac:dyDescent="0.3">
      <c r="A372" s="11"/>
      <c r="B372" s="11"/>
      <c r="D372" s="35" t="s">
        <v>3</v>
      </c>
      <c r="E372" s="44">
        <v>45561</v>
      </c>
      <c r="F372" s="37"/>
      <c r="G372" s="45">
        <v>0.12083333333333333</v>
      </c>
      <c r="H372" s="46">
        <f t="shared" ref="H372" si="121">IF((E372=0),"0",IF((E372=E371+1),(((24-INT(G371))+INT(G372))-1),(INT(G372)-INT(G371)-1))+((1-((G371-INT(G371))/0.6))+((G372-INT(G372))/0.6)))+(F372)</f>
        <v>23.111111111111111</v>
      </c>
      <c r="I372" s="40"/>
      <c r="J372" s="47" t="s">
        <v>6</v>
      </c>
      <c r="K372" s="46">
        <v>22.1</v>
      </c>
      <c r="L372" s="46">
        <v>118.3</v>
      </c>
      <c r="M372" s="46">
        <f>IF(D372="eosp",L372/H372,"")</f>
        <v>5.1187500000000004</v>
      </c>
      <c r="N372" s="46" t="s">
        <v>62</v>
      </c>
      <c r="O372" s="51">
        <v>0.41</v>
      </c>
      <c r="P372" s="52">
        <v>127.8</v>
      </c>
      <c r="Q372" s="16"/>
      <c r="R372" s="16"/>
    </row>
    <row r="373" spans="1:18" ht="15.75" customHeight="1" x14ac:dyDescent="0.3">
      <c r="A373" s="11"/>
      <c r="B373" s="11"/>
      <c r="D373" s="35"/>
      <c r="E373" s="36"/>
      <c r="F373" s="37"/>
      <c r="G373" s="38"/>
      <c r="H373" s="39"/>
      <c r="I373" s="40"/>
      <c r="J373" s="41"/>
      <c r="K373" s="39"/>
      <c r="L373" s="39"/>
      <c r="M373" s="39"/>
      <c r="N373" s="39" t="s">
        <v>74</v>
      </c>
      <c r="O373" s="42"/>
      <c r="P373" s="43"/>
      <c r="Q373" s="15"/>
      <c r="R373" s="15"/>
    </row>
    <row r="374" spans="1:18" ht="15.75" customHeight="1" x14ac:dyDescent="0.3">
      <c r="A374" s="11"/>
      <c r="B374" s="11"/>
      <c r="D374" s="35" t="s">
        <v>4</v>
      </c>
      <c r="E374" s="44">
        <v>45561</v>
      </c>
      <c r="F374" s="37"/>
      <c r="G374" s="45">
        <v>0.91666666666666663</v>
      </c>
      <c r="H374" s="46"/>
      <c r="I374" s="40"/>
      <c r="J374" s="47" t="s">
        <v>8</v>
      </c>
      <c r="K374" s="48"/>
      <c r="L374" s="46"/>
      <c r="M374" s="46"/>
      <c r="N374" s="46" t="s">
        <v>74</v>
      </c>
      <c r="O374" s="49"/>
      <c r="P374" s="50"/>
      <c r="Q374" s="17"/>
      <c r="R374" s="17"/>
    </row>
    <row r="375" spans="1:18" ht="15.75" customHeight="1" x14ac:dyDescent="0.3">
      <c r="A375" s="11"/>
      <c r="B375" s="11"/>
      <c r="D375" s="35" t="s">
        <v>3</v>
      </c>
      <c r="E375" s="44">
        <v>45562</v>
      </c>
      <c r="F375" s="37"/>
      <c r="G375" s="45">
        <v>0.4291666666666667</v>
      </c>
      <c r="H375" s="46">
        <f t="shared" ref="H375" si="122">IF((E375=0),"0",IF((E375=E374+1),(((24-INT(G374))+INT(G375))-1),(INT(G375)-INT(G374)-1))+((1-((G374-INT(G374))/0.6))+((G375-INT(G375))/0.6)))+(F375)</f>
        <v>23.1875</v>
      </c>
      <c r="I375" s="40"/>
      <c r="J375" s="47" t="s">
        <v>5</v>
      </c>
      <c r="K375" s="46">
        <v>22.4</v>
      </c>
      <c r="L375" s="46">
        <v>129.6</v>
      </c>
      <c r="M375" s="46">
        <f>IF(D375="eosp",L375/H375,"")</f>
        <v>5.5892183288409703</v>
      </c>
      <c r="N375" s="46" t="s">
        <v>77</v>
      </c>
      <c r="O375" s="51">
        <v>0.41</v>
      </c>
      <c r="P375" s="52">
        <v>127.9</v>
      </c>
      <c r="Q375" s="16"/>
      <c r="R375" s="17"/>
    </row>
    <row r="376" spans="1:18" ht="15.75" customHeight="1" x14ac:dyDescent="0.3">
      <c r="A376" s="11"/>
      <c r="B376" s="11"/>
      <c r="D376" s="35"/>
      <c r="E376" s="36"/>
      <c r="F376" s="37"/>
      <c r="G376" s="38"/>
      <c r="H376" s="39"/>
      <c r="I376" s="40"/>
      <c r="J376" s="41"/>
      <c r="K376" s="39"/>
      <c r="L376" s="39"/>
      <c r="M376" s="39"/>
      <c r="N376" s="39" t="s">
        <v>74</v>
      </c>
      <c r="O376" s="42"/>
      <c r="P376" s="43"/>
      <c r="Q376" s="15"/>
      <c r="R376" s="17"/>
    </row>
    <row r="377" spans="1:18" ht="15.75" customHeight="1" x14ac:dyDescent="0.3">
      <c r="A377" s="11"/>
      <c r="B377" s="11"/>
      <c r="D377" s="35" t="s">
        <v>4</v>
      </c>
      <c r="E377" s="44">
        <v>45563</v>
      </c>
      <c r="F377" s="37"/>
      <c r="G377" s="45">
        <v>0.21666666666666667</v>
      </c>
      <c r="H377" s="46"/>
      <c r="I377" s="40"/>
      <c r="J377" s="47" t="s">
        <v>7</v>
      </c>
      <c r="K377" s="48"/>
      <c r="L377" s="46"/>
      <c r="M377" s="46"/>
      <c r="N377" s="46" t="s">
        <v>74</v>
      </c>
      <c r="O377" s="49"/>
      <c r="P377" s="50"/>
      <c r="Q377" s="17"/>
      <c r="R377" s="17"/>
    </row>
    <row r="378" spans="1:18" ht="15.75" customHeight="1" x14ac:dyDescent="0.3">
      <c r="A378" s="11"/>
      <c r="B378" s="11"/>
      <c r="D378" s="35" t="s">
        <v>3</v>
      </c>
      <c r="E378" s="44">
        <v>45563</v>
      </c>
      <c r="F378" s="37"/>
      <c r="G378" s="45">
        <v>0.6958333333333333</v>
      </c>
      <c r="H378" s="46">
        <f t="shared" ref="H378" si="123">IF((E378=0),"0",IF((E378=E377+1),(((24-INT(G377))+INT(G378))-1),(INT(G378)-INT(G377)-1))+((1-((G377-INT(G377))/0.6))+((G378-INT(G378))/0.6)))+(F378)</f>
        <v>0.79861111111111116</v>
      </c>
      <c r="I378" s="40"/>
      <c r="J378" s="47" t="s">
        <v>6</v>
      </c>
      <c r="K378" s="46">
        <v>24.1</v>
      </c>
      <c r="L378" s="46">
        <v>117.5</v>
      </c>
      <c r="M378" s="46">
        <f>IF(D378="eosp",L378/H378,"")</f>
        <v>147.13043478260869</v>
      </c>
      <c r="N378" s="46" t="s">
        <v>62</v>
      </c>
      <c r="O378" s="51">
        <v>0.4</v>
      </c>
      <c r="P378" s="52">
        <v>126.7</v>
      </c>
      <c r="Q378" s="16"/>
      <c r="R378" s="16"/>
    </row>
    <row r="379" spans="1:18" ht="15.75" customHeight="1" x14ac:dyDescent="0.3">
      <c r="A379" s="11"/>
      <c r="B379" s="11"/>
      <c r="D379" s="35"/>
      <c r="E379" s="36"/>
      <c r="F379" s="37"/>
      <c r="G379" s="38"/>
      <c r="H379" s="53"/>
      <c r="I379" s="40"/>
      <c r="J379" s="41"/>
      <c r="K379" s="39"/>
      <c r="L379" s="39"/>
      <c r="M379" s="39"/>
      <c r="N379" s="39" t="s">
        <v>74</v>
      </c>
      <c r="O379" s="42"/>
      <c r="P379" s="43"/>
    </row>
    <row r="380" spans="1:18" ht="15.75" customHeight="1" x14ac:dyDescent="0.3">
      <c r="A380" s="11"/>
      <c r="B380" s="11"/>
      <c r="D380" s="54" t="s">
        <v>4</v>
      </c>
      <c r="E380" s="55">
        <v>45564</v>
      </c>
      <c r="F380" s="37"/>
      <c r="G380" s="56">
        <v>0.37083333333333335</v>
      </c>
      <c r="H380" s="53"/>
      <c r="I380" s="40"/>
      <c r="J380" s="57" t="s">
        <v>12</v>
      </c>
      <c r="K380" s="48"/>
      <c r="L380" s="46"/>
      <c r="M380" s="46"/>
      <c r="N380" s="46" t="s">
        <v>74</v>
      </c>
      <c r="O380" s="49"/>
      <c r="P380" s="50"/>
      <c r="Q380" s="18"/>
      <c r="R380" s="18"/>
    </row>
    <row r="381" spans="1:18" ht="15.75" customHeight="1" x14ac:dyDescent="0.3">
      <c r="A381" s="11"/>
      <c r="B381" s="11"/>
      <c r="D381" s="54" t="s">
        <v>3</v>
      </c>
      <c r="E381" s="55">
        <v>45564</v>
      </c>
      <c r="F381" s="37"/>
      <c r="G381" s="56">
        <v>0.83333333333333337</v>
      </c>
      <c r="H381" s="53">
        <f t="shared" ref="H381" si="124">IF((E381=0),"0",IF((E381=E380+1),(((24-INT(G380))+INT(G381))-1),(INT(G381)-INT(G380)-1))+((1-((G380-INT(G380))/0.6))+((G381-INT(G381))/0.6)))+(F381)</f>
        <v>0.77083333333333348</v>
      </c>
      <c r="I381" s="40"/>
      <c r="J381" s="57" t="s">
        <v>5</v>
      </c>
      <c r="K381" s="46">
        <v>17</v>
      </c>
      <c r="L381" s="46">
        <v>126.7</v>
      </c>
      <c r="M381" s="46">
        <f>IF(D381="eosp",L381/H381,"")</f>
        <v>164.36756756756753</v>
      </c>
      <c r="N381" s="46" t="s">
        <v>36</v>
      </c>
      <c r="O381" s="51">
        <v>0.4</v>
      </c>
      <c r="P381" s="52">
        <v>128</v>
      </c>
      <c r="Q381" s="16"/>
      <c r="R381" s="16"/>
    </row>
    <row r="382" spans="1:18" ht="15.75" customHeight="1" x14ac:dyDescent="0.3">
      <c r="A382" s="11"/>
      <c r="B382" s="11"/>
      <c r="D382" s="35"/>
      <c r="E382" s="36"/>
      <c r="F382" s="37"/>
      <c r="G382" s="38"/>
      <c r="H382" s="53"/>
      <c r="I382" s="40"/>
      <c r="J382" s="41"/>
      <c r="K382" s="39"/>
      <c r="L382" s="39"/>
      <c r="M382" s="39"/>
      <c r="N382" s="39" t="s">
        <v>74</v>
      </c>
      <c r="O382" s="42"/>
      <c r="P382" s="43"/>
    </row>
    <row r="383" spans="1:18" ht="15.75" customHeight="1" x14ac:dyDescent="0.3">
      <c r="A383" s="11"/>
      <c r="B383" s="11"/>
      <c r="D383" s="58" t="s">
        <v>4</v>
      </c>
      <c r="E383" s="55">
        <v>45565</v>
      </c>
      <c r="F383" s="37"/>
      <c r="G383" s="56">
        <v>0.6791666666666667</v>
      </c>
      <c r="H383" s="53"/>
      <c r="I383" s="40"/>
      <c r="J383" s="57" t="s">
        <v>7</v>
      </c>
      <c r="K383" s="48"/>
      <c r="L383" s="46"/>
      <c r="M383" s="46"/>
      <c r="N383" s="46" t="s">
        <v>74</v>
      </c>
      <c r="O383" s="51"/>
      <c r="P383" s="52"/>
      <c r="Q383" s="19"/>
    </row>
    <row r="384" spans="1:18" ht="15.75" customHeight="1" x14ac:dyDescent="0.3">
      <c r="A384" s="11"/>
      <c r="B384" s="11"/>
      <c r="D384" s="58" t="s">
        <v>3</v>
      </c>
      <c r="E384" s="55">
        <v>45566</v>
      </c>
      <c r="F384" s="37"/>
      <c r="G384" s="56">
        <v>0.19166666666666665</v>
      </c>
      <c r="H384" s="53">
        <f t="shared" ref="H384" si="125">IF((E384=0),"0",IF((E384=E383+1),(((24-INT(G383))+INT(G384))-1),(INT(G384)-INT(G383)-1))+((1-((G383-INT(G383))/0.6))+((G384-INT(G384))/0.6)))+(F384)</f>
        <v>23.1875</v>
      </c>
      <c r="I384" s="40"/>
      <c r="J384" s="57" t="s">
        <v>13</v>
      </c>
      <c r="K384" s="46">
        <v>26.7</v>
      </c>
      <c r="L384" s="46">
        <v>121.7</v>
      </c>
      <c r="M384" s="46">
        <f>IF(D384="eosp",L384/H384,"")</f>
        <v>5.2485175202156338</v>
      </c>
      <c r="N384" s="46" t="s">
        <v>38</v>
      </c>
      <c r="O384" s="51">
        <v>0.42</v>
      </c>
      <c r="P384" s="52">
        <v>127.1</v>
      </c>
      <c r="Q384" s="16"/>
    </row>
    <row r="385" spans="1:18" ht="15.75" customHeight="1" x14ac:dyDescent="0.3">
      <c r="A385" s="11"/>
      <c r="B385" s="11"/>
      <c r="D385" s="35"/>
      <c r="E385" s="36"/>
      <c r="F385" s="37"/>
      <c r="G385" s="38"/>
      <c r="H385" s="53"/>
      <c r="I385" s="40"/>
      <c r="J385" s="41"/>
      <c r="K385" s="39"/>
      <c r="L385" s="39"/>
      <c r="M385" s="39"/>
      <c r="N385" s="39" t="s">
        <v>74</v>
      </c>
      <c r="O385" s="42"/>
      <c r="P385" s="43"/>
    </row>
    <row r="386" spans="1:18" ht="15.75" customHeight="1" x14ac:dyDescent="0.3">
      <c r="A386" s="11"/>
      <c r="B386" s="11"/>
      <c r="D386" s="54" t="s">
        <v>4</v>
      </c>
      <c r="E386" s="55">
        <v>45566</v>
      </c>
      <c r="F386" s="37"/>
      <c r="G386" s="56">
        <v>0.8833333333333333</v>
      </c>
      <c r="H386" s="53"/>
      <c r="I386" s="40"/>
      <c r="J386" s="57" t="s">
        <v>12</v>
      </c>
      <c r="K386" s="48"/>
      <c r="L386" s="46"/>
      <c r="M386" s="46"/>
      <c r="N386" s="46" t="s">
        <v>74</v>
      </c>
      <c r="O386" s="49"/>
      <c r="P386" s="50"/>
      <c r="Q386" s="18"/>
      <c r="R386" s="19"/>
    </row>
    <row r="387" spans="1:18" ht="15.75" customHeight="1" x14ac:dyDescent="0.3">
      <c r="A387" s="11"/>
      <c r="B387" s="11"/>
      <c r="D387" s="54" t="s">
        <v>3</v>
      </c>
      <c r="E387" s="55">
        <v>45567</v>
      </c>
      <c r="F387" s="37"/>
      <c r="G387" s="56">
        <v>0.34166666666666662</v>
      </c>
      <c r="H387" s="53">
        <f t="shared" ref="H387" si="126">IF((E387=0),"0",IF((E387=E386+1),(((24-INT(G386))+INT(G387))-1),(INT(G387)-INT(G386)-1))+((1-((G386-INT(G386))/0.6))+((G387-INT(G387))/0.6)))+(F387)</f>
        <v>23.097222222222221</v>
      </c>
      <c r="I387" s="40"/>
      <c r="J387" s="57" t="s">
        <v>5</v>
      </c>
      <c r="K387" s="46">
        <v>15.6</v>
      </c>
      <c r="L387" s="46">
        <v>126.1</v>
      </c>
      <c r="M387" s="46">
        <f>IF(D387="eosp",L387/H387,"")</f>
        <v>5.4595309681298856</v>
      </c>
      <c r="N387" s="46" t="s">
        <v>54</v>
      </c>
      <c r="O387" s="51">
        <v>0.41</v>
      </c>
      <c r="P387" s="52">
        <v>128</v>
      </c>
      <c r="Q387" s="16"/>
      <c r="R387" s="19"/>
    </row>
    <row r="388" spans="1:18" ht="15.75" customHeight="1" x14ac:dyDescent="0.3">
      <c r="A388" s="11"/>
      <c r="B388" s="11"/>
      <c r="D388" s="35"/>
      <c r="E388" s="36"/>
      <c r="F388" s="37"/>
      <c r="G388" s="38"/>
      <c r="H388" s="53"/>
      <c r="I388" s="40"/>
      <c r="J388" s="41"/>
      <c r="K388" s="39"/>
      <c r="L388" s="39"/>
      <c r="M388" s="39"/>
      <c r="N388" s="39" t="s">
        <v>74</v>
      </c>
      <c r="O388" s="42"/>
      <c r="P388" s="43"/>
    </row>
    <row r="389" spans="1:18" ht="15.75" customHeight="1" x14ac:dyDescent="0.3">
      <c r="A389" s="11"/>
      <c r="B389" s="11"/>
      <c r="D389" s="58" t="s">
        <v>4</v>
      </c>
      <c r="E389" s="55">
        <v>45568</v>
      </c>
      <c r="F389" s="37"/>
      <c r="G389" s="56">
        <v>0.30416666666666664</v>
      </c>
      <c r="H389" s="53"/>
      <c r="I389" s="40"/>
      <c r="J389" s="57" t="s">
        <v>7</v>
      </c>
      <c r="K389" s="48"/>
      <c r="L389" s="46"/>
      <c r="M389" s="46"/>
      <c r="N389" s="46" t="s">
        <v>74</v>
      </c>
      <c r="O389" s="51"/>
      <c r="P389" s="52"/>
      <c r="Q389" s="19"/>
      <c r="R389" s="19"/>
    </row>
    <row r="390" spans="1:18" ht="15.75" customHeight="1" x14ac:dyDescent="0.3">
      <c r="A390" s="11"/>
      <c r="B390" s="11"/>
      <c r="D390" s="58" t="s">
        <v>3</v>
      </c>
      <c r="E390" s="55">
        <v>45568</v>
      </c>
      <c r="F390" s="37"/>
      <c r="G390" s="56">
        <v>0.79999999999999993</v>
      </c>
      <c r="H390" s="53">
        <f t="shared" ref="H390" si="127">IF((E390=0),"0",IF((E390=E389+1),(((24-INT(G389))+INT(G390))-1),(INT(G390)-INT(G389)-1))+((1-((G389-INT(G389))/0.6))+((G390-INT(G390))/0.6)))+(F390)</f>
        <v>0.82638888888888884</v>
      </c>
      <c r="I390" s="40"/>
      <c r="J390" s="57" t="s">
        <v>13</v>
      </c>
      <c r="K390" s="46">
        <v>22</v>
      </c>
      <c r="L390" s="46">
        <v>123.7</v>
      </c>
      <c r="M390" s="46">
        <f>IF(D390="eosp",L390/H390,"")</f>
        <v>149.6873949579832</v>
      </c>
      <c r="N390" s="46" t="s">
        <v>40</v>
      </c>
      <c r="O390" s="51">
        <v>0.4</v>
      </c>
      <c r="P390" s="52">
        <v>127.1</v>
      </c>
      <c r="Q390" s="20"/>
      <c r="R390" s="20"/>
    </row>
    <row r="391" spans="1:18" ht="15.75" customHeight="1" x14ac:dyDescent="0.3">
      <c r="A391" s="11"/>
      <c r="B391" s="11"/>
      <c r="D391" s="35"/>
      <c r="E391" s="36"/>
      <c r="F391" s="37"/>
      <c r="G391" s="38"/>
      <c r="H391" s="53"/>
      <c r="I391" s="40"/>
      <c r="J391" s="41"/>
      <c r="K391" s="39"/>
      <c r="L391" s="39"/>
      <c r="M391" s="39"/>
      <c r="N391" s="39" t="s">
        <v>74</v>
      </c>
      <c r="O391" s="42"/>
      <c r="P391" s="43"/>
    </row>
    <row r="392" spans="1:18" ht="15.75" customHeight="1" x14ac:dyDescent="0.3">
      <c r="A392" s="11"/>
      <c r="B392" s="11"/>
      <c r="D392" s="54" t="s">
        <v>4</v>
      </c>
      <c r="E392" s="55">
        <v>45569</v>
      </c>
      <c r="F392" s="37"/>
      <c r="G392" s="56">
        <v>0.65416666666666667</v>
      </c>
      <c r="H392" s="53"/>
      <c r="I392" s="40"/>
      <c r="J392" s="57" t="s">
        <v>12</v>
      </c>
      <c r="K392" s="48"/>
      <c r="L392" s="46"/>
      <c r="M392" s="46"/>
      <c r="N392" s="46" t="s">
        <v>74</v>
      </c>
      <c r="O392" s="49"/>
      <c r="P392" s="50"/>
      <c r="Q392" s="18"/>
      <c r="R392" s="18"/>
    </row>
    <row r="393" spans="1:18" ht="15.75" customHeight="1" x14ac:dyDescent="0.3">
      <c r="A393" s="11"/>
      <c r="B393" s="11"/>
      <c r="D393" s="54" t="s">
        <v>3</v>
      </c>
      <c r="E393" s="55">
        <v>45570</v>
      </c>
      <c r="F393" s="37"/>
      <c r="G393" s="56">
        <v>0.18333333333333335</v>
      </c>
      <c r="H393" s="53">
        <f t="shared" ref="H393" si="128">IF((E393=0),"0",IF((E393=E392+1),(((24-INT(G392))+INT(G393))-1),(INT(G393)-INT(G392)-1))+((1-((G392-INT(G392))/0.6))+((G393-INT(G393))/0.6)))+(F393)</f>
        <v>23.215277777777779</v>
      </c>
      <c r="I393" s="40"/>
      <c r="J393" s="57" t="s">
        <v>5</v>
      </c>
      <c r="K393" s="46">
        <v>25.5</v>
      </c>
      <c r="L393" s="46">
        <v>128.30000000000001</v>
      </c>
      <c r="M393" s="46">
        <f>IF(D393="eosp",L393/H393,"")</f>
        <v>5.5265330541429858</v>
      </c>
      <c r="N393" s="46" t="s">
        <v>37</v>
      </c>
      <c r="O393" s="51">
        <v>0.43</v>
      </c>
      <c r="P393" s="52">
        <v>127.8</v>
      </c>
      <c r="Q393" s="16"/>
      <c r="R393" s="16"/>
    </row>
    <row r="394" spans="1:18" ht="15.75" customHeight="1" x14ac:dyDescent="0.3">
      <c r="A394" s="11"/>
      <c r="B394" s="11"/>
      <c r="D394" s="35"/>
      <c r="E394" s="36"/>
      <c r="F394" s="37"/>
      <c r="G394" s="38"/>
      <c r="H394" s="53"/>
      <c r="I394" s="40"/>
      <c r="J394" s="41"/>
      <c r="K394" s="39"/>
      <c r="L394" s="39"/>
      <c r="M394" s="39"/>
      <c r="N394" s="39" t="s">
        <v>74</v>
      </c>
      <c r="O394" s="42"/>
      <c r="P394" s="43"/>
    </row>
    <row r="395" spans="1:18" ht="15.75" customHeight="1" x14ac:dyDescent="0.3">
      <c r="A395" s="11"/>
      <c r="B395" s="11"/>
      <c r="D395" s="58" t="s">
        <v>4</v>
      </c>
      <c r="E395" s="55">
        <v>45571</v>
      </c>
      <c r="F395" s="37"/>
      <c r="G395" s="56">
        <v>3.3333333333333333E-2</v>
      </c>
      <c r="H395" s="53"/>
      <c r="I395" s="40"/>
      <c r="J395" s="57" t="s">
        <v>7</v>
      </c>
      <c r="K395" s="48"/>
      <c r="L395" s="46"/>
      <c r="M395" s="46"/>
      <c r="N395" s="46" t="s">
        <v>74</v>
      </c>
      <c r="O395" s="51"/>
      <c r="P395" s="52"/>
      <c r="Q395" s="19"/>
      <c r="R395" s="19"/>
    </row>
    <row r="396" spans="1:18" ht="15.75" customHeight="1" x14ac:dyDescent="0.3">
      <c r="A396" s="11"/>
      <c r="B396" s="11"/>
      <c r="D396" s="58" t="s">
        <v>3</v>
      </c>
      <c r="E396" s="55">
        <v>45571</v>
      </c>
      <c r="F396" s="37"/>
      <c r="G396" s="56">
        <v>0.53333333333333333</v>
      </c>
      <c r="H396" s="53">
        <f t="shared" ref="H396" si="129">IF((E396=0),"0",IF((E396=E395+1),(((24-INT(G395))+INT(G396))-1),(INT(G396)-INT(G395)-1))+((1-((G395-INT(G395))/0.6))+((G396-INT(G396))/0.6)))+(F396)</f>
        <v>0.83333333333333348</v>
      </c>
      <c r="I396" s="40"/>
      <c r="J396" s="57" t="s">
        <v>13</v>
      </c>
      <c r="K396" s="46">
        <v>25.6</v>
      </c>
      <c r="L396" s="46">
        <v>121.4</v>
      </c>
      <c r="M396" s="46">
        <f>IF(D396="eosp",L396/H396,"")</f>
        <v>145.67999999999998</v>
      </c>
      <c r="N396" s="46" t="s">
        <v>77</v>
      </c>
      <c r="O396" s="51">
        <v>0.4</v>
      </c>
      <c r="P396" s="52">
        <v>126.7</v>
      </c>
      <c r="Q396" s="20"/>
      <c r="R396" s="20"/>
    </row>
    <row r="397" spans="1:18" ht="15.75" customHeight="1" x14ac:dyDescent="0.3">
      <c r="A397" s="11"/>
      <c r="B397" s="11"/>
      <c r="D397" s="35"/>
      <c r="E397" s="36"/>
      <c r="F397" s="37"/>
      <c r="G397" s="38"/>
      <c r="H397" s="53"/>
      <c r="I397" s="40"/>
      <c r="J397" s="41"/>
      <c r="K397" s="39"/>
      <c r="L397" s="39"/>
      <c r="M397" s="39"/>
      <c r="N397" s="39" t="s">
        <v>74</v>
      </c>
      <c r="O397" s="42"/>
      <c r="P397" s="43"/>
    </row>
    <row r="398" spans="1:18" ht="15.75" customHeight="1" x14ac:dyDescent="0.3">
      <c r="A398" s="11"/>
      <c r="B398" s="11"/>
      <c r="D398" s="54" t="s">
        <v>4</v>
      </c>
      <c r="E398" s="55">
        <v>45572</v>
      </c>
      <c r="F398" s="37"/>
      <c r="G398" s="56">
        <v>0.30416666666666664</v>
      </c>
      <c r="H398" s="53"/>
      <c r="I398" s="40"/>
      <c r="J398" s="57" t="s">
        <v>12</v>
      </c>
      <c r="K398" s="48"/>
      <c r="L398" s="46"/>
      <c r="M398" s="46"/>
      <c r="N398" s="46" t="s">
        <v>74</v>
      </c>
      <c r="O398" s="49"/>
      <c r="P398" s="50"/>
      <c r="Q398" s="18"/>
      <c r="R398" s="18"/>
    </row>
    <row r="399" spans="1:18" ht="15.75" customHeight="1" x14ac:dyDescent="0.3">
      <c r="A399" s="11"/>
      <c r="B399" s="11"/>
      <c r="D399" s="54" t="s">
        <v>3</v>
      </c>
      <c r="E399" s="55">
        <v>45572</v>
      </c>
      <c r="F399" s="37"/>
      <c r="G399" s="56">
        <v>0.76666666666666661</v>
      </c>
      <c r="H399" s="53">
        <f t="shared" ref="H399" si="130">IF((E399=0),"0",IF((E399=E398+1),(((24-INT(G398))+INT(G399))-1),(INT(G399)-INT(G398)-1))+((1-((G398-INT(G398))/0.6))+((G399-INT(G399))/0.6)))+(F399)</f>
        <v>0.77083333333333326</v>
      </c>
      <c r="I399" s="40"/>
      <c r="J399" s="57" t="s">
        <v>5</v>
      </c>
      <c r="K399" s="46">
        <v>15</v>
      </c>
      <c r="L399" s="46">
        <v>128.30000000000001</v>
      </c>
      <c r="M399" s="46">
        <f>IF(D399="eosp",L399/H399,"")</f>
        <v>166.44324324324327</v>
      </c>
      <c r="N399" s="46" t="s">
        <v>54</v>
      </c>
      <c r="O399" s="51">
        <v>0.4</v>
      </c>
      <c r="P399" s="52">
        <v>128</v>
      </c>
      <c r="Q399" s="16"/>
      <c r="R399" s="16"/>
    </row>
    <row r="400" spans="1:18" ht="15.75" customHeight="1" x14ac:dyDescent="0.3">
      <c r="A400" s="11"/>
      <c r="B400" s="11"/>
      <c r="D400" s="35"/>
      <c r="E400" s="36"/>
      <c r="F400" s="37"/>
      <c r="G400" s="38"/>
      <c r="H400" s="53"/>
      <c r="I400" s="40"/>
      <c r="J400" s="41"/>
      <c r="K400" s="39"/>
      <c r="L400" s="39"/>
      <c r="M400" s="39"/>
      <c r="N400" s="39" t="s">
        <v>74</v>
      </c>
      <c r="O400" s="42"/>
      <c r="P400" s="43"/>
    </row>
    <row r="401" spans="1:18" ht="15.75" customHeight="1" x14ac:dyDescent="0.3">
      <c r="A401" s="11"/>
      <c r="B401" s="11"/>
      <c r="D401" s="58" t="s">
        <v>4</v>
      </c>
      <c r="E401" s="55">
        <v>45573</v>
      </c>
      <c r="F401" s="37"/>
      <c r="G401" s="56">
        <v>0.70416666666666661</v>
      </c>
      <c r="H401" s="53"/>
      <c r="I401" s="40"/>
      <c r="J401" s="57" t="s">
        <v>7</v>
      </c>
      <c r="K401" s="48"/>
      <c r="L401" s="46"/>
      <c r="M401" s="46"/>
      <c r="N401" s="46" t="s">
        <v>74</v>
      </c>
      <c r="O401" s="51"/>
      <c r="P401" s="52"/>
      <c r="Q401" s="19"/>
      <c r="R401" s="19"/>
    </row>
    <row r="402" spans="1:18" ht="15.75" customHeight="1" x14ac:dyDescent="0.3">
      <c r="A402" s="11"/>
      <c r="B402" s="11"/>
      <c r="D402" s="58" t="s">
        <v>3</v>
      </c>
      <c r="E402" s="55">
        <v>45574</v>
      </c>
      <c r="F402" s="37"/>
      <c r="G402" s="56">
        <v>0.1875</v>
      </c>
      <c r="H402" s="53">
        <f t="shared" ref="H402" si="131">IF((E402=0),"0",IF((E402=E401+1),(((24-INT(G401))+INT(G402))-1),(INT(G402)-INT(G401)-1))+((1-((G401-INT(G401))/0.6))+((G402-INT(G402))/0.6)))+(F402)</f>
        <v>23.138888888888889</v>
      </c>
      <c r="I402" s="40"/>
      <c r="J402" s="57" t="s">
        <v>13</v>
      </c>
      <c r="K402" s="46">
        <v>23.3</v>
      </c>
      <c r="L402" s="46">
        <v>121</v>
      </c>
      <c r="M402" s="46">
        <f>IF(D402="eosp",L402/H402,"")</f>
        <v>5.2292917166866744</v>
      </c>
      <c r="N402" s="46" t="s">
        <v>77</v>
      </c>
      <c r="O402" s="51">
        <v>0.41</v>
      </c>
      <c r="P402" s="52">
        <v>128</v>
      </c>
      <c r="Q402" s="20"/>
      <c r="R402" s="20"/>
    </row>
    <row r="403" spans="1:18" ht="15.75" customHeight="1" x14ac:dyDescent="0.3">
      <c r="A403" s="11"/>
      <c r="B403" s="11"/>
      <c r="D403" s="35"/>
      <c r="E403" s="36"/>
      <c r="F403" s="37"/>
      <c r="G403" s="38"/>
      <c r="H403" s="53"/>
      <c r="I403" s="40"/>
      <c r="J403" s="41"/>
      <c r="K403" s="39"/>
      <c r="L403" s="39"/>
      <c r="M403" s="39"/>
      <c r="N403" s="39" t="s">
        <v>74</v>
      </c>
      <c r="O403" s="42"/>
      <c r="P403" s="43"/>
    </row>
    <row r="404" spans="1:18" ht="15.75" customHeight="1" x14ac:dyDescent="0.3">
      <c r="A404" s="11"/>
      <c r="B404" s="11"/>
      <c r="D404" s="54" t="s">
        <v>4</v>
      </c>
      <c r="E404" s="55">
        <v>45575</v>
      </c>
      <c r="F404" s="37"/>
      <c r="G404" s="56">
        <v>4.1666666666666666E-3</v>
      </c>
      <c r="H404" s="53"/>
      <c r="I404" s="40"/>
      <c r="J404" s="57" t="s">
        <v>12</v>
      </c>
      <c r="K404" s="48"/>
      <c r="L404" s="46"/>
      <c r="M404" s="46"/>
      <c r="N404" s="46" t="s">
        <v>74</v>
      </c>
      <c r="O404" s="49"/>
      <c r="P404" s="50"/>
      <c r="Q404" s="18"/>
      <c r="R404" s="18"/>
    </row>
    <row r="405" spans="1:18" ht="15.75" customHeight="1" x14ac:dyDescent="0.3">
      <c r="A405" s="11"/>
      <c r="B405" s="11"/>
      <c r="D405" s="54" t="s">
        <v>3</v>
      </c>
      <c r="E405" s="55">
        <v>45575</v>
      </c>
      <c r="F405" s="37"/>
      <c r="G405" s="56">
        <v>0.4375</v>
      </c>
      <c r="H405" s="53">
        <f t="shared" ref="H405" si="132">IF((E405=0),"0",IF((E405=E404+1),(((24-INT(G404))+INT(G405))-1),(INT(G405)-INT(G404)-1))+((1-((G404-INT(G404))/0.6))+((G405-INT(G405))/0.6)))+(F405)</f>
        <v>0.72222222222222232</v>
      </c>
      <c r="I405" s="40"/>
      <c r="J405" s="57" t="s">
        <v>5</v>
      </c>
      <c r="K405" s="46">
        <v>14.9</v>
      </c>
      <c r="L405" s="46">
        <v>119.5</v>
      </c>
      <c r="M405" s="46">
        <f>IF(D405="eosp",L405/H405,"")</f>
        <v>165.46153846153845</v>
      </c>
      <c r="N405" s="46" t="s">
        <v>68</v>
      </c>
      <c r="O405" s="51">
        <v>0.41</v>
      </c>
      <c r="P405" s="52">
        <v>127.2</v>
      </c>
      <c r="Q405" s="16"/>
      <c r="R405" s="16"/>
    </row>
    <row r="406" spans="1:18" ht="15.75" customHeight="1" x14ac:dyDescent="0.3">
      <c r="A406" s="11"/>
      <c r="B406" s="11"/>
      <c r="D406" s="35"/>
      <c r="E406" s="36"/>
      <c r="F406" s="37"/>
      <c r="G406" s="38"/>
      <c r="H406" s="53"/>
      <c r="I406" s="40"/>
      <c r="J406" s="41"/>
      <c r="K406" s="39"/>
      <c r="L406" s="39"/>
      <c r="M406" s="39"/>
      <c r="N406" s="39" t="s">
        <v>74</v>
      </c>
      <c r="O406" s="42"/>
      <c r="P406" s="43"/>
    </row>
    <row r="407" spans="1:18" ht="15.75" customHeight="1" x14ac:dyDescent="0.3">
      <c r="A407" s="11"/>
      <c r="B407" s="11"/>
      <c r="D407" s="58" t="s">
        <v>4</v>
      </c>
      <c r="E407" s="55">
        <v>45576</v>
      </c>
      <c r="F407" s="37"/>
      <c r="G407" s="56">
        <v>0.29583333333333334</v>
      </c>
      <c r="H407" s="53"/>
      <c r="I407" s="40"/>
      <c r="J407" s="57" t="s">
        <v>7</v>
      </c>
      <c r="K407" s="48"/>
      <c r="L407" s="46"/>
      <c r="M407" s="46"/>
      <c r="N407" s="46" t="s">
        <v>74</v>
      </c>
      <c r="O407" s="51"/>
      <c r="P407" s="52"/>
      <c r="Q407" s="19"/>
      <c r="R407" s="19"/>
    </row>
    <row r="408" spans="1:18" ht="15.75" customHeight="1" x14ac:dyDescent="0.3">
      <c r="A408" s="11"/>
      <c r="B408" s="11"/>
      <c r="D408" s="58" t="s">
        <v>3</v>
      </c>
      <c r="E408" s="55">
        <v>45576</v>
      </c>
      <c r="F408" s="37"/>
      <c r="G408" s="56">
        <v>0.7583333333333333</v>
      </c>
      <c r="H408" s="53">
        <f t="shared" ref="H408" si="133">IF((E408=0),"0",IF((E408=E407+1),(((24-INT(G407))+INT(G408))-1),(INT(G408)-INT(G407)-1))+((1-((G407-INT(G407))/0.6))+((G408-INT(G408))/0.6)))+(F408)</f>
        <v>0.77083333333333326</v>
      </c>
      <c r="I408" s="40"/>
      <c r="J408" s="57" t="s">
        <v>13</v>
      </c>
      <c r="K408" s="46">
        <v>25.3</v>
      </c>
      <c r="L408" s="46">
        <v>118.7</v>
      </c>
      <c r="M408" s="46">
        <f>IF(D408="eosp",L408/H408,"")</f>
        <v>153.9891891891892</v>
      </c>
      <c r="N408" s="46" t="s">
        <v>49</v>
      </c>
      <c r="O408" s="51">
        <v>0.43</v>
      </c>
      <c r="P408" s="52">
        <v>127</v>
      </c>
      <c r="Q408" s="20"/>
      <c r="R408" s="20"/>
    </row>
    <row r="409" spans="1:18" ht="15.75" customHeight="1" x14ac:dyDescent="0.3">
      <c r="A409" s="11"/>
      <c r="B409" s="11"/>
      <c r="D409" s="35"/>
      <c r="E409" s="36"/>
      <c r="F409" s="37"/>
      <c r="G409" s="38"/>
      <c r="H409" s="53"/>
      <c r="I409" s="40"/>
      <c r="J409" s="41"/>
      <c r="K409" s="39"/>
      <c r="L409" s="39"/>
      <c r="M409" s="39"/>
      <c r="N409" s="39" t="s">
        <v>74</v>
      </c>
      <c r="O409" s="42"/>
      <c r="P409" s="43"/>
    </row>
    <row r="410" spans="1:18" ht="15.75" customHeight="1" x14ac:dyDescent="0.3">
      <c r="A410" s="11"/>
      <c r="B410" s="11"/>
      <c r="D410" s="54" t="s">
        <v>4</v>
      </c>
      <c r="E410" s="55">
        <v>45577</v>
      </c>
      <c r="F410" s="37"/>
      <c r="G410" s="56">
        <v>0.87916666666666676</v>
      </c>
      <c r="H410" s="53"/>
      <c r="I410" s="40"/>
      <c r="J410" s="57" t="s">
        <v>12</v>
      </c>
      <c r="K410" s="48"/>
      <c r="L410" s="46"/>
      <c r="M410" s="46"/>
      <c r="N410" s="46" t="s">
        <v>74</v>
      </c>
      <c r="O410" s="49"/>
      <c r="P410" s="50"/>
      <c r="Q410" s="18"/>
      <c r="R410" s="18"/>
    </row>
    <row r="411" spans="1:18" ht="15.75" customHeight="1" x14ac:dyDescent="0.3">
      <c r="A411" s="11"/>
      <c r="B411" s="11"/>
      <c r="D411" s="54" t="s">
        <v>3</v>
      </c>
      <c r="E411" s="55">
        <v>45578</v>
      </c>
      <c r="F411" s="37"/>
      <c r="G411" s="56">
        <v>0.3125</v>
      </c>
      <c r="H411" s="53">
        <f t="shared" ref="H411" si="134">IF((E411=0),"0",IF((E411=E410+1),(((24-INT(G410))+INT(G411))-1),(INT(G411)-INT(G410)-1))+((1-((G410-INT(G410))/0.6))+((G411-INT(G411))/0.6)))+(F411)</f>
        <v>23.055555555555557</v>
      </c>
      <c r="I411" s="40"/>
      <c r="J411" s="57" t="s">
        <v>5</v>
      </c>
      <c r="K411" s="46">
        <v>17.100000000000001</v>
      </c>
      <c r="L411" s="46">
        <v>121.3</v>
      </c>
      <c r="M411" s="46">
        <f>IF(D411="eosp",L411/H411,"")</f>
        <v>5.2612048192771077</v>
      </c>
      <c r="N411" s="46" t="s">
        <v>77</v>
      </c>
      <c r="O411" s="51">
        <v>0.43</v>
      </c>
      <c r="P411" s="52">
        <v>127</v>
      </c>
      <c r="Q411" s="16"/>
      <c r="R411" s="16"/>
    </row>
    <row r="412" spans="1:18" ht="15.75" customHeight="1" x14ac:dyDescent="0.3">
      <c r="A412" s="11"/>
      <c r="B412" s="11"/>
      <c r="D412" s="35"/>
      <c r="E412" s="36"/>
      <c r="F412" s="37"/>
      <c r="G412" s="38"/>
      <c r="H412" s="53"/>
      <c r="I412" s="40"/>
      <c r="J412" s="41"/>
      <c r="K412" s="39"/>
      <c r="L412" s="39"/>
      <c r="M412" s="39"/>
      <c r="N412" s="39" t="s">
        <v>74</v>
      </c>
      <c r="O412" s="42"/>
      <c r="P412" s="43"/>
    </row>
    <row r="413" spans="1:18" ht="15.75" customHeight="1" x14ac:dyDescent="0.3">
      <c r="A413" s="11"/>
      <c r="B413" s="11"/>
      <c r="D413" s="58" t="s">
        <v>4</v>
      </c>
      <c r="E413" s="55">
        <v>45579</v>
      </c>
      <c r="F413" s="37"/>
      <c r="G413" s="56">
        <v>0.21249999999999999</v>
      </c>
      <c r="H413" s="53"/>
      <c r="I413" s="40"/>
      <c r="J413" s="57" t="s">
        <v>7</v>
      </c>
      <c r="K413" s="48"/>
      <c r="L413" s="46"/>
      <c r="M413" s="46"/>
      <c r="N413" s="46" t="s">
        <v>74</v>
      </c>
      <c r="O413" s="51"/>
      <c r="P413" s="52"/>
      <c r="Q413" s="19"/>
      <c r="R413" s="19"/>
    </row>
    <row r="414" spans="1:18" ht="15.75" customHeight="1" x14ac:dyDescent="0.3">
      <c r="A414" s="11"/>
      <c r="B414" s="11"/>
      <c r="D414" s="58" t="s">
        <v>3</v>
      </c>
      <c r="E414" s="55">
        <v>45579</v>
      </c>
      <c r="F414" s="37"/>
      <c r="G414" s="56">
        <v>0.6875</v>
      </c>
      <c r="H414" s="53">
        <f t="shared" ref="H414" si="135">IF((E414=0),"0",IF((E414=E413+1),(((24-INT(G413))+INT(G414))-1),(INT(G414)-INT(G413)-1))+((1-((G413-INT(G413))/0.6))+((G414-INT(G414))/0.6)))+(F414)</f>
        <v>0.79166666666666674</v>
      </c>
      <c r="I414" s="40"/>
      <c r="J414" s="57" t="s">
        <v>13</v>
      </c>
      <c r="K414" s="46">
        <v>24</v>
      </c>
      <c r="L414" s="46">
        <v>118.5</v>
      </c>
      <c r="M414" s="46">
        <f>IF(D414="eosp",L414/H414,"")</f>
        <v>149.68421052631578</v>
      </c>
      <c r="N414" s="46" t="s">
        <v>41</v>
      </c>
      <c r="O414" s="51">
        <v>0.41</v>
      </c>
      <c r="P414" s="52">
        <v>127</v>
      </c>
      <c r="Q414" s="20"/>
      <c r="R414" s="20"/>
    </row>
    <row r="415" spans="1:18" ht="15.75" customHeight="1" x14ac:dyDescent="0.3">
      <c r="A415" s="11"/>
      <c r="B415" s="11"/>
      <c r="D415" s="35"/>
      <c r="E415" s="36"/>
      <c r="F415" s="37"/>
      <c r="G415" s="38"/>
      <c r="H415" s="53"/>
      <c r="I415" s="40"/>
      <c r="J415" s="41"/>
      <c r="K415" s="39"/>
      <c r="L415" s="39"/>
      <c r="M415" s="39"/>
      <c r="N415" s="39" t="s">
        <v>74</v>
      </c>
      <c r="O415" s="42"/>
      <c r="P415" s="43"/>
    </row>
    <row r="416" spans="1:18" ht="15.75" customHeight="1" x14ac:dyDescent="0.3">
      <c r="A416" s="11"/>
      <c r="B416" s="11"/>
      <c r="D416" s="54" t="s">
        <v>4</v>
      </c>
      <c r="E416" s="55">
        <v>45580</v>
      </c>
      <c r="F416" s="37"/>
      <c r="G416" s="56">
        <v>0.50416666666666665</v>
      </c>
      <c r="H416" s="53"/>
      <c r="I416" s="40"/>
      <c r="J416" s="57" t="s">
        <v>12</v>
      </c>
      <c r="K416" s="48"/>
      <c r="L416" s="46"/>
      <c r="M416" s="46"/>
      <c r="N416" s="46" t="s">
        <v>74</v>
      </c>
      <c r="O416" s="49"/>
      <c r="P416" s="50"/>
      <c r="Q416" s="18"/>
      <c r="R416" s="18"/>
    </row>
    <row r="417" spans="1:18" ht="15.75" customHeight="1" x14ac:dyDescent="0.3">
      <c r="A417" s="11"/>
      <c r="B417" s="11"/>
      <c r="D417" s="54" t="s">
        <v>3</v>
      </c>
      <c r="E417" s="55">
        <v>45580</v>
      </c>
      <c r="F417" s="37"/>
      <c r="G417" s="56">
        <v>0.9291666666666667</v>
      </c>
      <c r="H417" s="53">
        <f t="shared" ref="H417" si="136">IF((E417=0),"0",IF((E417=E416+1),(((24-INT(G416))+INT(G417))-1),(INT(G417)-INT(G416)-1))+((1-((G416-INT(G416))/0.6))+((G417-INT(G417))/0.6)))+(F417)</f>
        <v>0.70833333333333348</v>
      </c>
      <c r="I417" s="40"/>
      <c r="J417" s="57" t="s">
        <v>5</v>
      </c>
      <c r="K417" s="46">
        <v>14.9</v>
      </c>
      <c r="L417" s="46">
        <v>116.9</v>
      </c>
      <c r="M417" s="46">
        <f>IF(D417="eosp",L417/H417,"")</f>
        <v>165.03529411764703</v>
      </c>
      <c r="N417" s="46" t="s">
        <v>40</v>
      </c>
      <c r="O417" s="51">
        <v>0.4</v>
      </c>
      <c r="P417" s="52">
        <v>127</v>
      </c>
      <c r="Q417" s="16"/>
      <c r="R417" s="16"/>
    </row>
    <row r="418" spans="1:18" ht="15.75" customHeight="1" x14ac:dyDescent="0.3">
      <c r="A418" s="11"/>
      <c r="B418" s="11"/>
      <c r="D418" s="35"/>
      <c r="E418" s="36"/>
      <c r="F418" s="37"/>
      <c r="G418" s="38"/>
      <c r="H418" s="53"/>
      <c r="I418" s="40"/>
      <c r="J418" s="41"/>
      <c r="K418" s="39"/>
      <c r="L418" s="39"/>
      <c r="M418" s="39"/>
      <c r="N418" s="39" t="s">
        <v>74</v>
      </c>
      <c r="O418" s="42"/>
      <c r="P418" s="43"/>
    </row>
    <row r="419" spans="1:18" ht="15.75" customHeight="1" x14ac:dyDescent="0.3">
      <c r="A419" s="11"/>
      <c r="B419" s="11"/>
      <c r="D419" s="58" t="s">
        <v>4</v>
      </c>
      <c r="E419" s="55">
        <v>45582</v>
      </c>
      <c r="F419" s="37"/>
      <c r="G419" s="56">
        <v>0.42499999999999999</v>
      </c>
      <c r="H419" s="53"/>
      <c r="I419" s="40"/>
      <c r="J419" s="57" t="s">
        <v>7</v>
      </c>
      <c r="K419" s="48"/>
      <c r="L419" s="46"/>
      <c r="M419" s="46"/>
      <c r="N419" s="46" t="s">
        <v>74</v>
      </c>
      <c r="O419" s="51"/>
      <c r="P419" s="52"/>
      <c r="Q419" s="19"/>
      <c r="R419" s="19"/>
    </row>
    <row r="420" spans="1:18" ht="15.75" customHeight="1" x14ac:dyDescent="0.3">
      <c r="A420" s="11"/>
      <c r="B420" s="11"/>
      <c r="D420" s="58" t="s">
        <v>3</v>
      </c>
      <c r="E420" s="55">
        <v>45582</v>
      </c>
      <c r="F420" s="37"/>
      <c r="G420" s="56">
        <v>0.89583333333333337</v>
      </c>
      <c r="H420" s="53">
        <f t="shared" ref="H420" si="137">IF((E420=0),"0",IF((E420=E419+1),(((24-INT(G419))+INT(G420))-1),(INT(G420)-INT(G419)-1))+((1-((G419-INT(G419))/0.6))+((G420-INT(G420))/0.6)))+(F420)</f>
        <v>0.78472222222222232</v>
      </c>
      <c r="I420" s="40"/>
      <c r="J420" s="57" t="s">
        <v>13</v>
      </c>
      <c r="K420" s="46">
        <v>23.6</v>
      </c>
      <c r="L420" s="46">
        <v>115.7</v>
      </c>
      <c r="M420" s="46">
        <f>IF(D420="eosp",L420/H420,"")</f>
        <v>147.44070796460176</v>
      </c>
      <c r="N420" s="46" t="s">
        <v>38</v>
      </c>
      <c r="O420" s="51">
        <v>0.4</v>
      </c>
      <c r="P420" s="52">
        <v>127</v>
      </c>
      <c r="Q420" s="20"/>
      <c r="R420" s="20"/>
    </row>
    <row r="421" spans="1:18" ht="15.75" customHeight="1" x14ac:dyDescent="0.3">
      <c r="A421" s="11"/>
      <c r="B421" s="11"/>
      <c r="D421" s="35"/>
      <c r="E421" s="36"/>
      <c r="F421" s="37"/>
      <c r="G421" s="38"/>
      <c r="H421" s="53"/>
      <c r="I421" s="40"/>
      <c r="J421" s="41"/>
      <c r="K421" s="39"/>
      <c r="L421" s="39"/>
      <c r="M421" s="39"/>
      <c r="N421" s="39" t="s">
        <v>74</v>
      </c>
      <c r="O421" s="42"/>
      <c r="P421" s="43"/>
    </row>
    <row r="422" spans="1:18" ht="15.75" customHeight="1" x14ac:dyDescent="0.3">
      <c r="A422" s="11"/>
      <c r="B422" s="11"/>
      <c r="D422" s="54" t="s">
        <v>4</v>
      </c>
      <c r="E422" s="55">
        <v>45584</v>
      </c>
      <c r="F422" s="37"/>
      <c r="G422" s="56">
        <v>2.0833333333333332E-2</v>
      </c>
      <c r="H422" s="53"/>
      <c r="I422" s="40"/>
      <c r="J422" s="57" t="s">
        <v>12</v>
      </c>
      <c r="K422" s="48"/>
      <c r="L422" s="46"/>
      <c r="M422" s="46"/>
      <c r="N422" s="46" t="s">
        <v>74</v>
      </c>
      <c r="O422" s="49"/>
      <c r="P422" s="50"/>
      <c r="Q422" s="18"/>
      <c r="R422" s="18"/>
    </row>
    <row r="423" spans="1:18" ht="15.75" customHeight="1" x14ac:dyDescent="0.3">
      <c r="A423" s="11"/>
      <c r="B423" s="11"/>
      <c r="D423" s="54" t="s">
        <v>3</v>
      </c>
      <c r="E423" s="55">
        <v>45584</v>
      </c>
      <c r="F423" s="37"/>
      <c r="G423" s="56">
        <v>0.5</v>
      </c>
      <c r="H423" s="53">
        <f t="shared" ref="H423" si="138">IF((E423=0),"0",IF((E423=E422+1),(((24-INT(G422))+INT(G423))-1),(INT(G423)-INT(G422)-1))+((1-((G422-INT(G422))/0.6))+((G423-INT(G423))/0.6)))+(F423)</f>
        <v>0.79861111111111116</v>
      </c>
      <c r="I423" s="40"/>
      <c r="J423" s="57" t="s">
        <v>5</v>
      </c>
      <c r="K423" s="46">
        <v>16.399999999999999</v>
      </c>
      <c r="L423" s="46">
        <v>130.1</v>
      </c>
      <c r="M423" s="46">
        <f>IF(D423="eosp",L423/H423,"")</f>
        <v>162.9078260869565</v>
      </c>
      <c r="N423" s="46" t="s">
        <v>35</v>
      </c>
      <c r="O423" s="51">
        <v>0.41</v>
      </c>
      <c r="P423" s="52">
        <v>128</v>
      </c>
      <c r="Q423" s="16"/>
      <c r="R423" s="16"/>
    </row>
    <row r="424" spans="1:18" ht="15.75" customHeight="1" x14ac:dyDescent="0.3">
      <c r="A424" s="11"/>
      <c r="B424" s="11"/>
      <c r="D424" s="35"/>
      <c r="E424" s="36"/>
      <c r="F424" s="37"/>
      <c r="G424" s="38"/>
      <c r="H424" s="53"/>
      <c r="I424" s="40"/>
      <c r="J424" s="41"/>
      <c r="K424" s="39"/>
      <c r="L424" s="39"/>
      <c r="M424" s="39"/>
      <c r="N424" s="39" t="s">
        <v>74</v>
      </c>
      <c r="O424" s="42"/>
      <c r="P424" s="43"/>
    </row>
    <row r="425" spans="1:18" ht="15.75" customHeight="1" x14ac:dyDescent="0.3">
      <c r="A425" s="11"/>
      <c r="B425" s="11"/>
      <c r="D425" s="58" t="s">
        <v>4</v>
      </c>
      <c r="E425" s="55">
        <v>45585</v>
      </c>
      <c r="F425" s="37"/>
      <c r="G425" s="56">
        <v>0.8125</v>
      </c>
      <c r="H425" s="53"/>
      <c r="I425" s="40"/>
      <c r="J425" s="57" t="s">
        <v>7</v>
      </c>
      <c r="K425" s="48"/>
      <c r="L425" s="46"/>
      <c r="M425" s="46"/>
      <c r="N425" s="46" t="s">
        <v>74</v>
      </c>
      <c r="O425" s="51"/>
      <c r="P425" s="52"/>
      <c r="Q425" s="19"/>
      <c r="R425" s="19"/>
    </row>
    <row r="426" spans="1:18" ht="15.75" customHeight="1" x14ac:dyDescent="0.3">
      <c r="A426" s="11"/>
      <c r="B426" s="11"/>
      <c r="D426" s="58" t="s">
        <v>3</v>
      </c>
      <c r="E426" s="55">
        <v>45586</v>
      </c>
      <c r="F426" s="37"/>
      <c r="G426" s="56">
        <v>0.27499999999999997</v>
      </c>
      <c r="H426" s="53">
        <f t="shared" ref="H426" si="139">IF((E426=0),"0",IF((E426=E425+1),(((24-INT(G425))+INT(G426))-1),(INT(G426)-INT(G425)-1))+((1-((G425-INT(G425))/0.6))+((G426-INT(G426))/0.6)))+(F426)</f>
        <v>23.104166666666668</v>
      </c>
      <c r="I426" s="40"/>
      <c r="J426" s="57" t="s">
        <v>13</v>
      </c>
      <c r="K426" s="46">
        <v>24.6</v>
      </c>
      <c r="L426" s="46">
        <v>113.3</v>
      </c>
      <c r="M426" s="46">
        <f>IF(D426="eosp",L426/H426,"")</f>
        <v>4.9038773669972944</v>
      </c>
      <c r="N426" s="46" t="s">
        <v>42</v>
      </c>
      <c r="O426" s="51">
        <v>0.42</v>
      </c>
      <c r="P426" s="52">
        <v>127.6</v>
      </c>
      <c r="Q426" s="20"/>
      <c r="R426" s="20"/>
    </row>
    <row r="427" spans="1:18" ht="15.75" customHeight="1" x14ac:dyDescent="0.3">
      <c r="A427" s="11"/>
      <c r="B427" s="11"/>
      <c r="D427" s="35"/>
      <c r="E427" s="36"/>
      <c r="F427" s="37"/>
      <c r="G427" s="38"/>
      <c r="H427" s="53"/>
      <c r="I427" s="40"/>
      <c r="J427" s="41"/>
      <c r="K427" s="39"/>
      <c r="L427" s="39"/>
      <c r="M427" s="39"/>
      <c r="N427" s="39" t="s">
        <v>74</v>
      </c>
      <c r="O427" s="42"/>
      <c r="P427" s="43"/>
    </row>
    <row r="428" spans="1:18" ht="15.75" customHeight="1" x14ac:dyDescent="0.3">
      <c r="A428" s="11"/>
      <c r="B428" s="11"/>
      <c r="D428" s="54" t="s">
        <v>4</v>
      </c>
      <c r="E428" s="55">
        <v>45587</v>
      </c>
      <c r="F428" s="37"/>
      <c r="G428" s="56">
        <v>0.5</v>
      </c>
      <c r="H428" s="53"/>
      <c r="I428" s="40"/>
      <c r="J428" s="57" t="s">
        <v>12</v>
      </c>
      <c r="K428" s="48"/>
      <c r="L428" s="46"/>
      <c r="M428" s="46"/>
      <c r="N428" s="46" t="s">
        <v>74</v>
      </c>
      <c r="O428" s="49"/>
      <c r="P428" s="50"/>
      <c r="Q428" s="18"/>
      <c r="R428" s="18"/>
    </row>
    <row r="429" spans="1:18" ht="15.75" customHeight="1" x14ac:dyDescent="0.3">
      <c r="A429" s="11"/>
      <c r="B429" s="11"/>
      <c r="D429" s="54" t="s">
        <v>3</v>
      </c>
      <c r="E429" s="55">
        <v>45588</v>
      </c>
      <c r="F429" s="37"/>
      <c r="G429" s="56">
        <v>0</v>
      </c>
      <c r="H429" s="53">
        <f t="shared" ref="H429" si="140">IF((E429=0),"0",IF((E429=E428+1),(((24-INT(G428))+INT(G429))-1),(INT(G429)-INT(G428)-1))+((1-((G428-INT(G428))/0.6))+((G429-INT(G429))/0.6)))+(F429)</f>
        <v>23.166666666666668</v>
      </c>
      <c r="I429" s="40"/>
      <c r="J429" s="57" t="s">
        <v>5</v>
      </c>
      <c r="K429" s="46">
        <v>19.3</v>
      </c>
      <c r="L429" s="46">
        <v>130.19999999999999</v>
      </c>
      <c r="M429" s="46">
        <f>IF(D429="eosp",L429/H429,"")</f>
        <v>5.6201438848920855</v>
      </c>
      <c r="N429" s="46" t="s">
        <v>42</v>
      </c>
      <c r="O429" s="51">
        <v>0.41</v>
      </c>
      <c r="P429" s="52">
        <v>127</v>
      </c>
      <c r="Q429" s="16"/>
      <c r="R429" s="16"/>
    </row>
    <row r="430" spans="1:18" ht="15.75" customHeight="1" x14ac:dyDescent="0.3">
      <c r="A430" s="11"/>
      <c r="B430" s="11"/>
      <c r="D430" s="35"/>
      <c r="E430" s="36"/>
      <c r="F430" s="37"/>
      <c r="G430" s="38"/>
      <c r="H430" s="53"/>
      <c r="I430" s="40"/>
      <c r="J430" s="41"/>
      <c r="K430" s="39"/>
      <c r="L430" s="39"/>
      <c r="M430" s="39"/>
      <c r="N430" s="39" t="s">
        <v>74</v>
      </c>
      <c r="O430" s="42"/>
      <c r="P430" s="43"/>
    </row>
    <row r="431" spans="1:18" ht="15.75" customHeight="1" x14ac:dyDescent="0.3">
      <c r="A431" s="11"/>
      <c r="B431" s="11"/>
      <c r="D431" s="58" t="s">
        <v>4</v>
      </c>
      <c r="E431" s="55">
        <v>45589</v>
      </c>
      <c r="F431" s="37"/>
      <c r="G431" s="56">
        <v>2.0833333333333332E-2</v>
      </c>
      <c r="H431" s="53"/>
      <c r="I431" s="40"/>
      <c r="J431" s="57" t="s">
        <v>7</v>
      </c>
      <c r="K431" s="48"/>
      <c r="L431" s="46"/>
      <c r="M431" s="46"/>
      <c r="N431" s="46" t="s">
        <v>74</v>
      </c>
      <c r="O431" s="51"/>
      <c r="P431" s="52"/>
      <c r="Q431" s="19"/>
      <c r="R431" s="19"/>
    </row>
    <row r="432" spans="1:18" ht="15.75" customHeight="1" x14ac:dyDescent="0.3">
      <c r="A432" s="11"/>
      <c r="B432" s="11"/>
      <c r="D432" s="58" t="s">
        <v>3</v>
      </c>
      <c r="E432" s="55">
        <v>45589</v>
      </c>
      <c r="F432" s="37"/>
      <c r="G432" s="56">
        <v>0.54166666666666663</v>
      </c>
      <c r="H432" s="53">
        <f t="shared" ref="H432" si="141">IF((E432=0),"0",IF((E432=E431+1),(((24-INT(G431))+INT(G432))-1),(INT(G432)-INT(G431)-1))+((1-((G431-INT(G431))/0.6))+((G432-INT(G432))/0.6)))+(F432)</f>
        <v>0.86805555555555558</v>
      </c>
      <c r="I432" s="40"/>
      <c r="J432" s="57" t="s">
        <v>13</v>
      </c>
      <c r="K432" s="46">
        <v>25.2</v>
      </c>
      <c r="L432" s="46">
        <v>119.9</v>
      </c>
      <c r="M432" s="46">
        <f>IF(D432="eosp",L432/H432,"")</f>
        <v>138.12479999999999</v>
      </c>
      <c r="N432" s="46" t="s">
        <v>38</v>
      </c>
      <c r="O432" s="51">
        <v>0.38</v>
      </c>
      <c r="P432" s="52">
        <v>124</v>
      </c>
      <c r="Q432" s="20"/>
      <c r="R432" s="20"/>
    </row>
    <row r="433" spans="1:18" ht="15.75" customHeight="1" x14ac:dyDescent="0.3">
      <c r="A433" s="11"/>
      <c r="B433" s="11"/>
      <c r="D433" s="35"/>
      <c r="E433" s="36"/>
      <c r="F433" s="37"/>
      <c r="G433" s="38"/>
      <c r="H433" s="53"/>
      <c r="I433" s="40"/>
      <c r="J433" s="41"/>
      <c r="K433" s="39"/>
      <c r="L433" s="39"/>
      <c r="M433" s="39"/>
      <c r="N433" s="39" t="s">
        <v>74</v>
      </c>
      <c r="O433" s="42"/>
      <c r="P433" s="43"/>
    </row>
    <row r="434" spans="1:18" ht="15.75" customHeight="1" x14ac:dyDescent="0.3">
      <c r="A434" s="11"/>
      <c r="B434" s="11"/>
      <c r="D434" s="54" t="s">
        <v>4</v>
      </c>
      <c r="E434" s="55">
        <v>45590</v>
      </c>
      <c r="F434" s="37"/>
      <c r="G434" s="56">
        <v>0.45833333333333331</v>
      </c>
      <c r="H434" s="53"/>
      <c r="I434" s="40"/>
      <c r="J434" s="57" t="s">
        <v>12</v>
      </c>
      <c r="K434" s="48"/>
      <c r="L434" s="46"/>
      <c r="M434" s="46"/>
      <c r="N434" s="46" t="s">
        <v>74</v>
      </c>
      <c r="O434" s="49"/>
      <c r="P434" s="50"/>
      <c r="Q434" s="18"/>
      <c r="R434" s="18"/>
    </row>
    <row r="435" spans="1:18" ht="15.75" customHeight="1" x14ac:dyDescent="0.3">
      <c r="A435" s="11"/>
      <c r="B435" s="11"/>
      <c r="D435" s="54" t="s">
        <v>3</v>
      </c>
      <c r="E435" s="55">
        <v>45590</v>
      </c>
      <c r="F435" s="37"/>
      <c r="G435" s="56">
        <v>0.91666666666666663</v>
      </c>
      <c r="H435" s="53">
        <f t="shared" ref="H435" si="142">IF((E435=0),"0",IF((E435=E434+1),(((24-INT(G434))+INT(G435))-1),(INT(G435)-INT(G434)-1))+((1-((G434-INT(G434))/0.6))+((G435-INT(G435))/0.6)))+(F435)</f>
        <v>0.76388888888888884</v>
      </c>
      <c r="I435" s="40"/>
      <c r="J435" s="57" t="s">
        <v>5</v>
      </c>
      <c r="K435" s="46">
        <v>21.4</v>
      </c>
      <c r="L435" s="46">
        <v>124.7</v>
      </c>
      <c r="M435" s="46">
        <f>IF(D435="eosp",L435/H435,"")</f>
        <v>163.24363636363637</v>
      </c>
      <c r="N435" s="46" t="s">
        <v>52</v>
      </c>
      <c r="O435" s="51">
        <v>0.44</v>
      </c>
      <c r="P435" s="52">
        <v>137</v>
      </c>
      <c r="Q435" s="16"/>
      <c r="R435" s="16"/>
    </row>
    <row r="436" spans="1:18" ht="15.75" customHeight="1" x14ac:dyDescent="0.3">
      <c r="A436" s="11"/>
      <c r="B436" s="11"/>
      <c r="D436" s="35"/>
      <c r="E436" s="36"/>
      <c r="F436" s="37"/>
      <c r="G436" s="38"/>
      <c r="H436" s="53"/>
      <c r="I436" s="40"/>
      <c r="J436" s="41"/>
      <c r="K436" s="39"/>
      <c r="L436" s="39"/>
      <c r="M436" s="39"/>
      <c r="N436" s="39" t="s">
        <v>74</v>
      </c>
      <c r="O436" s="42"/>
      <c r="P436" s="43"/>
    </row>
    <row r="437" spans="1:18" ht="15.75" customHeight="1" x14ac:dyDescent="0.3">
      <c r="A437" s="11"/>
      <c r="B437" s="11"/>
      <c r="D437" s="58" t="s">
        <v>4</v>
      </c>
      <c r="E437" s="55">
        <v>45591</v>
      </c>
      <c r="F437" s="37"/>
      <c r="G437" s="56">
        <v>0.91666666666666663</v>
      </c>
      <c r="H437" s="53"/>
      <c r="I437" s="40"/>
      <c r="J437" s="57" t="s">
        <v>7</v>
      </c>
      <c r="K437" s="48"/>
      <c r="L437" s="46"/>
      <c r="M437" s="46"/>
      <c r="N437" s="46" t="s">
        <v>74</v>
      </c>
      <c r="O437" s="51"/>
      <c r="P437" s="52"/>
      <c r="Q437" s="19"/>
      <c r="R437" s="19"/>
    </row>
    <row r="438" spans="1:18" ht="15.75" customHeight="1" x14ac:dyDescent="0.3">
      <c r="A438" s="11"/>
      <c r="B438" s="11"/>
      <c r="D438" s="58" t="s">
        <v>3</v>
      </c>
      <c r="E438" s="55">
        <v>45592</v>
      </c>
      <c r="F438" s="37"/>
      <c r="G438" s="56">
        <v>0.41666666666666669</v>
      </c>
      <c r="H438" s="53">
        <f t="shared" ref="H438" si="143">IF((E438=0),"0",IF((E438=E437+1),(((24-INT(G437))+INT(G438))-1),(INT(G438)-INT(G437)-1))+((1-((G437-INT(G437))/0.6))+((G438-INT(G438))/0.6)))+(F438)</f>
        <v>23.166666666666668</v>
      </c>
      <c r="I438" s="40"/>
      <c r="J438" s="57" t="s">
        <v>16</v>
      </c>
      <c r="K438" s="46">
        <v>24.2</v>
      </c>
      <c r="L438" s="46">
        <v>122.7</v>
      </c>
      <c r="M438" s="46">
        <f>IF(D438="eosp",L438/H438,"")</f>
        <v>5.296402877697842</v>
      </c>
      <c r="N438" s="46" t="s">
        <v>41</v>
      </c>
      <c r="O438" s="51">
        <v>0.42</v>
      </c>
      <c r="P438" s="52">
        <v>126</v>
      </c>
      <c r="Q438" s="20"/>
      <c r="R438" s="20"/>
    </row>
    <row r="439" spans="1:18" ht="15.75" customHeight="1" x14ac:dyDescent="0.3">
      <c r="A439" s="11"/>
      <c r="B439" s="11"/>
      <c r="D439" s="35"/>
      <c r="E439" s="36"/>
      <c r="F439" s="37"/>
      <c r="G439" s="38"/>
      <c r="H439" s="53"/>
      <c r="I439" s="40"/>
      <c r="J439" s="41"/>
      <c r="K439" s="39"/>
      <c r="L439" s="39"/>
      <c r="M439" s="39"/>
      <c r="N439" s="39" t="s">
        <v>74</v>
      </c>
      <c r="O439" s="42"/>
      <c r="P439" s="43"/>
    </row>
    <row r="440" spans="1:18" ht="15.75" customHeight="1" x14ac:dyDescent="0.3">
      <c r="A440" s="11"/>
      <c r="B440" s="11"/>
      <c r="D440" s="54" t="s">
        <v>4</v>
      </c>
      <c r="E440" s="55">
        <v>45593</v>
      </c>
      <c r="F440" s="37"/>
      <c r="G440" s="56">
        <v>0.14583333333333334</v>
      </c>
      <c r="H440" s="53"/>
      <c r="I440" s="40"/>
      <c r="J440" s="57" t="s">
        <v>12</v>
      </c>
      <c r="K440" s="48"/>
      <c r="L440" s="46"/>
      <c r="M440" s="46"/>
      <c r="N440" s="46" t="s">
        <v>74</v>
      </c>
      <c r="O440" s="49"/>
      <c r="P440" s="50"/>
      <c r="Q440" s="18"/>
      <c r="R440" s="18"/>
    </row>
    <row r="441" spans="1:18" ht="15.75" customHeight="1" x14ac:dyDescent="0.3">
      <c r="A441" s="11"/>
      <c r="B441" s="11"/>
      <c r="D441" s="54" t="s">
        <v>3</v>
      </c>
      <c r="E441" s="55">
        <v>45593</v>
      </c>
      <c r="F441" s="37"/>
      <c r="G441" s="56">
        <v>0.64583333333333337</v>
      </c>
      <c r="H441" s="53">
        <f t="shared" ref="H441" si="144">IF((E441=0),"0",IF((E441=E440+1),(((24-INT(G440))+INT(G441))-1),(INT(G441)-INT(G440)-1))+((1-((G440-INT(G440))/0.6))+((G441-INT(G441))/0.6)))+(F441)</f>
        <v>0.83333333333333348</v>
      </c>
      <c r="I441" s="40"/>
      <c r="J441" s="57" t="s">
        <v>5</v>
      </c>
      <c r="K441" s="46">
        <v>19.3</v>
      </c>
      <c r="L441" s="46">
        <v>125.2</v>
      </c>
      <c r="M441" s="46">
        <f>IF(D441="eosp",L441/H441,"")</f>
        <v>150.23999999999998</v>
      </c>
      <c r="N441" s="46" t="s">
        <v>30</v>
      </c>
      <c r="O441" s="51">
        <v>0.41</v>
      </c>
      <c r="P441" s="52">
        <v>130</v>
      </c>
      <c r="Q441" s="16"/>
      <c r="R441" s="18"/>
    </row>
    <row r="442" spans="1:18" ht="15.75" customHeight="1" x14ac:dyDescent="0.3">
      <c r="A442" s="11"/>
      <c r="B442" s="11"/>
      <c r="D442" s="35"/>
      <c r="E442" s="36"/>
      <c r="F442" s="37"/>
      <c r="G442" s="38"/>
      <c r="H442" s="53"/>
      <c r="I442" s="40"/>
      <c r="J442" s="41"/>
      <c r="K442" s="39"/>
      <c r="L442" s="39"/>
      <c r="M442" s="39"/>
      <c r="N442" s="39" t="s">
        <v>74</v>
      </c>
      <c r="O442" s="42"/>
      <c r="P442" s="43"/>
    </row>
    <row r="443" spans="1:18" ht="15.75" customHeight="1" x14ac:dyDescent="0.3">
      <c r="A443" s="11"/>
      <c r="B443" s="11"/>
      <c r="D443" s="58" t="s">
        <v>4</v>
      </c>
      <c r="E443" s="55">
        <v>45595</v>
      </c>
      <c r="F443" s="37"/>
      <c r="G443" s="56">
        <v>0.45833333333333331</v>
      </c>
      <c r="H443" s="53"/>
      <c r="I443" s="40"/>
      <c r="J443" s="57" t="s">
        <v>7</v>
      </c>
      <c r="K443" s="48"/>
      <c r="L443" s="46"/>
      <c r="M443" s="46"/>
      <c r="N443" s="46" t="s">
        <v>74</v>
      </c>
      <c r="O443" s="51"/>
      <c r="P443" s="52"/>
      <c r="Q443" s="19"/>
      <c r="R443" s="19"/>
    </row>
    <row r="444" spans="1:18" ht="15.75" customHeight="1" x14ac:dyDescent="0.3">
      <c r="A444" s="11"/>
      <c r="B444" s="11"/>
      <c r="D444" s="58" t="s">
        <v>3</v>
      </c>
      <c r="E444" s="55">
        <v>45595</v>
      </c>
      <c r="F444" s="37"/>
      <c r="G444" s="56">
        <v>0.92499999999999993</v>
      </c>
      <c r="H444" s="53">
        <f t="shared" ref="H444" si="145">IF((E444=0),"0",IF((E444=E443+1),(((24-INT(G443))+INT(G444))-1),(INT(G444)-INT(G443)-1))+((1-((G443-INT(G443))/0.6))+((G444-INT(G444))/0.6)))+(F444)</f>
        <v>0.77777777777777768</v>
      </c>
      <c r="I444" s="40"/>
      <c r="J444" s="57" t="s">
        <v>13</v>
      </c>
      <c r="K444" s="46">
        <v>26.3</v>
      </c>
      <c r="L444" s="46">
        <v>112.8</v>
      </c>
      <c r="M444" s="46">
        <f>IF(D444="eosp",L444/H444,"")</f>
        <v>145.02857142857144</v>
      </c>
      <c r="N444" s="46" t="s">
        <v>35</v>
      </c>
      <c r="O444" s="51">
        <v>0.46</v>
      </c>
      <c r="P444" s="52">
        <v>127</v>
      </c>
      <c r="Q444" s="20"/>
      <c r="R444" s="19"/>
    </row>
    <row r="445" spans="1:18" ht="15.75" customHeight="1" x14ac:dyDescent="0.3">
      <c r="A445" s="11"/>
      <c r="B445" s="11"/>
      <c r="D445" s="35"/>
      <c r="E445" s="36"/>
      <c r="F445" s="37"/>
      <c r="G445" s="38"/>
      <c r="H445" s="53"/>
      <c r="I445" s="40"/>
      <c r="J445" s="41"/>
      <c r="K445" s="39"/>
      <c r="L445" s="39"/>
      <c r="M445" s="39"/>
      <c r="N445" s="39" t="s">
        <v>74</v>
      </c>
      <c r="O445" s="42"/>
      <c r="P445" s="43"/>
    </row>
    <row r="446" spans="1:18" ht="15.75" customHeight="1" x14ac:dyDescent="0.3">
      <c r="A446" s="11"/>
      <c r="B446" s="11"/>
      <c r="D446" s="54" t="s">
        <v>4</v>
      </c>
      <c r="E446" s="55">
        <v>45597</v>
      </c>
      <c r="F446" s="37"/>
      <c r="G446" s="56">
        <v>0.73749999999999993</v>
      </c>
      <c r="H446" s="53"/>
      <c r="I446" s="40"/>
      <c r="J446" s="57" t="s">
        <v>12</v>
      </c>
      <c r="K446" s="48"/>
      <c r="L446" s="46"/>
      <c r="M446" s="46"/>
      <c r="N446" s="46" t="s">
        <v>74</v>
      </c>
      <c r="O446" s="49"/>
      <c r="P446" s="50"/>
      <c r="Q446" s="18"/>
      <c r="R446" s="18"/>
    </row>
    <row r="447" spans="1:18" ht="15.75" customHeight="1" x14ac:dyDescent="0.3">
      <c r="A447" s="11"/>
      <c r="B447" s="11"/>
      <c r="D447" s="54" t="s">
        <v>3</v>
      </c>
      <c r="E447" s="55">
        <v>45598</v>
      </c>
      <c r="F447" s="37"/>
      <c r="G447" s="56">
        <v>0.22916666666666666</v>
      </c>
      <c r="H447" s="53">
        <f t="shared" ref="H447" si="146">IF((E447=0),"0",IF((E447=E446+1),(((24-INT(G446))+INT(G447))-1),(INT(G447)-INT(G446)-1))+((1-((G446-INT(G446))/0.6))+((G447-INT(G447))/0.6)))+(F447)</f>
        <v>23.152777777777779</v>
      </c>
      <c r="I447" s="40"/>
      <c r="J447" s="57" t="s">
        <v>5</v>
      </c>
      <c r="K447" s="46">
        <v>19.899999999999999</v>
      </c>
      <c r="L447" s="46">
        <v>127.7</v>
      </c>
      <c r="M447" s="46">
        <f>IF(D447="eosp",L447/H447,"")</f>
        <v>5.5155368926214754</v>
      </c>
      <c r="N447" s="46" t="s">
        <v>41</v>
      </c>
      <c r="O447" s="51">
        <v>0.45</v>
      </c>
      <c r="P447" s="52">
        <v>127.4</v>
      </c>
      <c r="Q447" s="16"/>
      <c r="R447" s="16"/>
    </row>
    <row r="448" spans="1:18" ht="15.75" customHeight="1" x14ac:dyDescent="0.3">
      <c r="A448" s="11"/>
      <c r="B448" s="11"/>
      <c r="D448" s="35"/>
      <c r="E448" s="36"/>
      <c r="F448" s="37"/>
      <c r="G448" s="38"/>
      <c r="H448" s="53"/>
      <c r="I448" s="40"/>
      <c r="J448" s="41"/>
      <c r="K448" s="39"/>
      <c r="L448" s="39"/>
      <c r="M448" s="39"/>
      <c r="N448" s="39" t="s">
        <v>74</v>
      </c>
      <c r="O448" s="42"/>
      <c r="P448" s="43"/>
    </row>
    <row r="449" spans="1:18" ht="15.75" customHeight="1" x14ac:dyDescent="0.3">
      <c r="A449" s="11"/>
      <c r="B449" s="11"/>
      <c r="D449" s="58" t="s">
        <v>4</v>
      </c>
      <c r="E449" s="55">
        <v>45599</v>
      </c>
      <c r="F449" s="37"/>
      <c r="G449" s="56">
        <v>0.24166666666666667</v>
      </c>
      <c r="H449" s="53"/>
      <c r="I449" s="40"/>
      <c r="J449" s="57" t="s">
        <v>7</v>
      </c>
      <c r="K449" s="48"/>
      <c r="L449" s="46"/>
      <c r="M449" s="46"/>
      <c r="N449" s="46" t="s">
        <v>74</v>
      </c>
      <c r="O449" s="51"/>
      <c r="P449" s="52"/>
      <c r="Q449" s="19"/>
      <c r="R449" s="18"/>
    </row>
    <row r="450" spans="1:18" ht="15.75" customHeight="1" x14ac:dyDescent="0.3">
      <c r="A450" s="11"/>
      <c r="B450" s="11"/>
      <c r="D450" s="58" t="s">
        <v>3</v>
      </c>
      <c r="E450" s="55">
        <v>45599</v>
      </c>
      <c r="F450" s="37"/>
      <c r="G450" s="56">
        <v>0.70416666666666661</v>
      </c>
      <c r="H450" s="53">
        <f t="shared" ref="H450" si="147">IF((E450=0),"0",IF((E450=E449+1),(((24-INT(G449))+INT(G450))-1),(INT(G450)-INT(G449)-1))+((1-((G449-INT(G449))/0.6))+((G450-INT(G450))/0.6)))+(F450)</f>
        <v>0.77083333333333348</v>
      </c>
      <c r="I450" s="40"/>
      <c r="J450" s="57" t="s">
        <v>13</v>
      </c>
      <c r="K450" s="46">
        <v>23.9</v>
      </c>
      <c r="L450" s="46">
        <v>124.2</v>
      </c>
      <c r="M450" s="46">
        <f>IF(D450="eosp",L450/H450,"")</f>
        <v>161.12432432432431</v>
      </c>
      <c r="N450" s="46" t="s">
        <v>30</v>
      </c>
      <c r="O450" s="51">
        <v>0.59</v>
      </c>
      <c r="P450" s="52">
        <v>127</v>
      </c>
      <c r="Q450" s="20"/>
      <c r="R450" s="18"/>
    </row>
    <row r="451" spans="1:18" ht="15.75" customHeight="1" x14ac:dyDescent="0.3">
      <c r="A451" s="11"/>
      <c r="B451" s="11"/>
      <c r="D451" s="35"/>
      <c r="E451" s="36"/>
      <c r="F451" s="37"/>
      <c r="G451" s="38"/>
      <c r="H451" s="53"/>
      <c r="I451" s="40"/>
      <c r="J451" s="41"/>
      <c r="K451" s="39"/>
      <c r="L451" s="39"/>
      <c r="M451" s="39"/>
      <c r="N451" s="39" t="s">
        <v>74</v>
      </c>
      <c r="O451" s="42"/>
      <c r="P451" s="43"/>
      <c r="R451" s="18"/>
    </row>
    <row r="452" spans="1:18" ht="15.75" customHeight="1" x14ac:dyDescent="0.3">
      <c r="A452" s="11"/>
      <c r="B452" s="11"/>
      <c r="D452" s="54" t="s">
        <v>4</v>
      </c>
      <c r="E452" s="55">
        <v>45600</v>
      </c>
      <c r="F452" s="37"/>
      <c r="G452" s="56">
        <v>0.3666666666666667</v>
      </c>
      <c r="H452" s="53"/>
      <c r="I452" s="40"/>
      <c r="J452" s="57" t="s">
        <v>12</v>
      </c>
      <c r="K452" s="48"/>
      <c r="L452" s="46"/>
      <c r="M452" s="46"/>
      <c r="N452" s="46" t="s">
        <v>74</v>
      </c>
      <c r="O452" s="49"/>
      <c r="P452" s="50"/>
      <c r="Q452" s="18"/>
      <c r="R452" s="18"/>
    </row>
    <row r="453" spans="1:18" ht="15.75" customHeight="1" x14ac:dyDescent="0.3">
      <c r="A453" s="11"/>
      <c r="B453" s="11"/>
      <c r="D453" s="54" t="s">
        <v>3</v>
      </c>
      <c r="E453" s="55">
        <v>45600</v>
      </c>
      <c r="F453" s="37"/>
      <c r="G453" s="56">
        <v>0.85416666666666663</v>
      </c>
      <c r="H453" s="53">
        <f t="shared" ref="H453" si="148">IF((E453=0),"0",IF((E453=E452+1),(((24-INT(G452))+INT(G453))-1),(INT(G453)-INT(G452)-1))+((1-((G452-INT(G452))/0.6))+((G453-INT(G453))/0.6)))+(F453)</f>
        <v>0.8125</v>
      </c>
      <c r="I453" s="40"/>
      <c r="J453" s="57" t="s">
        <v>5</v>
      </c>
      <c r="K453" s="46">
        <v>18</v>
      </c>
      <c r="L453" s="46">
        <v>125.3</v>
      </c>
      <c r="M453" s="46">
        <f>IF(D453="eosp",L453/H453,"")</f>
        <v>154.21538461538461</v>
      </c>
      <c r="N453" s="46" t="s">
        <v>62</v>
      </c>
      <c r="O453" s="51">
        <v>0.38</v>
      </c>
      <c r="P453" s="52">
        <v>123</v>
      </c>
      <c r="Q453" s="16"/>
      <c r="R453" s="16"/>
    </row>
    <row r="454" spans="1:18" ht="15.75" customHeight="1" x14ac:dyDescent="0.3">
      <c r="A454" s="11"/>
      <c r="B454" s="11"/>
      <c r="D454" s="35"/>
      <c r="E454" s="36"/>
      <c r="F454" s="37"/>
      <c r="G454" s="38"/>
      <c r="H454" s="53"/>
      <c r="I454" s="40"/>
      <c r="J454" s="41"/>
      <c r="K454" s="39"/>
      <c r="L454" s="39"/>
      <c r="M454" s="39"/>
      <c r="N454" s="39" t="s">
        <v>74</v>
      </c>
      <c r="O454" s="42"/>
      <c r="P454" s="43"/>
    </row>
    <row r="455" spans="1:18" ht="15.75" customHeight="1" x14ac:dyDescent="0.3">
      <c r="A455" s="11"/>
      <c r="B455" s="11"/>
      <c r="D455" s="58" t="s">
        <v>4</v>
      </c>
      <c r="E455" s="55">
        <v>45602</v>
      </c>
      <c r="F455" s="37"/>
      <c r="G455" s="56">
        <v>0.58333333333333337</v>
      </c>
      <c r="H455" s="53"/>
      <c r="I455" s="40"/>
      <c r="J455" s="57" t="s">
        <v>7</v>
      </c>
      <c r="K455" s="48"/>
      <c r="L455" s="46"/>
      <c r="M455" s="46"/>
      <c r="N455" s="46" t="s">
        <v>74</v>
      </c>
      <c r="O455" s="51"/>
      <c r="P455" s="52"/>
      <c r="Q455" s="19"/>
      <c r="R455" s="18"/>
    </row>
    <row r="456" spans="1:18" ht="15.75" customHeight="1" x14ac:dyDescent="0.3">
      <c r="A456" s="11"/>
      <c r="B456" s="11"/>
      <c r="D456" s="58" t="s">
        <v>3</v>
      </c>
      <c r="E456" s="55">
        <v>45603</v>
      </c>
      <c r="F456" s="37"/>
      <c r="G456" s="56">
        <v>7.0833333333333331E-2</v>
      </c>
      <c r="H456" s="53">
        <f t="shared" ref="H456" si="149">IF((E456=0),"0",IF((E456=E455+1),(((24-INT(G455))+INT(G456))-1),(INT(G456)-INT(G455)-1))+((1-((G455-INT(G455))/0.6))+((G456-INT(G456))/0.6)))+(F456)</f>
        <v>23.145833333333332</v>
      </c>
      <c r="I456" s="40"/>
      <c r="J456" s="57" t="s">
        <v>13</v>
      </c>
      <c r="K456" s="46">
        <v>23.5</v>
      </c>
      <c r="L456" s="46">
        <v>116.5</v>
      </c>
      <c r="M456" s="46">
        <f>IF(D456="eosp",L456/H456,"")</f>
        <v>5.0333033303330339</v>
      </c>
      <c r="N456" s="46" t="s">
        <v>40</v>
      </c>
      <c r="O456" s="51">
        <v>0.38</v>
      </c>
      <c r="P456" s="52">
        <v>123</v>
      </c>
      <c r="Q456" s="20"/>
      <c r="R456" s="18"/>
    </row>
    <row r="457" spans="1:18" ht="15.75" customHeight="1" x14ac:dyDescent="0.3">
      <c r="A457" s="11"/>
      <c r="B457" s="11"/>
      <c r="D457" s="35"/>
      <c r="E457" s="36"/>
      <c r="F457" s="37"/>
      <c r="G457" s="38"/>
      <c r="H457" s="53"/>
      <c r="I457" s="40"/>
      <c r="J457" s="41"/>
      <c r="K457" s="39"/>
      <c r="L457" s="39"/>
      <c r="M457" s="39"/>
      <c r="N457" s="39" t="s">
        <v>74</v>
      </c>
      <c r="O457" s="42"/>
      <c r="P457" s="43"/>
      <c r="R457" s="18"/>
    </row>
    <row r="458" spans="1:18" ht="15.75" customHeight="1" x14ac:dyDescent="0.3">
      <c r="A458" s="11"/>
      <c r="B458" s="11"/>
      <c r="D458" s="54" t="s">
        <v>4</v>
      </c>
      <c r="E458" s="55">
        <v>45603</v>
      </c>
      <c r="F458" s="37"/>
      <c r="G458" s="56">
        <v>0.92083333333333339</v>
      </c>
      <c r="H458" s="53"/>
      <c r="I458" s="40"/>
      <c r="J458" s="57" t="s">
        <v>12</v>
      </c>
      <c r="K458" s="48"/>
      <c r="L458" s="46"/>
      <c r="M458" s="46"/>
      <c r="N458" s="46" t="s">
        <v>74</v>
      </c>
      <c r="O458" s="49"/>
      <c r="P458" s="50"/>
      <c r="Q458" s="18"/>
      <c r="R458" s="18"/>
    </row>
    <row r="459" spans="1:18" ht="15.75" customHeight="1" x14ac:dyDescent="0.3">
      <c r="A459" s="11"/>
      <c r="B459" s="11"/>
      <c r="D459" s="54" t="s">
        <v>3</v>
      </c>
      <c r="E459" s="55">
        <v>45604</v>
      </c>
      <c r="F459" s="37"/>
      <c r="G459" s="56">
        <v>0.375</v>
      </c>
      <c r="H459" s="53">
        <f t="shared" ref="H459" si="150">IF((E459=0),"0",IF((E459=E458+1),(((24-INT(G458))+INT(G459))-1),(INT(G459)-INT(G458)-1))+((1-((G458-INT(G458))/0.6))+((G459-INT(G459))/0.6)))+(F459)</f>
        <v>23.090277777777779</v>
      </c>
      <c r="I459" s="40"/>
      <c r="J459" s="57" t="s">
        <v>5</v>
      </c>
      <c r="K459" s="46">
        <v>18.399999999999999</v>
      </c>
      <c r="L459" s="46">
        <v>122.2</v>
      </c>
      <c r="M459" s="46">
        <f>IF(D459="eosp",L459/H459,"")</f>
        <v>5.2922706766917296</v>
      </c>
      <c r="N459" s="46" t="s">
        <v>77</v>
      </c>
      <c r="O459" s="51">
        <v>0.42</v>
      </c>
      <c r="P459" s="52">
        <v>129</v>
      </c>
      <c r="Q459" s="16"/>
      <c r="R459" s="16"/>
    </row>
    <row r="460" spans="1:18" ht="15.75" customHeight="1" x14ac:dyDescent="0.3">
      <c r="A460" s="11"/>
      <c r="B460" s="11"/>
      <c r="D460" s="35"/>
      <c r="E460" s="36"/>
      <c r="F460" s="37"/>
      <c r="G460" s="38"/>
      <c r="H460" s="53"/>
      <c r="I460" s="40"/>
      <c r="J460" s="41"/>
      <c r="K460" s="39"/>
      <c r="L460" s="39"/>
      <c r="M460" s="39"/>
      <c r="N460" s="39" t="s">
        <v>74</v>
      </c>
      <c r="O460" s="42"/>
      <c r="P460" s="43"/>
    </row>
    <row r="461" spans="1:18" ht="15.75" customHeight="1" x14ac:dyDescent="0.3">
      <c r="A461" s="11"/>
      <c r="B461" s="11"/>
      <c r="D461" s="58" t="s">
        <v>4</v>
      </c>
      <c r="E461" s="55">
        <v>45605</v>
      </c>
      <c r="F461" s="37"/>
      <c r="G461" s="56">
        <v>0.16666666666666666</v>
      </c>
      <c r="H461" s="53"/>
      <c r="I461" s="40"/>
      <c r="J461" s="57" t="s">
        <v>7</v>
      </c>
      <c r="K461" s="48"/>
      <c r="L461" s="46"/>
      <c r="M461" s="46"/>
      <c r="N461" s="46" t="s">
        <v>74</v>
      </c>
      <c r="O461" s="51"/>
      <c r="P461" s="52"/>
      <c r="Q461" s="19"/>
      <c r="R461" s="18"/>
    </row>
    <row r="462" spans="1:18" ht="15.75" customHeight="1" x14ac:dyDescent="0.3">
      <c r="A462" s="11"/>
      <c r="B462" s="11"/>
      <c r="D462" s="58" t="s">
        <v>3</v>
      </c>
      <c r="E462" s="55">
        <v>45605</v>
      </c>
      <c r="F462" s="37"/>
      <c r="G462" s="56">
        <v>0.625</v>
      </c>
      <c r="H462" s="53">
        <f t="shared" ref="H462" si="151">IF((E462=0),"0",IF((E462=E461+1),(((24-INT(G461))+INT(G462))-1),(INT(G462)-INT(G461)-1))+((1-((G461-INT(G461))/0.6))+((G462-INT(G462))/0.6)))+(F462)</f>
        <v>0.76388888888888884</v>
      </c>
      <c r="I462" s="40"/>
      <c r="J462" s="57" t="s">
        <v>13</v>
      </c>
      <c r="K462" s="46">
        <v>22</v>
      </c>
      <c r="L462" s="46">
        <v>119.5</v>
      </c>
      <c r="M462" s="46">
        <f>IF(D462="eosp",L462/H462,"")</f>
        <v>156.43636363636364</v>
      </c>
      <c r="N462" s="46" t="s">
        <v>43</v>
      </c>
      <c r="O462" s="51">
        <v>0.42</v>
      </c>
      <c r="P462" s="52">
        <v>129</v>
      </c>
      <c r="Q462" s="20"/>
      <c r="R462" s="18"/>
    </row>
    <row r="463" spans="1:18" ht="15.75" customHeight="1" x14ac:dyDescent="0.3">
      <c r="A463" s="11"/>
      <c r="B463" s="11"/>
      <c r="D463" s="35"/>
      <c r="E463" s="36"/>
      <c r="F463" s="37"/>
      <c r="G463" s="38"/>
      <c r="H463" s="53"/>
      <c r="I463" s="40"/>
      <c r="J463" s="41"/>
      <c r="K463" s="39"/>
      <c r="L463" s="39"/>
      <c r="M463" s="39"/>
      <c r="N463" s="39" t="s">
        <v>74</v>
      </c>
      <c r="O463" s="42"/>
      <c r="P463" s="43"/>
      <c r="R463" s="18"/>
    </row>
    <row r="464" spans="1:18" ht="15.75" customHeight="1" x14ac:dyDescent="0.3">
      <c r="A464" s="11"/>
      <c r="B464" s="11"/>
      <c r="D464" s="54" t="s">
        <v>4</v>
      </c>
      <c r="E464" s="55">
        <v>45606</v>
      </c>
      <c r="F464" s="37"/>
      <c r="G464" s="56">
        <v>0.33333333333333331</v>
      </c>
      <c r="H464" s="53"/>
      <c r="I464" s="40"/>
      <c r="J464" s="57" t="s">
        <v>12</v>
      </c>
      <c r="K464" s="48"/>
      <c r="L464" s="46"/>
      <c r="M464" s="46"/>
      <c r="N464" s="46" t="s">
        <v>74</v>
      </c>
      <c r="O464" s="49"/>
      <c r="P464" s="50"/>
      <c r="Q464" s="18"/>
      <c r="R464" s="18"/>
    </row>
    <row r="465" spans="1:18" ht="15.75" customHeight="1" x14ac:dyDescent="0.3">
      <c r="A465" s="11"/>
      <c r="B465" s="11"/>
      <c r="D465" s="54" t="s">
        <v>3</v>
      </c>
      <c r="E465" s="55">
        <v>45606</v>
      </c>
      <c r="F465" s="37"/>
      <c r="G465" s="56">
        <v>0.8125</v>
      </c>
      <c r="H465" s="53">
        <f t="shared" ref="H465" si="152">IF((E465=0),"0",IF((E465=E464+1),(((24-INT(G464))+INT(G465))-1),(INT(G465)-INT(G464)-1))+((1-((G464-INT(G464))/0.6))+((G465-INT(G465))/0.6)))+(F465)</f>
        <v>0.79861111111111116</v>
      </c>
      <c r="I465" s="40"/>
      <c r="J465" s="57" t="s">
        <v>5</v>
      </c>
      <c r="K465" s="46">
        <v>21</v>
      </c>
      <c r="L465" s="46">
        <v>128.19999999999999</v>
      </c>
      <c r="M465" s="46">
        <f>IF(D465="eosp",L465/H465,"")</f>
        <v>160.52869565217389</v>
      </c>
      <c r="N465" s="46" t="s">
        <v>35</v>
      </c>
      <c r="O465" s="51">
        <v>0.39</v>
      </c>
      <c r="P465" s="52">
        <v>126</v>
      </c>
      <c r="Q465" s="16"/>
      <c r="R465" s="16"/>
    </row>
    <row r="466" spans="1:18" ht="15.75" customHeight="1" x14ac:dyDescent="0.3">
      <c r="A466" s="11"/>
      <c r="B466" s="11"/>
      <c r="D466" s="35"/>
      <c r="E466" s="36"/>
      <c r="F466" s="37"/>
      <c r="G466" s="38"/>
      <c r="H466" s="53"/>
      <c r="I466" s="40"/>
      <c r="J466" s="41"/>
      <c r="K466" s="39"/>
      <c r="L466" s="39"/>
      <c r="M466" s="39"/>
      <c r="N466" s="39" t="s">
        <v>74</v>
      </c>
      <c r="O466" s="42"/>
      <c r="P466" s="43"/>
    </row>
    <row r="467" spans="1:18" ht="15.75" customHeight="1" x14ac:dyDescent="0.3">
      <c r="A467" s="11"/>
      <c r="B467" s="11"/>
      <c r="D467" s="58" t="s">
        <v>4</v>
      </c>
      <c r="E467" s="55">
        <v>45607</v>
      </c>
      <c r="F467" s="37"/>
      <c r="G467" s="56">
        <v>0.98333333333333339</v>
      </c>
      <c r="H467" s="53"/>
      <c r="I467" s="40"/>
      <c r="J467" s="57" t="s">
        <v>7</v>
      </c>
      <c r="K467" s="48"/>
      <c r="L467" s="46"/>
      <c r="M467" s="46"/>
      <c r="N467" s="46" t="s">
        <v>74</v>
      </c>
      <c r="O467" s="51"/>
      <c r="P467" s="52"/>
      <c r="Q467" s="19"/>
      <c r="R467" s="18"/>
    </row>
    <row r="468" spans="1:18" ht="15.75" customHeight="1" x14ac:dyDescent="0.3">
      <c r="A468" s="11"/>
      <c r="B468" s="11"/>
      <c r="D468" s="58" t="s">
        <v>3</v>
      </c>
      <c r="E468" s="55">
        <v>45608</v>
      </c>
      <c r="F468" s="37"/>
      <c r="G468" s="56">
        <v>0.5</v>
      </c>
      <c r="H468" s="53">
        <f t="shared" ref="H468" si="153">IF((E468=0),"0",IF((E468=E467+1),(((24-INT(G467))+INT(G468))-1),(INT(G468)-INT(G467)-1))+((1-((G467-INT(G467))/0.6))+((G468-INT(G468))/0.6)))+(F468)</f>
        <v>23.194444444444443</v>
      </c>
      <c r="I468" s="40"/>
      <c r="J468" s="57" t="s">
        <v>13</v>
      </c>
      <c r="K468" s="46">
        <v>21.2</v>
      </c>
      <c r="L468" s="46">
        <v>130</v>
      </c>
      <c r="M468" s="46">
        <f>IF(D468="eosp",L468/H468,"")</f>
        <v>5.6047904191616773</v>
      </c>
      <c r="N468" s="46" t="s">
        <v>39</v>
      </c>
      <c r="O468" s="51">
        <v>0.42</v>
      </c>
      <c r="P468" s="52">
        <v>127</v>
      </c>
      <c r="Q468" s="20"/>
      <c r="R468" s="18"/>
    </row>
    <row r="469" spans="1:18" ht="15.75" customHeight="1" x14ac:dyDescent="0.3">
      <c r="A469" s="11"/>
      <c r="B469" s="11"/>
      <c r="D469" s="35"/>
      <c r="E469" s="36"/>
      <c r="F469" s="37"/>
      <c r="G469" s="38"/>
      <c r="H469" s="53"/>
      <c r="I469" s="40"/>
      <c r="J469" s="41"/>
      <c r="K469" s="39"/>
      <c r="L469" s="39"/>
      <c r="M469" s="39"/>
      <c r="N469" s="39" t="s">
        <v>74</v>
      </c>
      <c r="O469" s="42"/>
      <c r="P469" s="43"/>
      <c r="R469" s="18"/>
    </row>
    <row r="470" spans="1:18" ht="15.75" customHeight="1" x14ac:dyDescent="0.3">
      <c r="A470" s="11"/>
      <c r="B470" s="11"/>
      <c r="D470" s="54" t="s">
        <v>4</v>
      </c>
      <c r="E470" s="55">
        <v>45609</v>
      </c>
      <c r="F470" s="37"/>
      <c r="G470" s="56">
        <v>0.35416666666666669</v>
      </c>
      <c r="H470" s="53"/>
      <c r="I470" s="40"/>
      <c r="J470" s="57" t="s">
        <v>12</v>
      </c>
      <c r="K470" s="48"/>
      <c r="L470" s="46"/>
      <c r="M470" s="46"/>
      <c r="N470" s="46" t="s">
        <v>74</v>
      </c>
      <c r="O470" s="49"/>
      <c r="P470" s="50"/>
      <c r="Q470" s="18"/>
      <c r="R470" s="18"/>
    </row>
    <row r="471" spans="1:18" ht="15.75" customHeight="1" x14ac:dyDescent="0.3">
      <c r="A471" s="11"/>
      <c r="B471" s="11"/>
      <c r="D471" s="54" t="s">
        <v>3</v>
      </c>
      <c r="E471" s="55">
        <v>45609</v>
      </c>
      <c r="F471" s="37"/>
      <c r="G471" s="56">
        <v>0.82916666666666661</v>
      </c>
      <c r="H471" s="53">
        <f t="shared" ref="H471" si="154">IF((E471=0),"0",IF((E471=E470+1),(((24-INT(G470))+INT(G471))-1),(INT(G471)-INT(G470)-1))+((1-((G470-INT(G470))/0.6))+((G471-INT(G471))/0.6)))+(F471)</f>
        <v>0.79166666666666652</v>
      </c>
      <c r="I471" s="40"/>
      <c r="J471" s="57" t="s">
        <v>5</v>
      </c>
      <c r="K471" s="46">
        <v>18.2</v>
      </c>
      <c r="L471" s="46">
        <v>126.5</v>
      </c>
      <c r="M471" s="46">
        <f>IF(D471="eosp",L471/H471,"")</f>
        <v>159.78947368421055</v>
      </c>
      <c r="N471" s="46" t="s">
        <v>42</v>
      </c>
      <c r="O471" s="51">
        <v>0.41</v>
      </c>
      <c r="P471" s="52">
        <v>127</v>
      </c>
      <c r="Q471" s="16"/>
      <c r="R471" s="16"/>
    </row>
    <row r="472" spans="1:18" ht="15.75" customHeight="1" x14ac:dyDescent="0.3">
      <c r="A472" s="11"/>
      <c r="B472" s="11"/>
      <c r="D472" s="35"/>
      <c r="E472" s="36"/>
      <c r="F472" s="37"/>
      <c r="G472" s="38"/>
      <c r="H472" s="53"/>
      <c r="I472" s="40"/>
      <c r="J472" s="41"/>
      <c r="K472" s="39"/>
      <c r="L472" s="39"/>
      <c r="M472" s="39"/>
      <c r="N472" s="39" t="s">
        <v>74</v>
      </c>
      <c r="O472" s="42"/>
      <c r="P472" s="43"/>
    </row>
    <row r="473" spans="1:18" ht="15.75" customHeight="1" x14ac:dyDescent="0.3">
      <c r="A473" s="11"/>
      <c r="B473" s="11"/>
      <c r="D473" s="58" t="s">
        <v>4</v>
      </c>
      <c r="E473" s="55">
        <v>45613</v>
      </c>
      <c r="F473" s="37"/>
      <c r="G473" s="56">
        <v>0.72916666666666663</v>
      </c>
      <c r="H473" s="53"/>
      <c r="I473" s="40"/>
      <c r="J473" s="57" t="s">
        <v>7</v>
      </c>
      <c r="K473" s="48"/>
      <c r="L473" s="46"/>
      <c r="M473" s="46"/>
      <c r="N473" s="46" t="s">
        <v>74</v>
      </c>
      <c r="O473" s="51"/>
      <c r="P473" s="52"/>
      <c r="Q473" s="19"/>
      <c r="R473" s="18"/>
    </row>
    <row r="474" spans="1:18" ht="15" customHeight="1" x14ac:dyDescent="0.3">
      <c r="A474" s="11"/>
      <c r="B474" s="11"/>
      <c r="D474" s="58" t="s">
        <v>3</v>
      </c>
      <c r="E474" s="55">
        <v>45614</v>
      </c>
      <c r="F474" s="37"/>
      <c r="G474" s="56">
        <v>0.19999999999999998</v>
      </c>
      <c r="H474" s="53">
        <f t="shared" ref="H474" si="155">IF((E474=0),"0",IF((E474=E473+1),(((24-INT(G473))+INT(G474))-1),(INT(G474)-INT(G473)-1))+((1-((G473-INT(G473))/0.6))+((G474-INT(G474))/0.6)))+(F474)</f>
        <v>23.118055555555557</v>
      </c>
      <c r="I474" s="40"/>
      <c r="J474" s="57" t="s">
        <v>13</v>
      </c>
      <c r="K474" s="46">
        <v>26.1</v>
      </c>
      <c r="L474" s="46">
        <v>113.2</v>
      </c>
      <c r="M474" s="46">
        <f>IF(D474="eosp",L474/H474,"")</f>
        <v>4.8966055872634424</v>
      </c>
      <c r="N474" s="46" t="s">
        <v>42</v>
      </c>
      <c r="O474" s="51">
        <v>0.42</v>
      </c>
      <c r="P474" s="52">
        <v>127</v>
      </c>
      <c r="Q474" s="20"/>
      <c r="R474" s="18"/>
    </row>
    <row r="475" spans="1:18" ht="15.75" customHeight="1" x14ac:dyDescent="0.3">
      <c r="A475" s="11"/>
      <c r="B475" s="11"/>
      <c r="D475" s="35"/>
      <c r="E475" s="36"/>
      <c r="F475" s="37"/>
      <c r="G475" s="38"/>
      <c r="H475" s="53"/>
      <c r="I475" s="40"/>
      <c r="J475" s="41"/>
      <c r="K475" s="39"/>
      <c r="L475" s="39"/>
      <c r="M475" s="39"/>
      <c r="N475" s="39" t="s">
        <v>74</v>
      </c>
      <c r="O475" s="42"/>
      <c r="P475" s="43"/>
      <c r="R475" s="18"/>
    </row>
    <row r="476" spans="1:18" ht="15.75" customHeight="1" x14ac:dyDescent="0.3">
      <c r="A476" s="11"/>
      <c r="B476" s="11"/>
      <c r="D476" s="54" t="s">
        <v>4</v>
      </c>
      <c r="E476" s="55">
        <v>45615</v>
      </c>
      <c r="F476" s="37"/>
      <c r="G476" s="56">
        <v>4.1666666666666666E-3</v>
      </c>
      <c r="H476" s="53"/>
      <c r="I476" s="40"/>
      <c r="J476" s="57" t="s">
        <v>12</v>
      </c>
      <c r="K476" s="48"/>
      <c r="L476" s="46"/>
      <c r="M476" s="46"/>
      <c r="N476" s="46" t="s">
        <v>74</v>
      </c>
      <c r="O476" s="49"/>
      <c r="P476" s="50"/>
      <c r="Q476" s="18"/>
      <c r="R476" s="18"/>
    </row>
    <row r="477" spans="1:18" ht="15.75" customHeight="1" x14ac:dyDescent="0.3">
      <c r="A477" s="11"/>
      <c r="B477" s="11"/>
      <c r="D477" s="54" t="s">
        <v>3</v>
      </c>
      <c r="E477" s="55">
        <v>45615</v>
      </c>
      <c r="F477" s="37"/>
      <c r="G477" s="56">
        <v>0.45833333333333331</v>
      </c>
      <c r="H477" s="53">
        <f t="shared" ref="H477" si="156">IF((E477=0),"0",IF((E477=E476+1),(((24-INT(G476))+INT(G477))-1),(INT(G477)-INT(G476)-1))+((1-((G476-INT(G476))/0.6))+((G477-INT(G477))/0.6)))+(F477)</f>
        <v>0.75694444444444442</v>
      </c>
      <c r="I477" s="40"/>
      <c r="J477" s="57" t="s">
        <v>5</v>
      </c>
      <c r="K477" s="46">
        <v>14.1</v>
      </c>
      <c r="L477" s="46">
        <v>127.1</v>
      </c>
      <c r="M477" s="46">
        <f>IF(D477="eosp",L477/H477,"")</f>
        <v>167.91192660550459</v>
      </c>
      <c r="N477" s="46" t="s">
        <v>77</v>
      </c>
      <c r="O477" s="51">
        <v>0.42</v>
      </c>
      <c r="P477" s="52">
        <v>127</v>
      </c>
      <c r="Q477" s="16"/>
      <c r="R477" s="16"/>
    </row>
    <row r="478" spans="1:18" ht="15.75" customHeight="1" x14ac:dyDescent="0.3">
      <c r="A478" s="11"/>
      <c r="B478" s="11"/>
      <c r="D478" s="35"/>
      <c r="E478" s="36"/>
      <c r="F478" s="37"/>
      <c r="G478" s="38"/>
      <c r="H478" s="53"/>
      <c r="I478" s="40"/>
      <c r="J478" s="41"/>
      <c r="K478" s="39"/>
      <c r="L478" s="39"/>
      <c r="M478" s="39"/>
      <c r="N478" s="39" t="s">
        <v>74</v>
      </c>
      <c r="O478" s="42"/>
      <c r="P478" s="43"/>
    </row>
    <row r="479" spans="1:18" ht="15.75" customHeight="1" x14ac:dyDescent="0.3">
      <c r="A479" s="11"/>
      <c r="B479" s="11"/>
      <c r="D479" s="58" t="s">
        <v>4</v>
      </c>
      <c r="E479" s="55">
        <v>45616</v>
      </c>
      <c r="F479" s="37"/>
      <c r="G479" s="56">
        <v>0.31666666666666665</v>
      </c>
      <c r="H479" s="53"/>
      <c r="I479" s="40"/>
      <c r="J479" s="57" t="s">
        <v>7</v>
      </c>
      <c r="K479" s="48"/>
      <c r="L479" s="46"/>
      <c r="M479" s="46"/>
      <c r="N479" s="46" t="s">
        <v>74</v>
      </c>
      <c r="O479" s="51"/>
      <c r="P479" s="52"/>
      <c r="Q479" s="19"/>
      <c r="R479" s="18"/>
    </row>
    <row r="480" spans="1:18" ht="15.75" customHeight="1" x14ac:dyDescent="0.3">
      <c r="A480" s="11"/>
      <c r="B480" s="11"/>
      <c r="D480" s="58" t="s">
        <v>3</v>
      </c>
      <c r="E480" s="55">
        <v>45616</v>
      </c>
      <c r="F480" s="37"/>
      <c r="G480" s="56">
        <v>0.71250000000000002</v>
      </c>
      <c r="H480" s="53">
        <f t="shared" ref="H480" si="157">IF((E480=0),"0",IF((E480=E479+1),(((24-INT(G479))+INT(G480))-1),(INT(G480)-INT(G479)-1))+((1-((G479-INT(G479))/0.6))+((G480-INT(G480))/0.6)))+(F480)</f>
        <v>0.65972222222222232</v>
      </c>
      <c r="I480" s="40"/>
      <c r="J480" s="57" t="s">
        <v>13</v>
      </c>
      <c r="K480" s="46">
        <v>20.7</v>
      </c>
      <c r="L480" s="46">
        <v>116.2</v>
      </c>
      <c r="M480" s="46">
        <f>IF(D480="eosp",L480/H480,"")</f>
        <v>176.13473684210524</v>
      </c>
      <c r="N480" s="46" t="s">
        <v>71</v>
      </c>
      <c r="O480" s="51">
        <v>0.63</v>
      </c>
      <c r="P480" s="52">
        <v>127</v>
      </c>
      <c r="Q480" s="20"/>
      <c r="R480" s="18"/>
    </row>
    <row r="481" spans="1:18" ht="15.75" customHeight="1" x14ac:dyDescent="0.3">
      <c r="A481" s="11"/>
      <c r="B481" s="11"/>
      <c r="D481" s="35"/>
      <c r="E481" s="36"/>
      <c r="F481" s="37"/>
      <c r="G481" s="38"/>
      <c r="H481" s="53"/>
      <c r="I481" s="40"/>
      <c r="J481" s="41"/>
      <c r="K481" s="39"/>
      <c r="L481" s="39"/>
      <c r="M481" s="39"/>
      <c r="N481" s="39" t="s">
        <v>74</v>
      </c>
      <c r="O481" s="42"/>
      <c r="P481" s="43"/>
      <c r="R481" s="18"/>
    </row>
    <row r="482" spans="1:18" ht="15.75" customHeight="1" x14ac:dyDescent="0.3">
      <c r="A482" s="11"/>
      <c r="B482" s="11"/>
      <c r="D482" s="54" t="s">
        <v>4</v>
      </c>
      <c r="E482" s="55">
        <v>45617</v>
      </c>
      <c r="F482" s="37"/>
      <c r="G482" s="56">
        <v>0.4375</v>
      </c>
      <c r="H482" s="53"/>
      <c r="I482" s="40"/>
      <c r="J482" s="57" t="s">
        <v>12</v>
      </c>
      <c r="K482" s="48"/>
      <c r="L482" s="46"/>
      <c r="M482" s="46"/>
      <c r="N482" s="46" t="s">
        <v>74</v>
      </c>
      <c r="O482" s="49"/>
      <c r="P482" s="50"/>
      <c r="Q482" s="18"/>
      <c r="R482" s="18"/>
    </row>
    <row r="483" spans="1:18" ht="15.75" customHeight="1" x14ac:dyDescent="0.3">
      <c r="A483" s="11"/>
      <c r="B483" s="11"/>
      <c r="D483" s="54" t="s">
        <v>3</v>
      </c>
      <c r="E483" s="55">
        <v>45617</v>
      </c>
      <c r="F483" s="37"/>
      <c r="G483" s="56">
        <v>0.91666666666666663</v>
      </c>
      <c r="H483" s="53">
        <f t="shared" ref="H483" si="158">IF((E483=0),"0",IF((E483=E482+1),(((24-INT(G482))+INT(G483))-1),(INT(G483)-INT(G482)-1))+((1-((G482-INT(G482))/0.6))+((G483-INT(G483))/0.6)))+(F483)</f>
        <v>0.79861111111111094</v>
      </c>
      <c r="I483" s="40"/>
      <c r="J483" s="57" t="s">
        <v>5</v>
      </c>
      <c r="K483" s="46">
        <v>19.2</v>
      </c>
      <c r="L483" s="46">
        <v>125.3</v>
      </c>
      <c r="M483" s="46">
        <f>IF(D483="eosp",L483/H483,"")</f>
        <v>156.89739130434785</v>
      </c>
      <c r="N483" s="46" t="s">
        <v>77</v>
      </c>
      <c r="O483" s="51">
        <v>0.42</v>
      </c>
      <c r="P483" s="52">
        <v>127</v>
      </c>
      <c r="Q483" s="16"/>
      <c r="R483" s="16"/>
    </row>
    <row r="484" spans="1:18" ht="15.75" customHeight="1" x14ac:dyDescent="0.3">
      <c r="A484" s="11"/>
      <c r="B484" s="11"/>
      <c r="D484" s="35"/>
      <c r="E484" s="36"/>
      <c r="F484" s="37"/>
      <c r="G484" s="38"/>
      <c r="H484" s="53"/>
      <c r="I484" s="40"/>
      <c r="J484" s="41"/>
      <c r="K484" s="39"/>
      <c r="L484" s="39"/>
      <c r="M484" s="39"/>
      <c r="N484" s="39" t="s">
        <v>74</v>
      </c>
      <c r="O484" s="42"/>
      <c r="P484" s="43"/>
    </row>
    <row r="485" spans="1:18" ht="15.75" customHeight="1" x14ac:dyDescent="0.3">
      <c r="A485" s="11"/>
      <c r="B485" s="11"/>
      <c r="D485" s="58" t="s">
        <v>4</v>
      </c>
      <c r="E485" s="55">
        <v>45618</v>
      </c>
      <c r="F485" s="37"/>
      <c r="G485" s="56">
        <v>0.90416666666666667</v>
      </c>
      <c r="H485" s="53"/>
      <c r="I485" s="40"/>
      <c r="J485" s="57" t="s">
        <v>7</v>
      </c>
      <c r="K485" s="48"/>
      <c r="L485" s="46"/>
      <c r="M485" s="46"/>
      <c r="N485" s="46" t="s">
        <v>74</v>
      </c>
      <c r="O485" s="51"/>
      <c r="P485" s="52"/>
      <c r="Q485" s="19"/>
      <c r="R485" s="18"/>
    </row>
    <row r="486" spans="1:18" ht="15.75" customHeight="1" x14ac:dyDescent="0.3">
      <c r="A486" s="11"/>
      <c r="B486" s="11"/>
      <c r="D486" s="58" t="s">
        <v>3</v>
      </c>
      <c r="E486" s="55">
        <v>45619</v>
      </c>
      <c r="F486" s="37"/>
      <c r="G486" s="56">
        <v>0.41666666666666669</v>
      </c>
      <c r="H486" s="53">
        <f t="shared" ref="H486" si="159">IF((E486=0),"0",IF((E486=E485+1),(((24-INT(G485))+INT(G486))-1),(INT(G486)-INT(G485)-1))+((1-((G485-INT(G485))/0.6))+((G486-INT(G486))/0.6)))+(F486)</f>
        <v>23.1875</v>
      </c>
      <c r="I486" s="40"/>
      <c r="J486" s="57" t="s">
        <v>13</v>
      </c>
      <c r="K486" s="46">
        <v>26.7</v>
      </c>
      <c r="L486" s="46">
        <v>114.6</v>
      </c>
      <c r="M486" s="46">
        <f>IF(D486="eosp",L486/H486,"")</f>
        <v>4.9423180592991915</v>
      </c>
      <c r="N486" s="46" t="s">
        <v>42</v>
      </c>
      <c r="O486" s="51">
        <v>0.4</v>
      </c>
      <c r="P486" s="52">
        <v>125</v>
      </c>
      <c r="Q486" s="20"/>
      <c r="R486" s="18"/>
    </row>
    <row r="487" spans="1:18" ht="15.75" customHeight="1" x14ac:dyDescent="0.3">
      <c r="A487" s="11"/>
      <c r="B487" s="11"/>
      <c r="D487" s="35"/>
      <c r="E487" s="36"/>
      <c r="F487" s="37"/>
      <c r="G487" s="38"/>
      <c r="H487" s="53"/>
      <c r="I487" s="40"/>
      <c r="J487" s="41"/>
      <c r="K487" s="39"/>
      <c r="L487" s="39"/>
      <c r="M487" s="39"/>
      <c r="N487" s="39" t="s">
        <v>74</v>
      </c>
      <c r="O487" s="42"/>
      <c r="P487" s="43"/>
      <c r="R487" s="18"/>
    </row>
    <row r="488" spans="1:18" ht="15.75" customHeight="1" x14ac:dyDescent="0.3">
      <c r="A488" s="11"/>
      <c r="B488" s="11"/>
      <c r="D488" s="54" t="s">
        <v>4</v>
      </c>
      <c r="E488" s="55">
        <v>45620</v>
      </c>
      <c r="F488" s="37"/>
      <c r="G488" s="56">
        <v>0.34583333333333338</v>
      </c>
      <c r="H488" s="53"/>
      <c r="I488" s="40"/>
      <c r="J488" s="57" t="s">
        <v>12</v>
      </c>
      <c r="K488" s="48"/>
      <c r="L488" s="46"/>
      <c r="M488" s="46"/>
      <c r="N488" s="46" t="s">
        <v>74</v>
      </c>
      <c r="O488" s="49"/>
      <c r="P488" s="50"/>
      <c r="Q488" s="18"/>
      <c r="R488" s="18"/>
    </row>
    <row r="489" spans="1:18" ht="15.75" customHeight="1" x14ac:dyDescent="0.3">
      <c r="A489" s="11"/>
      <c r="B489" s="11"/>
      <c r="D489" s="54" t="s">
        <v>3</v>
      </c>
      <c r="E489" s="55">
        <v>45620</v>
      </c>
      <c r="F489" s="37"/>
      <c r="G489" s="56">
        <v>0.8666666666666667</v>
      </c>
      <c r="H489" s="53">
        <f t="shared" ref="H489" si="160">IF((E489=0),"0",IF((E489=E488+1),(((24-INT(G488))+INT(G489))-1),(INT(G489)-INT(G488)-1))+((1-((G488-INT(G488))/0.6))+((G489-INT(G489))/0.6)))+(F489)</f>
        <v>0.8680555555555558</v>
      </c>
      <c r="I489" s="40"/>
      <c r="J489" s="57" t="s">
        <v>5</v>
      </c>
      <c r="K489" s="46">
        <v>22</v>
      </c>
      <c r="L489" s="46">
        <v>126.6</v>
      </c>
      <c r="M489" s="46">
        <f>IF(D489="eosp",L489/H489,"")</f>
        <v>145.84319999999994</v>
      </c>
      <c r="N489" s="46" t="s">
        <v>38</v>
      </c>
      <c r="O489" s="51">
        <v>0.41</v>
      </c>
      <c r="P489" s="52">
        <v>125</v>
      </c>
      <c r="Q489" s="16"/>
      <c r="R489" s="16"/>
    </row>
    <row r="490" spans="1:18" ht="15.75" customHeight="1" x14ac:dyDescent="0.3">
      <c r="A490" s="11"/>
      <c r="B490" s="11"/>
      <c r="D490" s="35"/>
      <c r="E490" s="36"/>
      <c r="F490" s="37"/>
      <c r="G490" s="38"/>
      <c r="H490" s="53"/>
      <c r="I490" s="40"/>
      <c r="J490" s="41"/>
      <c r="K490" s="39"/>
      <c r="L490" s="39"/>
      <c r="M490" s="39"/>
      <c r="N490" s="39" t="s">
        <v>74</v>
      </c>
      <c r="O490" s="42"/>
      <c r="P490" s="43"/>
    </row>
    <row r="491" spans="1:18" ht="15.75" customHeight="1" x14ac:dyDescent="0.3">
      <c r="A491" s="11"/>
      <c r="B491" s="11"/>
      <c r="D491" s="58" t="s">
        <v>4</v>
      </c>
      <c r="E491" s="55">
        <v>45621</v>
      </c>
      <c r="F491" s="37"/>
      <c r="G491" s="56">
        <v>0.83750000000000002</v>
      </c>
      <c r="H491" s="53"/>
      <c r="I491" s="40"/>
      <c r="J491" s="57" t="s">
        <v>7</v>
      </c>
      <c r="K491" s="48"/>
      <c r="L491" s="46"/>
      <c r="M491" s="46"/>
      <c r="N491" s="46" t="s">
        <v>74</v>
      </c>
      <c r="O491" s="51"/>
      <c r="P491" s="52"/>
      <c r="Q491" s="19"/>
      <c r="R491" s="18"/>
    </row>
    <row r="492" spans="1:18" ht="15.75" customHeight="1" x14ac:dyDescent="0.3">
      <c r="A492" s="11"/>
      <c r="B492" s="11"/>
      <c r="D492" s="58" t="s">
        <v>3</v>
      </c>
      <c r="E492" s="55">
        <v>45622</v>
      </c>
      <c r="F492" s="37"/>
      <c r="G492" s="56">
        <v>0.35416666666666669</v>
      </c>
      <c r="H492" s="53">
        <f t="shared" ref="H492" si="161">IF((E492=0),"0",IF((E492=E491+1),(((24-INT(G491))+INT(G492))-1),(INT(G492)-INT(G491)-1))+((1-((G491-INT(G491))/0.6))+((G492-INT(G492))/0.6)))+(F492)</f>
        <v>23.194444444444443</v>
      </c>
      <c r="I492" s="40"/>
      <c r="J492" s="57" t="s">
        <v>13</v>
      </c>
      <c r="K492" s="46">
        <v>25.9</v>
      </c>
      <c r="L492" s="46">
        <v>117.7</v>
      </c>
      <c r="M492" s="46">
        <f>IF(D492="eosp",L492/H492,"")</f>
        <v>5.0744910179640721</v>
      </c>
      <c r="N492" s="46" t="s">
        <v>41</v>
      </c>
      <c r="O492" s="51">
        <v>0.41</v>
      </c>
      <c r="P492" s="52">
        <v>125</v>
      </c>
      <c r="Q492" s="20"/>
      <c r="R492" s="18"/>
    </row>
    <row r="493" spans="1:18" ht="15.75" customHeight="1" x14ac:dyDescent="0.3">
      <c r="A493" s="11"/>
      <c r="B493" s="11"/>
      <c r="D493" s="35"/>
      <c r="E493" s="36"/>
      <c r="F493" s="37"/>
      <c r="G493" s="38"/>
      <c r="H493" s="53"/>
      <c r="I493" s="40"/>
      <c r="J493" s="41"/>
      <c r="K493" s="39"/>
      <c r="L493" s="39"/>
      <c r="M493" s="39"/>
      <c r="N493" s="39" t="s">
        <v>74</v>
      </c>
      <c r="O493" s="42"/>
      <c r="P493" s="43"/>
      <c r="R493" s="18"/>
    </row>
    <row r="494" spans="1:18" ht="15.75" customHeight="1" x14ac:dyDescent="0.3">
      <c r="A494" s="11"/>
      <c r="B494" s="11"/>
      <c r="D494" s="54" t="s">
        <v>4</v>
      </c>
      <c r="E494" s="55">
        <v>45623</v>
      </c>
      <c r="F494" s="37"/>
      <c r="G494" s="56">
        <v>0.12916666666666668</v>
      </c>
      <c r="H494" s="53"/>
      <c r="I494" s="40"/>
      <c r="J494" s="57" t="s">
        <v>12</v>
      </c>
      <c r="K494" s="48"/>
      <c r="L494" s="46"/>
      <c r="M494" s="46"/>
      <c r="N494" s="46" t="s">
        <v>74</v>
      </c>
      <c r="O494" s="49"/>
      <c r="P494" s="50"/>
      <c r="Q494" s="18"/>
      <c r="R494" s="18"/>
    </row>
    <row r="495" spans="1:18" ht="15.75" customHeight="1" x14ac:dyDescent="0.3">
      <c r="A495" s="11"/>
      <c r="B495" s="11"/>
      <c r="D495" s="54" t="s">
        <v>3</v>
      </c>
      <c r="E495" s="55">
        <v>45623</v>
      </c>
      <c r="F495" s="37"/>
      <c r="G495" s="56">
        <v>0.58750000000000002</v>
      </c>
      <c r="H495" s="53">
        <f t="shared" ref="H495" si="162">IF((E495=0),"0",IF((E495=E494+1),(((24-INT(G494))+INT(G495))-1),(INT(G495)-INT(G494)-1))+((1-((G494-INT(G494))/0.6))+((G495-INT(G495))/0.6)))+(F495)</f>
        <v>0.76388888888888884</v>
      </c>
      <c r="I495" s="40"/>
      <c r="J495" s="57" t="s">
        <v>5</v>
      </c>
      <c r="K495" s="46">
        <v>22.4</v>
      </c>
      <c r="L495" s="46">
        <v>127.4</v>
      </c>
      <c r="M495" s="46">
        <f>IF(D495="eosp",L495/H495,"")</f>
        <v>166.77818181818185</v>
      </c>
      <c r="N495" s="46" t="s">
        <v>44</v>
      </c>
      <c r="O495" s="51">
        <v>0.45</v>
      </c>
      <c r="P495" s="52">
        <v>129</v>
      </c>
      <c r="Q495" s="16"/>
      <c r="R495" s="16"/>
    </row>
    <row r="496" spans="1:18" ht="15.75" customHeight="1" x14ac:dyDescent="0.3">
      <c r="A496" s="11"/>
      <c r="B496" s="11"/>
      <c r="D496" s="35"/>
      <c r="E496" s="36"/>
      <c r="F496" s="37"/>
      <c r="G496" s="38"/>
      <c r="H496" s="53"/>
      <c r="I496" s="40"/>
      <c r="J496" s="41"/>
      <c r="K496" s="39"/>
      <c r="L496" s="39"/>
      <c r="M496" s="39"/>
      <c r="N496" s="39" t="s">
        <v>74</v>
      </c>
      <c r="O496" s="42"/>
      <c r="P496" s="43"/>
    </row>
    <row r="497" spans="1:18" ht="15.75" customHeight="1" x14ac:dyDescent="0.3">
      <c r="A497" s="11"/>
      <c r="B497" s="11"/>
      <c r="D497" s="58" t="s">
        <v>4</v>
      </c>
      <c r="E497" s="55">
        <v>45624</v>
      </c>
      <c r="F497" s="37"/>
      <c r="G497" s="56">
        <v>0.5</v>
      </c>
      <c r="H497" s="53"/>
      <c r="I497" s="40"/>
      <c r="J497" s="57" t="s">
        <v>7</v>
      </c>
      <c r="K497" s="48"/>
      <c r="L497" s="46"/>
      <c r="M497" s="46"/>
      <c r="N497" s="46" t="s">
        <v>74</v>
      </c>
      <c r="O497" s="51"/>
      <c r="P497" s="52"/>
      <c r="Q497" s="19"/>
      <c r="R497" s="18"/>
    </row>
    <row r="498" spans="1:18" ht="15.75" customHeight="1" x14ac:dyDescent="0.3">
      <c r="A498" s="11"/>
      <c r="B498" s="11"/>
      <c r="D498" s="58" t="s">
        <v>3</v>
      </c>
      <c r="E498" s="55">
        <v>45625</v>
      </c>
      <c r="F498" s="37"/>
      <c r="G498" s="56">
        <v>0</v>
      </c>
      <c r="H498" s="53">
        <f t="shared" ref="H498" si="163">IF((E498=0),"0",IF((E498=E497+1),(((24-INT(G497))+INT(G498))-1),(INT(G498)-INT(G497)-1))+((1-((G497-INT(G497))/0.6))+((G498-INT(G498))/0.6)))+(F498)</f>
        <v>23.166666666666668</v>
      </c>
      <c r="I498" s="40"/>
      <c r="J498" s="57" t="s">
        <v>13</v>
      </c>
      <c r="K498" s="46">
        <v>26.2</v>
      </c>
      <c r="L498" s="46">
        <v>116.6</v>
      </c>
      <c r="M498" s="46">
        <f>IF(D498="eosp",L498/H498,"")</f>
        <v>5.0330935251798552</v>
      </c>
      <c r="N498" s="46" t="s">
        <v>38</v>
      </c>
      <c r="O498" s="51">
        <v>0.4</v>
      </c>
      <c r="P498" s="52">
        <v>125</v>
      </c>
      <c r="Q498" s="20"/>
      <c r="R498" s="18"/>
    </row>
    <row r="499" spans="1:18" ht="15.75" customHeight="1" x14ac:dyDescent="0.3">
      <c r="A499" s="11"/>
      <c r="B499" s="11"/>
      <c r="D499" s="35"/>
      <c r="E499" s="36"/>
      <c r="F499" s="37"/>
      <c r="G499" s="38"/>
      <c r="H499" s="53"/>
      <c r="I499" s="40"/>
      <c r="J499" s="41"/>
      <c r="K499" s="39"/>
      <c r="L499" s="39"/>
      <c r="M499" s="39"/>
      <c r="N499" s="39" t="s">
        <v>74</v>
      </c>
      <c r="O499" s="42"/>
      <c r="P499" s="43"/>
      <c r="R499" s="18"/>
    </row>
    <row r="500" spans="1:18" ht="15.75" customHeight="1" x14ac:dyDescent="0.3">
      <c r="A500" s="11"/>
      <c r="B500" s="11"/>
      <c r="D500" s="54" t="s">
        <v>4</v>
      </c>
      <c r="E500" s="55">
        <v>45625</v>
      </c>
      <c r="F500" s="37"/>
      <c r="G500" s="56">
        <v>0.8833333333333333</v>
      </c>
      <c r="H500" s="53"/>
      <c r="I500" s="40"/>
      <c r="J500" s="57" t="s">
        <v>12</v>
      </c>
      <c r="K500" s="48"/>
      <c r="L500" s="46"/>
      <c r="M500" s="46"/>
      <c r="N500" s="46" t="s">
        <v>74</v>
      </c>
      <c r="O500" s="49"/>
      <c r="P500" s="50"/>
      <c r="Q500" s="18"/>
      <c r="R500" s="18"/>
    </row>
    <row r="501" spans="1:18" ht="15.75" customHeight="1" x14ac:dyDescent="0.3">
      <c r="A501" s="11"/>
      <c r="B501" s="11"/>
      <c r="D501" s="54" t="s">
        <v>3</v>
      </c>
      <c r="E501" s="55">
        <v>45626</v>
      </c>
      <c r="F501" s="37"/>
      <c r="G501" s="56">
        <v>0.33333333333333331</v>
      </c>
      <c r="H501" s="53">
        <f t="shared" ref="H501" si="164">IF((E501=0),"0",IF((E501=E500+1),(((24-INT(G500))+INT(G501))-1),(INT(G501)-INT(G500)-1))+((1-((G500-INT(G500))/0.6))+((G501-INT(G501))/0.6)))+(F501)</f>
        <v>23.083333333333332</v>
      </c>
      <c r="I501" s="40"/>
      <c r="J501" s="57" t="s">
        <v>5</v>
      </c>
      <c r="K501" s="46">
        <v>24</v>
      </c>
      <c r="L501" s="46">
        <v>124.8</v>
      </c>
      <c r="M501" s="46">
        <f>IF(D501="eosp",L501/H501,"")</f>
        <v>5.4064981949458488</v>
      </c>
      <c r="N501" s="46" t="s">
        <v>49</v>
      </c>
      <c r="O501" s="51">
        <v>0.64</v>
      </c>
      <c r="P501" s="52">
        <v>127</v>
      </c>
      <c r="Q501" s="16"/>
      <c r="R501" s="18"/>
    </row>
    <row r="502" spans="1:18" ht="15.75" customHeight="1" x14ac:dyDescent="0.3">
      <c r="A502" s="11"/>
      <c r="B502" s="11"/>
      <c r="D502" s="35"/>
      <c r="E502" s="36"/>
      <c r="F502" s="37"/>
      <c r="G502" s="38"/>
      <c r="H502" s="53"/>
      <c r="I502" s="40"/>
      <c r="J502" s="41"/>
      <c r="K502" s="39"/>
      <c r="L502" s="39"/>
      <c r="M502" s="39"/>
      <c r="N502" s="39" t="s">
        <v>74</v>
      </c>
      <c r="O502" s="42"/>
      <c r="P502" s="43"/>
    </row>
    <row r="503" spans="1:18" ht="15.75" customHeight="1" x14ac:dyDescent="0.3">
      <c r="A503" s="11"/>
      <c r="B503" s="11"/>
      <c r="D503" s="58" t="s">
        <v>4</v>
      </c>
      <c r="E503" s="55">
        <v>45627</v>
      </c>
      <c r="F503" s="37"/>
      <c r="G503" s="56">
        <v>0.45416666666666666</v>
      </c>
      <c r="H503" s="53"/>
      <c r="I503" s="40"/>
      <c r="J503" s="57" t="s">
        <v>7</v>
      </c>
      <c r="K503" s="48"/>
      <c r="L503" s="46"/>
      <c r="M503" s="46"/>
      <c r="N503" s="46" t="s">
        <v>74</v>
      </c>
      <c r="O503" s="51"/>
      <c r="P503" s="52"/>
      <c r="Q503" s="19"/>
      <c r="R503" s="18"/>
    </row>
    <row r="504" spans="1:18" ht="15.75" customHeight="1" x14ac:dyDescent="0.3">
      <c r="A504" s="11"/>
      <c r="B504" s="11"/>
      <c r="D504" s="58" t="s">
        <v>3</v>
      </c>
      <c r="E504" s="55">
        <v>45627</v>
      </c>
      <c r="F504" s="37"/>
      <c r="G504" s="56">
        <v>0.95833333333333337</v>
      </c>
      <c r="H504" s="53">
        <f t="shared" ref="H504" si="165">IF((E504=0),"0",IF((E504=E503+1),(((24-INT(G503))+INT(G504))-1),(INT(G504)-INT(G503)-1))+((1-((G503-INT(G503))/0.6))+((G504-INT(G504))/0.6)))+(F504)</f>
        <v>0.8402777777777779</v>
      </c>
      <c r="I504" s="40"/>
      <c r="J504" s="57" t="s">
        <v>13</v>
      </c>
      <c r="K504" s="46">
        <v>26</v>
      </c>
      <c r="L504" s="46">
        <v>118.7</v>
      </c>
      <c r="M504" s="46">
        <f>IF(D504="eosp",L504/H504,"")</f>
        <v>141.26280991735536</v>
      </c>
      <c r="N504" s="46" t="s">
        <v>38</v>
      </c>
      <c r="O504" s="51">
        <v>0.45</v>
      </c>
      <c r="P504" s="52">
        <v>125</v>
      </c>
      <c r="Q504" s="20"/>
      <c r="R504" s="18"/>
    </row>
    <row r="505" spans="1:18" ht="15.75" customHeight="1" x14ac:dyDescent="0.3">
      <c r="A505" s="11"/>
      <c r="B505" s="11"/>
      <c r="D505" s="35"/>
      <c r="E505" s="36"/>
      <c r="F505" s="37"/>
      <c r="G505" s="38"/>
      <c r="H505" s="53"/>
      <c r="I505" s="40"/>
      <c r="J505" s="41"/>
      <c r="K505" s="39"/>
      <c r="L505" s="39"/>
      <c r="M505" s="39"/>
      <c r="N505" s="39" t="s">
        <v>74</v>
      </c>
      <c r="O505" s="42"/>
      <c r="P505" s="43"/>
      <c r="R505" s="18"/>
    </row>
    <row r="506" spans="1:18" ht="15.75" customHeight="1" x14ac:dyDescent="0.3">
      <c r="A506" s="11"/>
      <c r="B506" s="11"/>
      <c r="D506" s="54" t="s">
        <v>4</v>
      </c>
      <c r="E506" s="55">
        <v>45628</v>
      </c>
      <c r="F506" s="37"/>
      <c r="G506" s="56">
        <v>0.66249999999999998</v>
      </c>
      <c r="H506" s="53"/>
      <c r="I506" s="40"/>
      <c r="J506" s="57" t="s">
        <v>12</v>
      </c>
      <c r="K506" s="48"/>
      <c r="L506" s="46"/>
      <c r="M506" s="46"/>
      <c r="N506" s="46" t="s">
        <v>74</v>
      </c>
      <c r="O506" s="49"/>
      <c r="P506" s="50"/>
      <c r="Q506" s="18"/>
      <c r="R506" s="18"/>
    </row>
    <row r="507" spans="1:18" ht="15.75" customHeight="1" x14ac:dyDescent="0.3">
      <c r="A507" s="11"/>
      <c r="B507" s="11"/>
      <c r="D507" s="54" t="s">
        <v>3</v>
      </c>
      <c r="E507" s="55">
        <v>45629</v>
      </c>
      <c r="F507" s="37"/>
      <c r="G507" s="56">
        <v>0.17500000000000002</v>
      </c>
      <c r="H507" s="53">
        <f t="shared" ref="H507" si="166">IF((E507=0),"0",IF((E507=E506+1),(((24-INT(G506))+INT(G507))-1),(INT(G507)-INT(G506)-1))+((1-((G506-INT(G506))/0.6))+((G507-INT(G507))/0.6)))+(F507)</f>
        <v>23.1875</v>
      </c>
      <c r="I507" s="40"/>
      <c r="J507" s="57" t="s">
        <v>5</v>
      </c>
      <c r="K507" s="46">
        <v>17.399999999999999</v>
      </c>
      <c r="L507" s="46">
        <v>117.6</v>
      </c>
      <c r="M507" s="46">
        <f>IF(D507="eosp",L507/H507,"")</f>
        <v>5.0716981132075469</v>
      </c>
      <c r="N507" s="46" t="s">
        <v>42</v>
      </c>
      <c r="O507" s="51">
        <v>0.43</v>
      </c>
      <c r="P507" s="52">
        <v>125</v>
      </c>
      <c r="Q507" s="16"/>
      <c r="R507" s="16"/>
    </row>
    <row r="508" spans="1:18" ht="15.75" customHeight="1" x14ac:dyDescent="0.3">
      <c r="A508" s="11"/>
      <c r="B508" s="11"/>
      <c r="D508" s="35"/>
      <c r="E508" s="36"/>
      <c r="F508" s="37"/>
      <c r="G508" s="38"/>
      <c r="H508" s="53"/>
      <c r="I508" s="40"/>
      <c r="J508" s="41"/>
      <c r="K508" s="39"/>
      <c r="L508" s="39"/>
      <c r="M508" s="39"/>
      <c r="N508" s="39" t="s">
        <v>74</v>
      </c>
      <c r="O508" s="42"/>
      <c r="P508" s="43"/>
    </row>
    <row r="509" spans="1:18" ht="15" customHeight="1" x14ac:dyDescent="0.3">
      <c r="A509" s="11"/>
      <c r="B509" s="11"/>
      <c r="D509" s="58" t="s">
        <v>4</v>
      </c>
      <c r="E509" s="55">
        <v>45630</v>
      </c>
      <c r="F509" s="37"/>
      <c r="G509" s="56">
        <v>6.25E-2</v>
      </c>
      <c r="H509" s="53"/>
      <c r="I509" s="40"/>
      <c r="J509" s="57" t="s">
        <v>7</v>
      </c>
      <c r="K509" s="48"/>
      <c r="L509" s="46"/>
      <c r="M509" s="46"/>
      <c r="N509" s="46" t="s">
        <v>74</v>
      </c>
      <c r="O509" s="51"/>
      <c r="P509" s="52"/>
      <c r="Q509" s="19"/>
      <c r="R509" s="18"/>
    </row>
    <row r="510" spans="1:18" ht="15.75" customHeight="1" x14ac:dyDescent="0.3">
      <c r="A510" s="11"/>
      <c r="B510" s="11"/>
      <c r="D510" s="58" t="s">
        <v>3</v>
      </c>
      <c r="E510" s="55">
        <v>45630</v>
      </c>
      <c r="F510" s="37"/>
      <c r="G510" s="56">
        <v>0.5625</v>
      </c>
      <c r="H510" s="53">
        <f t="shared" ref="H510" si="167">IF((E510=0),"0",IF((E510=E509+1),(((24-INT(G509))+INT(G510))-1),(INT(G510)-INT(G509)-1))+((1-((G509-INT(G509))/0.6))+((G510-INT(G510))/0.6)))+(F510)</f>
        <v>0.83333333333333348</v>
      </c>
      <c r="I510" s="40"/>
      <c r="J510" s="57" t="s">
        <v>13</v>
      </c>
      <c r="K510" s="46">
        <v>26.6</v>
      </c>
      <c r="L510" s="46">
        <v>118</v>
      </c>
      <c r="M510" s="46">
        <f>IF(D510="eosp",L510/H510,"")</f>
        <v>141.59999999999997</v>
      </c>
      <c r="N510" s="46" t="s">
        <v>41</v>
      </c>
      <c r="O510" s="51">
        <v>0.42</v>
      </c>
      <c r="P510" s="52">
        <v>125</v>
      </c>
      <c r="Q510" s="20"/>
      <c r="R510" s="18"/>
    </row>
    <row r="511" spans="1:18" ht="15.75" customHeight="1" x14ac:dyDescent="0.3">
      <c r="A511" s="11"/>
      <c r="B511" s="11"/>
      <c r="D511" s="35"/>
      <c r="E511" s="36"/>
      <c r="F511" s="37"/>
      <c r="G511" s="38"/>
      <c r="H511" s="53"/>
      <c r="I511" s="40"/>
      <c r="J511" s="41"/>
      <c r="K511" s="39"/>
      <c r="L511" s="39"/>
      <c r="M511" s="39"/>
      <c r="N511" s="39" t="s">
        <v>74</v>
      </c>
      <c r="O511" s="42"/>
      <c r="P511" s="43"/>
      <c r="R511" s="18"/>
    </row>
    <row r="512" spans="1:18" ht="15.75" customHeight="1" x14ac:dyDescent="0.3">
      <c r="A512" s="11"/>
      <c r="B512" s="11"/>
      <c r="D512" s="54" t="s">
        <v>4</v>
      </c>
      <c r="E512" s="55">
        <v>45631</v>
      </c>
      <c r="F512" s="37"/>
      <c r="G512" s="56">
        <v>0.35416666666666669</v>
      </c>
      <c r="H512" s="53"/>
      <c r="I512" s="40"/>
      <c r="J512" s="57" t="s">
        <v>12</v>
      </c>
      <c r="K512" s="48"/>
      <c r="L512" s="46"/>
      <c r="M512" s="46"/>
      <c r="N512" s="46" t="s">
        <v>74</v>
      </c>
      <c r="O512" s="49"/>
      <c r="P512" s="50"/>
      <c r="Q512" s="18"/>
      <c r="R512" s="18"/>
    </row>
    <row r="513" spans="1:18" ht="15.75" customHeight="1" x14ac:dyDescent="0.3">
      <c r="A513" s="11"/>
      <c r="B513" s="11"/>
      <c r="D513" s="54" t="s">
        <v>3</v>
      </c>
      <c r="E513" s="55">
        <v>45631</v>
      </c>
      <c r="F513" s="37"/>
      <c r="G513" s="56">
        <v>0.82500000000000007</v>
      </c>
      <c r="H513" s="53">
        <f t="shared" ref="H513" si="168">IF((E513=0),"0",IF((E513=E512+1),(((24-INT(G512))+INT(G513))-1),(INT(G513)-INT(G512)-1))+((1-((G512-INT(G512))/0.6))+((G513-INT(G513))/0.6)))+(F513)</f>
        <v>0.78472222222222232</v>
      </c>
      <c r="I513" s="40"/>
      <c r="J513" s="57" t="s">
        <v>5</v>
      </c>
      <c r="K513" s="46">
        <v>19</v>
      </c>
      <c r="L513" s="46">
        <v>121.5</v>
      </c>
      <c r="M513" s="46">
        <f>IF(D513="eosp",L513/H513,"")</f>
        <v>154.83185840707964</v>
      </c>
      <c r="N513" s="46" t="s">
        <v>54</v>
      </c>
      <c r="O513" s="51">
        <v>0.41</v>
      </c>
      <c r="P513" s="52">
        <v>125</v>
      </c>
      <c r="Q513" s="16"/>
      <c r="R513" s="16"/>
    </row>
    <row r="514" spans="1:18" ht="15.75" customHeight="1" x14ac:dyDescent="0.3">
      <c r="A514" s="11"/>
      <c r="B514" s="11"/>
      <c r="D514" s="35"/>
      <c r="E514" s="36"/>
      <c r="F514" s="37"/>
      <c r="G514" s="38"/>
      <c r="H514" s="53"/>
      <c r="I514" s="40"/>
      <c r="J514" s="41"/>
      <c r="K514" s="39"/>
      <c r="L514" s="39"/>
      <c r="M514" s="39"/>
      <c r="N514" s="39" t="s">
        <v>74</v>
      </c>
      <c r="O514" s="42"/>
      <c r="P514" s="43"/>
    </row>
    <row r="515" spans="1:18" ht="15.75" customHeight="1" x14ac:dyDescent="0.3">
      <c r="A515" s="11"/>
      <c r="B515" s="11"/>
      <c r="D515" s="58" t="s">
        <v>4</v>
      </c>
      <c r="E515" s="55">
        <v>45632</v>
      </c>
      <c r="F515" s="37"/>
      <c r="G515" s="56">
        <v>0.76250000000000007</v>
      </c>
      <c r="H515" s="53"/>
      <c r="I515" s="40"/>
      <c r="J515" s="57" t="s">
        <v>7</v>
      </c>
      <c r="K515" s="48"/>
      <c r="L515" s="46"/>
      <c r="M515" s="46"/>
      <c r="N515" s="46" t="s">
        <v>74</v>
      </c>
      <c r="O515" s="51"/>
      <c r="P515" s="52"/>
      <c r="Q515" s="19"/>
      <c r="R515" s="18"/>
    </row>
    <row r="516" spans="1:18" ht="15.75" customHeight="1" x14ac:dyDescent="0.3">
      <c r="A516" s="11"/>
      <c r="B516" s="11"/>
      <c r="D516" s="58" t="s">
        <v>3</v>
      </c>
      <c r="E516" s="55">
        <v>45633</v>
      </c>
      <c r="F516" s="37"/>
      <c r="G516" s="56">
        <v>0.22500000000000001</v>
      </c>
      <c r="H516" s="53">
        <f t="shared" ref="H516" si="169">IF((E516=0),"0",IF((E516=E515+1),(((24-INT(G515))+INT(G516))-1),(INT(G516)-INT(G515)-1))+((1-((G515-INT(G515))/0.6))+((G516-INT(G516))/0.6)))+(F516)</f>
        <v>23.104166666666668</v>
      </c>
      <c r="I516" s="40"/>
      <c r="J516" s="57" t="s">
        <v>13</v>
      </c>
      <c r="K516" s="46">
        <v>20.9</v>
      </c>
      <c r="L516" s="46">
        <v>119.8</v>
      </c>
      <c r="M516" s="46">
        <f>IF(D516="eosp",L516/H516,"")</f>
        <v>5.1852119026149683</v>
      </c>
      <c r="N516" s="46" t="s">
        <v>41</v>
      </c>
      <c r="O516" s="51">
        <v>0.43</v>
      </c>
      <c r="P516" s="52">
        <v>128</v>
      </c>
      <c r="Q516" s="20"/>
      <c r="R516" s="18"/>
    </row>
    <row r="517" spans="1:18" ht="15.75" customHeight="1" x14ac:dyDescent="0.3">
      <c r="A517" s="11"/>
      <c r="B517" s="11"/>
      <c r="D517" s="35"/>
      <c r="E517" s="36"/>
      <c r="F517" s="37"/>
      <c r="G517" s="38"/>
      <c r="H517" s="53"/>
      <c r="I517" s="40"/>
      <c r="J517" s="41"/>
      <c r="K517" s="39"/>
      <c r="L517" s="39"/>
      <c r="M517" s="39"/>
      <c r="N517" s="39" t="s">
        <v>74</v>
      </c>
      <c r="O517" s="42"/>
      <c r="P517" s="43"/>
      <c r="R517" s="18"/>
    </row>
    <row r="518" spans="1:18" ht="15.75" customHeight="1" x14ac:dyDescent="0.3">
      <c r="A518" s="11"/>
      <c r="B518" s="11"/>
      <c r="D518" s="54" t="s">
        <v>4</v>
      </c>
      <c r="E518" s="55">
        <v>45633</v>
      </c>
      <c r="F518" s="37"/>
      <c r="G518" s="56">
        <v>0.85416666666666663</v>
      </c>
      <c r="H518" s="53"/>
      <c r="I518" s="40"/>
      <c r="J518" s="57" t="s">
        <v>12</v>
      </c>
      <c r="K518" s="48"/>
      <c r="L518" s="46"/>
      <c r="M518" s="46"/>
      <c r="N518" s="46" t="s">
        <v>74</v>
      </c>
      <c r="O518" s="49"/>
      <c r="P518" s="50"/>
      <c r="Q518" s="18"/>
      <c r="R518" s="18"/>
    </row>
    <row r="519" spans="1:18" ht="15.75" customHeight="1" x14ac:dyDescent="0.3">
      <c r="A519" s="11"/>
      <c r="B519" s="11"/>
      <c r="D519" s="54" t="s">
        <v>3</v>
      </c>
      <c r="E519" s="55">
        <v>45634</v>
      </c>
      <c r="F519" s="37"/>
      <c r="G519" s="56">
        <v>0.33333333333333331</v>
      </c>
      <c r="H519" s="53">
        <f t="shared" ref="H519" si="170">IF((E519=0),"0",IF((E519=E518+1),(((24-INT(G518))+INT(G519))-1),(INT(G519)-INT(G518)-1))+((1-((G518-INT(G518))/0.6))+((G519-INT(G519))/0.6)))+(F519)</f>
        <v>23.131944444444443</v>
      </c>
      <c r="I519" s="40"/>
      <c r="J519" s="57" t="s">
        <v>5</v>
      </c>
      <c r="K519" s="46">
        <v>20.399999999999999</v>
      </c>
      <c r="L519" s="46">
        <v>125.1</v>
      </c>
      <c r="M519" s="46">
        <f>IF(D519="eosp",L519/H519,"")</f>
        <v>5.4081056739717805</v>
      </c>
      <c r="N519" s="46" t="s">
        <v>44</v>
      </c>
      <c r="O519" s="51">
        <v>0.48</v>
      </c>
      <c r="P519" s="52">
        <v>129</v>
      </c>
      <c r="Q519" s="16"/>
      <c r="R519" s="16"/>
    </row>
    <row r="520" spans="1:18" ht="15.75" customHeight="1" x14ac:dyDescent="0.3">
      <c r="A520" s="11"/>
      <c r="B520" s="11"/>
      <c r="D520" s="35"/>
      <c r="E520" s="36"/>
      <c r="F520" s="37"/>
      <c r="G520" s="38"/>
      <c r="H520" s="53"/>
      <c r="I520" s="40"/>
      <c r="J520" s="41"/>
      <c r="K520" s="39"/>
      <c r="L520" s="39"/>
      <c r="M520" s="39"/>
      <c r="N520" s="39" t="s">
        <v>74</v>
      </c>
      <c r="O520" s="42"/>
      <c r="P520" s="43"/>
    </row>
    <row r="521" spans="1:18" ht="15.75" customHeight="1" x14ac:dyDescent="0.3">
      <c r="A521" s="11"/>
      <c r="B521" s="11"/>
      <c r="D521" s="58" t="s">
        <v>4</v>
      </c>
      <c r="E521" s="55">
        <v>45635</v>
      </c>
      <c r="F521" s="37"/>
      <c r="G521" s="56">
        <v>0.29166666666666669</v>
      </c>
      <c r="H521" s="53"/>
      <c r="I521" s="40"/>
      <c r="J521" s="57" t="s">
        <v>7</v>
      </c>
      <c r="K521" s="48"/>
      <c r="L521" s="46"/>
      <c r="M521" s="46"/>
      <c r="N521" s="46" t="s">
        <v>74</v>
      </c>
      <c r="O521" s="51"/>
      <c r="P521" s="52"/>
      <c r="Q521" s="19"/>
      <c r="R521" s="18"/>
    </row>
    <row r="522" spans="1:18" ht="15.75" customHeight="1" x14ac:dyDescent="0.3">
      <c r="A522" s="11"/>
      <c r="B522" s="11"/>
      <c r="D522" s="58" t="s">
        <v>3</v>
      </c>
      <c r="E522" s="55">
        <v>45635</v>
      </c>
      <c r="F522" s="37"/>
      <c r="G522" s="56">
        <v>0.75</v>
      </c>
      <c r="H522" s="53">
        <f t="shared" ref="H522" si="171">IF((E522=0),"0",IF((E522=E521+1),(((24-INT(G521))+INT(G522))-1),(INT(G522)-INT(G521)-1))+((1-((G521-INT(G521))/0.6))+((G522-INT(G522))/0.6)))+(F522)</f>
        <v>0.76388888888888884</v>
      </c>
      <c r="I522" s="40"/>
      <c r="J522" s="57" t="s">
        <v>13</v>
      </c>
      <c r="K522" s="46">
        <v>24.5</v>
      </c>
      <c r="L522" s="46">
        <v>119.4</v>
      </c>
      <c r="M522" s="46">
        <f>IF(D522="eosp",L522/H522,"")</f>
        <v>156.30545454545455</v>
      </c>
      <c r="N522" s="46" t="s">
        <v>56</v>
      </c>
      <c r="O522" s="51">
        <v>0.6</v>
      </c>
      <c r="P522" s="52">
        <v>127</v>
      </c>
      <c r="Q522" s="20"/>
      <c r="R522" s="18"/>
    </row>
    <row r="523" spans="1:18" ht="15.75" customHeight="1" x14ac:dyDescent="0.3">
      <c r="A523" s="11"/>
      <c r="B523" s="11"/>
      <c r="D523" s="35"/>
      <c r="E523" s="36"/>
      <c r="F523" s="37"/>
      <c r="G523" s="38"/>
      <c r="H523" s="53"/>
      <c r="I523" s="40"/>
      <c r="J523" s="41"/>
      <c r="K523" s="39"/>
      <c r="L523" s="39"/>
      <c r="M523" s="39"/>
      <c r="N523" s="39" t="s">
        <v>74</v>
      </c>
      <c r="O523" s="42"/>
      <c r="P523" s="43"/>
      <c r="R523" s="18"/>
    </row>
    <row r="524" spans="1:18" ht="15.75" customHeight="1" x14ac:dyDescent="0.3">
      <c r="A524" s="11"/>
      <c r="B524" s="11"/>
      <c r="D524" s="54" t="s">
        <v>4</v>
      </c>
      <c r="E524" s="55">
        <v>45636</v>
      </c>
      <c r="F524" s="37"/>
      <c r="G524" s="56">
        <v>0.60416666666666663</v>
      </c>
      <c r="H524" s="53"/>
      <c r="I524" s="40"/>
      <c r="J524" s="57" t="s">
        <v>12</v>
      </c>
      <c r="K524" s="48"/>
      <c r="L524" s="46"/>
      <c r="M524" s="46"/>
      <c r="N524" s="46" t="s">
        <v>74</v>
      </c>
      <c r="O524" s="49"/>
      <c r="P524" s="50"/>
      <c r="Q524" s="18"/>
      <c r="R524" s="18"/>
    </row>
    <row r="525" spans="1:18" ht="15.75" customHeight="1" x14ac:dyDescent="0.3">
      <c r="A525" s="11"/>
      <c r="B525" s="11"/>
      <c r="D525" s="54" t="s">
        <v>3</v>
      </c>
      <c r="E525" s="55">
        <v>45637</v>
      </c>
      <c r="F525" s="37"/>
      <c r="G525" s="56">
        <v>9.5833333333333326E-2</v>
      </c>
      <c r="H525" s="53">
        <f t="shared" ref="H525" si="172">IF((E525=0),"0",IF((E525=E524+1),(((24-INT(G524))+INT(G525))-1),(INT(G525)-INT(G524)-1))+((1-((G524-INT(G524))/0.6))+((G525-INT(G525))/0.6)))+(F525)</f>
        <v>23.152777777777779</v>
      </c>
      <c r="I525" s="40"/>
      <c r="J525" s="57" t="s">
        <v>5</v>
      </c>
      <c r="K525" s="46">
        <v>22</v>
      </c>
      <c r="L525" s="46">
        <v>121.3</v>
      </c>
      <c r="M525" s="46">
        <f>IF(D525="eosp",L525/H525,"")</f>
        <v>5.2391121775644871</v>
      </c>
      <c r="N525" s="46" t="s">
        <v>42</v>
      </c>
      <c r="O525" s="51">
        <v>0.41</v>
      </c>
      <c r="P525" s="52">
        <v>125</v>
      </c>
      <c r="Q525" s="16"/>
      <c r="R525" s="16"/>
    </row>
    <row r="526" spans="1:18" ht="15.75" customHeight="1" x14ac:dyDescent="0.3">
      <c r="A526" s="11"/>
      <c r="B526" s="11"/>
      <c r="D526" s="35"/>
      <c r="E526" s="36"/>
      <c r="F526" s="37"/>
      <c r="G526" s="38"/>
      <c r="H526" s="53"/>
      <c r="I526" s="40"/>
      <c r="J526" s="41"/>
      <c r="K526" s="39"/>
      <c r="L526" s="39"/>
      <c r="M526" s="39"/>
      <c r="N526" s="39" t="s">
        <v>74</v>
      </c>
      <c r="O526" s="42"/>
      <c r="P526" s="43"/>
    </row>
    <row r="527" spans="1:18" ht="15.75" customHeight="1" x14ac:dyDescent="0.3">
      <c r="A527" s="11"/>
      <c r="B527" s="11"/>
      <c r="D527" s="58" t="s">
        <v>4</v>
      </c>
      <c r="E527" s="55">
        <v>45638</v>
      </c>
      <c r="F527" s="37"/>
      <c r="G527" s="56">
        <v>0.3833333333333333</v>
      </c>
      <c r="H527" s="53"/>
      <c r="I527" s="40"/>
      <c r="J527" s="57" t="s">
        <v>7</v>
      </c>
      <c r="K527" s="48"/>
      <c r="L527" s="46"/>
      <c r="M527" s="46"/>
      <c r="N527" s="46" t="s">
        <v>74</v>
      </c>
      <c r="O527" s="51"/>
      <c r="P527" s="52"/>
      <c r="Q527" s="19"/>
      <c r="R527" s="18"/>
    </row>
    <row r="528" spans="1:18" ht="15.75" customHeight="1" x14ac:dyDescent="0.3">
      <c r="A528" s="11"/>
      <c r="B528" s="11"/>
      <c r="D528" s="58" t="s">
        <v>3</v>
      </c>
      <c r="E528" s="55">
        <v>45638</v>
      </c>
      <c r="F528" s="37"/>
      <c r="G528" s="56">
        <v>0.79166666666666663</v>
      </c>
      <c r="H528" s="53">
        <f t="shared" ref="H528" si="173">IF((E528=0),"0",IF((E528=E527+1),(((24-INT(G527))+INT(G528))-1),(INT(G528)-INT(G527)-1))+((1-((G527-INT(G527))/0.6))+((G528-INT(G528))/0.6)))+(F528)</f>
        <v>0.68055555555555558</v>
      </c>
      <c r="I528" s="40"/>
      <c r="J528" s="57" t="s">
        <v>13</v>
      </c>
      <c r="K528" s="46">
        <v>22</v>
      </c>
      <c r="L528" s="46">
        <v>116.7</v>
      </c>
      <c r="M528" s="46">
        <f>IF(D528="eosp",L528/H528,"")</f>
        <v>171.47755102040816</v>
      </c>
      <c r="N528" s="46" t="s">
        <v>51</v>
      </c>
      <c r="O528" s="51">
        <v>0.62</v>
      </c>
      <c r="P528" s="52">
        <v>143</v>
      </c>
      <c r="Q528" s="20"/>
      <c r="R528" s="18"/>
    </row>
    <row r="529" spans="1:18" ht="15.75" customHeight="1" x14ac:dyDescent="0.3">
      <c r="A529" s="11"/>
      <c r="B529" s="11"/>
      <c r="D529" s="35"/>
      <c r="E529" s="36"/>
      <c r="F529" s="37"/>
      <c r="G529" s="38"/>
      <c r="H529" s="53"/>
      <c r="I529" s="40"/>
      <c r="J529" s="41"/>
      <c r="K529" s="39"/>
      <c r="L529" s="39"/>
      <c r="M529" s="39"/>
      <c r="N529" s="39" t="s">
        <v>74</v>
      </c>
      <c r="O529" s="42"/>
      <c r="P529" s="43"/>
      <c r="R529" s="18"/>
    </row>
    <row r="530" spans="1:18" ht="15.75" customHeight="1" x14ac:dyDescent="0.3">
      <c r="A530" s="11"/>
      <c r="B530" s="11"/>
      <c r="D530" s="54" t="s">
        <v>4</v>
      </c>
      <c r="E530" s="55">
        <v>45639</v>
      </c>
      <c r="F530" s="37"/>
      <c r="G530" s="56">
        <v>0.78333333333333333</v>
      </c>
      <c r="H530" s="53"/>
      <c r="I530" s="40"/>
      <c r="J530" s="57" t="s">
        <v>12</v>
      </c>
      <c r="K530" s="48"/>
      <c r="L530" s="46"/>
      <c r="M530" s="46"/>
      <c r="N530" s="46" t="s">
        <v>74</v>
      </c>
      <c r="O530" s="49"/>
      <c r="P530" s="50"/>
      <c r="Q530" s="18"/>
      <c r="R530" s="18"/>
    </row>
    <row r="531" spans="1:18" ht="15.75" customHeight="1" x14ac:dyDescent="0.3">
      <c r="A531" s="11"/>
      <c r="B531" s="11"/>
      <c r="D531" s="54" t="s">
        <v>3</v>
      </c>
      <c r="E531" s="55">
        <v>45640</v>
      </c>
      <c r="F531" s="37"/>
      <c r="G531" s="56">
        <v>0.22916666666666666</v>
      </c>
      <c r="H531" s="53">
        <f t="shared" ref="H531" si="174">IF((E531=0),"0",IF((E531=E530+1),(((24-INT(G530))+INT(G531))-1),(INT(G531)-INT(G530)-1))+((1-((G530-INT(G530))/0.6))+((G531-INT(G531))/0.6)))+(F531)</f>
        <v>23.076388888888889</v>
      </c>
      <c r="I531" s="40"/>
      <c r="J531" s="57" t="s">
        <v>5</v>
      </c>
      <c r="K531" s="46">
        <v>16.5</v>
      </c>
      <c r="L531" s="46">
        <v>120.7</v>
      </c>
      <c r="M531" s="46">
        <f>IF(D531="eosp",L531/H531,"")</f>
        <v>5.2304544086668674</v>
      </c>
      <c r="N531" s="46" t="s">
        <v>42</v>
      </c>
      <c r="O531" s="51">
        <v>0.45</v>
      </c>
      <c r="P531" s="52">
        <v>127</v>
      </c>
      <c r="Q531" s="16"/>
      <c r="R531" s="16"/>
    </row>
    <row r="532" spans="1:18" ht="15.75" customHeight="1" x14ac:dyDescent="0.3">
      <c r="A532" s="11"/>
      <c r="B532" s="11"/>
      <c r="D532" s="35"/>
      <c r="E532" s="36"/>
      <c r="F532" s="37"/>
      <c r="G532" s="38"/>
      <c r="H532" s="53"/>
      <c r="I532" s="40"/>
      <c r="J532" s="41"/>
      <c r="K532" s="39"/>
      <c r="L532" s="39"/>
      <c r="M532" s="39"/>
      <c r="N532" s="39" t="s">
        <v>74</v>
      </c>
      <c r="O532" s="42"/>
      <c r="P532" s="43"/>
    </row>
    <row r="533" spans="1:18" ht="15.75" customHeight="1" x14ac:dyDescent="0.3">
      <c r="A533" s="11"/>
      <c r="B533" s="11"/>
      <c r="D533" s="58" t="s">
        <v>4</v>
      </c>
      <c r="E533" s="55">
        <v>45640</v>
      </c>
      <c r="F533" s="37"/>
      <c r="G533" s="56">
        <v>0.97916666666666663</v>
      </c>
      <c r="H533" s="53"/>
      <c r="I533" s="40"/>
      <c r="J533" s="57" t="s">
        <v>7</v>
      </c>
      <c r="K533" s="48"/>
      <c r="L533" s="46"/>
      <c r="M533" s="46"/>
      <c r="N533" s="46" t="s">
        <v>74</v>
      </c>
      <c r="O533" s="51"/>
      <c r="P533" s="52"/>
      <c r="Q533" s="19"/>
      <c r="R533" s="18"/>
    </row>
    <row r="534" spans="1:18" ht="15.75" customHeight="1" x14ac:dyDescent="0.3">
      <c r="A534" s="11"/>
      <c r="B534" s="11"/>
      <c r="D534" s="58" t="s">
        <v>3</v>
      </c>
      <c r="E534" s="55">
        <v>45641</v>
      </c>
      <c r="F534" s="37"/>
      <c r="G534" s="56">
        <v>0.5</v>
      </c>
      <c r="H534" s="53">
        <f t="shared" ref="H534" si="175">IF((E534=0),"0",IF((E534=E533+1),(((24-INT(G533))+INT(G534))-1),(INT(G534)-INT(G533)-1))+((1-((G533-INT(G533))/0.6))+((G534-INT(G534))/0.6)))+(F534)</f>
        <v>23.201388888888889</v>
      </c>
      <c r="I534" s="40"/>
      <c r="J534" s="57" t="s">
        <v>13</v>
      </c>
      <c r="K534" s="46">
        <v>28.3</v>
      </c>
      <c r="L534" s="46">
        <v>120.3</v>
      </c>
      <c r="M534" s="46">
        <f>IF(D534="eosp",L534/H534,"")</f>
        <v>5.1850344208320864</v>
      </c>
      <c r="N534" s="46" t="s">
        <v>44</v>
      </c>
      <c r="O534" s="51">
        <v>0.43</v>
      </c>
      <c r="P534" s="52">
        <v>126</v>
      </c>
      <c r="Q534" s="20"/>
      <c r="R534" s="18"/>
    </row>
    <row r="535" spans="1:18" ht="15.75" customHeight="1" x14ac:dyDescent="0.3">
      <c r="A535" s="11"/>
      <c r="B535" s="11"/>
      <c r="D535" s="35"/>
      <c r="E535" s="36"/>
      <c r="F535" s="37"/>
      <c r="G535" s="38"/>
      <c r="H535" s="53"/>
      <c r="I535" s="40"/>
      <c r="J535" s="41"/>
      <c r="K535" s="39"/>
      <c r="L535" s="39"/>
      <c r="M535" s="39"/>
      <c r="N535" s="39" t="s">
        <v>74</v>
      </c>
      <c r="O535" s="42"/>
      <c r="P535" s="43"/>
      <c r="R535" s="18"/>
    </row>
    <row r="536" spans="1:18" ht="15.75" customHeight="1" x14ac:dyDescent="0.3">
      <c r="A536" s="11"/>
      <c r="B536" s="11"/>
      <c r="D536" s="54" t="s">
        <v>4</v>
      </c>
      <c r="E536" s="55">
        <v>45642</v>
      </c>
      <c r="F536" s="37"/>
      <c r="G536" s="56">
        <v>0.65</v>
      </c>
      <c r="H536" s="53"/>
      <c r="I536" s="40"/>
      <c r="J536" s="57" t="s">
        <v>12</v>
      </c>
      <c r="K536" s="48"/>
      <c r="L536" s="46"/>
      <c r="M536" s="46"/>
      <c r="N536" s="46" t="s">
        <v>74</v>
      </c>
      <c r="O536" s="49"/>
      <c r="P536" s="50"/>
      <c r="Q536" s="18"/>
      <c r="R536" s="18"/>
    </row>
    <row r="537" spans="1:18" ht="15.75" customHeight="1" x14ac:dyDescent="0.3">
      <c r="A537" s="11"/>
      <c r="B537" s="11"/>
      <c r="D537" s="54" t="s">
        <v>3</v>
      </c>
      <c r="E537" s="55">
        <v>45643</v>
      </c>
      <c r="F537" s="37"/>
      <c r="G537" s="56">
        <v>0.15833333333333333</v>
      </c>
      <c r="H537" s="53">
        <f t="shared" ref="H537" si="176">IF((E537=0),"0",IF((E537=E536+1),(((24-INT(G536))+INT(G537))-1),(INT(G537)-INT(G536)-1))+((1-((G536-INT(G536))/0.6))+((G537-INT(G537))/0.6)))+(F537)</f>
        <v>23.180555555555557</v>
      </c>
      <c r="I537" s="40"/>
      <c r="J537" s="57" t="s">
        <v>5</v>
      </c>
      <c r="K537" s="46">
        <v>25.8</v>
      </c>
      <c r="L537" s="46">
        <v>120.5</v>
      </c>
      <c r="M537" s="46">
        <f>IF(D537="eosp",L537/H537,"")</f>
        <v>5.1983223487118035</v>
      </c>
      <c r="N537" s="46" t="s">
        <v>39</v>
      </c>
      <c r="O537" s="51">
        <v>0.43</v>
      </c>
      <c r="P537" s="52">
        <v>125</v>
      </c>
      <c r="Q537" s="16"/>
      <c r="R537" s="16"/>
    </row>
    <row r="538" spans="1:18" ht="15.75" customHeight="1" x14ac:dyDescent="0.3">
      <c r="A538" s="11"/>
      <c r="B538" s="11"/>
      <c r="D538" s="35"/>
      <c r="E538" s="36"/>
      <c r="F538" s="37"/>
      <c r="G538" s="38"/>
      <c r="H538" s="53"/>
      <c r="I538" s="40"/>
      <c r="J538" s="41"/>
      <c r="K538" s="39"/>
      <c r="L538" s="39"/>
      <c r="M538" s="39"/>
      <c r="N538" s="39" t="s">
        <v>74</v>
      </c>
      <c r="O538" s="42"/>
      <c r="P538" s="43"/>
    </row>
    <row r="539" spans="1:18" ht="15.75" customHeight="1" x14ac:dyDescent="0.3">
      <c r="A539" s="11"/>
      <c r="B539" s="11"/>
      <c r="D539" s="58" t="s">
        <v>4</v>
      </c>
      <c r="E539" s="55">
        <v>45647</v>
      </c>
      <c r="F539" s="37"/>
      <c r="G539" s="56">
        <v>2.0833333333333332E-2</v>
      </c>
      <c r="H539" s="53"/>
      <c r="I539" s="40"/>
      <c r="J539" s="57" t="s">
        <v>7</v>
      </c>
      <c r="K539" s="48"/>
      <c r="L539" s="46"/>
      <c r="M539" s="46"/>
      <c r="N539" s="46" t="s">
        <v>74</v>
      </c>
      <c r="O539" s="51"/>
      <c r="P539" s="52"/>
      <c r="Q539" s="19"/>
      <c r="R539" s="18"/>
    </row>
    <row r="540" spans="1:18" ht="15.75" customHeight="1" x14ac:dyDescent="0.3">
      <c r="A540" s="11"/>
      <c r="B540" s="11"/>
      <c r="D540" s="58" t="s">
        <v>3</v>
      </c>
      <c r="E540" s="55">
        <v>45647</v>
      </c>
      <c r="F540" s="37"/>
      <c r="G540" s="56">
        <v>0.5</v>
      </c>
      <c r="H540" s="53">
        <f t="shared" ref="H540" si="177">IF((E540=0),"0",IF((E540=E539+1),(((24-INT(G539))+INT(G540))-1),(INT(G540)-INT(G539)-1))+((1-((G539-INT(G539))/0.6))+((G540-INT(G540))/0.6)))+(F540)</f>
        <v>0.79861111111111116</v>
      </c>
      <c r="I540" s="40"/>
      <c r="J540" s="57" t="s">
        <v>13</v>
      </c>
      <c r="K540" s="46">
        <v>27.9</v>
      </c>
      <c r="L540" s="46">
        <v>108.8</v>
      </c>
      <c r="M540" s="46">
        <f>IF(D540="eosp",L540/H540,"")</f>
        <v>136.23652173913041</v>
      </c>
      <c r="N540" s="46" t="s">
        <v>40</v>
      </c>
      <c r="O540" s="51">
        <v>0.4</v>
      </c>
      <c r="P540" s="52">
        <v>127</v>
      </c>
      <c r="Q540" s="20"/>
      <c r="R540" s="18"/>
    </row>
    <row r="541" spans="1:18" ht="15.75" customHeight="1" x14ac:dyDescent="0.3">
      <c r="A541" s="11"/>
      <c r="B541" s="11"/>
      <c r="D541" s="35"/>
      <c r="E541" s="36"/>
      <c r="F541" s="37"/>
      <c r="G541" s="38"/>
      <c r="H541" s="53"/>
      <c r="I541" s="40"/>
      <c r="J541" s="41"/>
      <c r="K541" s="39"/>
      <c r="L541" s="39"/>
      <c r="M541" s="39"/>
      <c r="N541" s="39" t="s">
        <v>74</v>
      </c>
      <c r="O541" s="42"/>
      <c r="P541" s="43"/>
      <c r="R541" s="18"/>
    </row>
    <row r="542" spans="1:18" ht="15.75" customHeight="1" x14ac:dyDescent="0.3">
      <c r="A542" s="11"/>
      <c r="B542" s="11"/>
      <c r="D542" s="54" t="s">
        <v>4</v>
      </c>
      <c r="E542" s="55">
        <v>45648</v>
      </c>
      <c r="F542" s="37"/>
      <c r="G542" s="56">
        <v>0.23750000000000002</v>
      </c>
      <c r="H542" s="53"/>
      <c r="I542" s="40"/>
      <c r="J542" s="57" t="s">
        <v>12</v>
      </c>
      <c r="K542" s="48"/>
      <c r="L542" s="46"/>
      <c r="M542" s="46"/>
      <c r="N542" s="46" t="s">
        <v>74</v>
      </c>
      <c r="O542" s="49"/>
      <c r="P542" s="50"/>
      <c r="Q542" s="18"/>
      <c r="R542" s="18"/>
    </row>
    <row r="543" spans="1:18" ht="15.75" customHeight="1" x14ac:dyDescent="0.3">
      <c r="A543" s="11"/>
      <c r="B543" s="11"/>
      <c r="D543" s="54" t="s">
        <v>3</v>
      </c>
      <c r="E543" s="55">
        <v>45648</v>
      </c>
      <c r="F543" s="37"/>
      <c r="G543" s="56">
        <v>0.7583333333333333</v>
      </c>
      <c r="H543" s="53">
        <f t="shared" ref="H543" si="178">IF((E543=0),"0",IF((E543=E542+1),(((24-INT(G542))+INT(G543))-1),(INT(G543)-INT(G542)-1))+((1-((G542-INT(G542))/0.6))+((G543-INT(G543))/0.6)))+(F543)</f>
        <v>0.86805555555555536</v>
      </c>
      <c r="I543" s="40"/>
      <c r="J543" s="57" t="s">
        <v>5</v>
      </c>
      <c r="K543" s="46">
        <v>25</v>
      </c>
      <c r="L543" s="46">
        <v>126.5</v>
      </c>
      <c r="M543" s="46">
        <f>IF(D543="eosp",L543/H543,"")</f>
        <v>145.72800000000004</v>
      </c>
      <c r="N543" s="46" t="s">
        <v>48</v>
      </c>
      <c r="O543" s="51">
        <v>0.53</v>
      </c>
      <c r="P543" s="52">
        <v>127</v>
      </c>
      <c r="Q543" s="16"/>
      <c r="R543" s="16"/>
    </row>
    <row r="544" spans="1:18" ht="15.75" customHeight="1" x14ac:dyDescent="0.3">
      <c r="A544" s="11"/>
      <c r="B544" s="11"/>
      <c r="D544" s="35"/>
      <c r="E544" s="36"/>
      <c r="F544" s="37"/>
      <c r="G544" s="38"/>
      <c r="H544" s="53"/>
      <c r="I544" s="40"/>
      <c r="J544" s="41"/>
      <c r="K544" s="39"/>
      <c r="L544" s="39"/>
      <c r="M544" s="39"/>
      <c r="N544" s="39" t="s">
        <v>74</v>
      </c>
      <c r="O544" s="42"/>
      <c r="P544" s="43"/>
    </row>
    <row r="545" spans="1:18" ht="15.75" customHeight="1" x14ac:dyDescent="0.3">
      <c r="A545" s="11"/>
      <c r="B545" s="11"/>
      <c r="D545" s="58" t="s">
        <v>4</v>
      </c>
      <c r="E545" s="55">
        <v>45649</v>
      </c>
      <c r="F545" s="37"/>
      <c r="G545" s="56">
        <v>0.5</v>
      </c>
      <c r="H545" s="53"/>
      <c r="I545" s="40"/>
      <c r="J545" s="57" t="s">
        <v>7</v>
      </c>
      <c r="K545" s="48"/>
      <c r="L545" s="46"/>
      <c r="M545" s="46"/>
      <c r="N545" s="46" t="s">
        <v>74</v>
      </c>
      <c r="O545" s="51"/>
      <c r="P545" s="52"/>
      <c r="Q545" s="19"/>
      <c r="R545" s="18"/>
    </row>
    <row r="546" spans="1:18" ht="15.75" customHeight="1" x14ac:dyDescent="0.3">
      <c r="A546" s="11"/>
      <c r="B546" s="11"/>
      <c r="D546" s="58" t="s">
        <v>3</v>
      </c>
      <c r="E546" s="55">
        <v>45649</v>
      </c>
      <c r="F546" s="37"/>
      <c r="G546" s="56">
        <v>0.90833333333333333</v>
      </c>
      <c r="H546" s="53">
        <f t="shared" ref="H546" si="179">IF((E546=0),"0",IF((E546=E545+1),(((24-INT(G545))+INT(G546))-1),(INT(G546)-INT(G545)-1))+((1-((G545-INT(G545))/0.6))+((G546-INT(G546))/0.6)))+(F546)</f>
        <v>0.68055555555555536</v>
      </c>
      <c r="I546" s="40"/>
      <c r="J546" s="57" t="s">
        <v>13</v>
      </c>
      <c r="K546" s="46">
        <v>22.5</v>
      </c>
      <c r="L546" s="46">
        <v>105.7</v>
      </c>
      <c r="M546" s="46">
        <f>IF(D546="eosp",L546/H546,"")</f>
        <v>155.31428571428577</v>
      </c>
      <c r="N546" s="46" t="s">
        <v>40</v>
      </c>
      <c r="O546" s="51">
        <v>0.53</v>
      </c>
      <c r="P546" s="52">
        <v>127</v>
      </c>
      <c r="Q546" s="20"/>
      <c r="R546" s="18"/>
    </row>
    <row r="547" spans="1:18" ht="15.75" customHeight="1" x14ac:dyDescent="0.3">
      <c r="A547" s="11"/>
      <c r="B547" s="11"/>
      <c r="D547" s="35"/>
      <c r="E547" s="36"/>
      <c r="F547" s="37"/>
      <c r="G547" s="38"/>
      <c r="H547" s="53"/>
      <c r="I547" s="40"/>
      <c r="J547" s="41"/>
      <c r="K547" s="39"/>
      <c r="L547" s="39"/>
      <c r="M547" s="39"/>
      <c r="N547" s="39" t="s">
        <v>74</v>
      </c>
      <c r="O547" s="42"/>
      <c r="P547" s="43"/>
      <c r="R547" s="18"/>
    </row>
    <row r="548" spans="1:18" ht="15.75" customHeight="1" x14ac:dyDescent="0.3">
      <c r="A548" s="11"/>
      <c r="B548" s="11"/>
      <c r="D548" s="54" t="s">
        <v>4</v>
      </c>
      <c r="E548" s="55">
        <v>45650</v>
      </c>
      <c r="F548" s="37"/>
      <c r="G548" s="56">
        <v>0.625</v>
      </c>
      <c r="H548" s="53"/>
      <c r="I548" s="40"/>
      <c r="J548" s="57" t="s">
        <v>12</v>
      </c>
      <c r="K548" s="48"/>
      <c r="L548" s="46"/>
      <c r="M548" s="46"/>
      <c r="N548" s="46" t="s">
        <v>74</v>
      </c>
      <c r="O548" s="49"/>
      <c r="P548" s="50"/>
      <c r="Q548" s="18"/>
      <c r="R548" s="18"/>
    </row>
    <row r="549" spans="1:18" ht="15.75" customHeight="1" x14ac:dyDescent="0.3">
      <c r="A549" s="11"/>
      <c r="B549" s="11"/>
      <c r="D549" s="54" t="s">
        <v>3</v>
      </c>
      <c r="E549" s="55">
        <v>45651</v>
      </c>
      <c r="F549" s="37"/>
      <c r="G549" s="56">
        <v>8.3333333333333329E-2</v>
      </c>
      <c r="H549" s="53">
        <f t="shared" ref="H549" si="180">IF((E549=0),"0",IF((E549=E548+1),(((24-INT(G548))+INT(G549))-1),(INT(G549)-INT(G548)-1))+((1-((G548-INT(G548))/0.6))+((G549-INT(G549))/0.6)))+(F549)</f>
        <v>23.097222222222221</v>
      </c>
      <c r="I549" s="40"/>
      <c r="J549" s="57" t="s">
        <v>5</v>
      </c>
      <c r="K549" s="46">
        <v>20.100000000000001</v>
      </c>
      <c r="L549" s="46">
        <v>115.5</v>
      </c>
      <c r="M549" s="46">
        <f>IF(D549="eosp",L549/H549,"")</f>
        <v>5.0006013229104029</v>
      </c>
      <c r="N549" s="46" t="s">
        <v>36</v>
      </c>
      <c r="O549" s="51">
        <v>0.42</v>
      </c>
      <c r="P549" s="52">
        <v>124</v>
      </c>
      <c r="Q549" s="16"/>
      <c r="R549" s="16"/>
    </row>
    <row r="550" spans="1:18" ht="15.75" customHeight="1" x14ac:dyDescent="0.3">
      <c r="A550" s="11"/>
      <c r="B550" s="11"/>
      <c r="D550" s="35"/>
      <c r="E550" s="36"/>
      <c r="F550" s="37"/>
      <c r="G550" s="38"/>
      <c r="H550" s="53"/>
      <c r="I550" s="40"/>
      <c r="J550" s="41"/>
      <c r="K550" s="39"/>
      <c r="L550" s="39"/>
      <c r="M550" s="39"/>
      <c r="N550" s="39" t="s">
        <v>74</v>
      </c>
      <c r="O550" s="42"/>
      <c r="P550" s="43"/>
    </row>
    <row r="551" spans="1:18" ht="15.75" customHeight="1" x14ac:dyDescent="0.3">
      <c r="A551" s="11"/>
      <c r="B551" s="11"/>
      <c r="D551" s="58" t="s">
        <v>4</v>
      </c>
      <c r="E551" s="55">
        <v>45652</v>
      </c>
      <c r="F551" s="37"/>
      <c r="G551" s="56">
        <v>8.7500000000000008E-2</v>
      </c>
      <c r="H551" s="53"/>
      <c r="I551" s="40"/>
      <c r="J551" s="57" t="s">
        <v>7</v>
      </c>
      <c r="K551" s="48"/>
      <c r="L551" s="46"/>
      <c r="M551" s="46"/>
      <c r="N551" s="46" t="s">
        <v>74</v>
      </c>
      <c r="O551" s="51"/>
      <c r="P551" s="52"/>
      <c r="Q551" s="19"/>
      <c r="R551" s="18"/>
    </row>
    <row r="552" spans="1:18" ht="15.75" customHeight="1" x14ac:dyDescent="0.3">
      <c r="A552" s="11"/>
      <c r="B552" s="11"/>
      <c r="D552" s="58" t="s">
        <v>3</v>
      </c>
      <c r="E552" s="55">
        <v>45652</v>
      </c>
      <c r="F552" s="37"/>
      <c r="G552" s="56">
        <v>0.58750000000000002</v>
      </c>
      <c r="H552" s="53">
        <f t="shared" ref="H552" si="181">IF((E552=0),"0",IF((E552=E551+1),(((24-INT(G551))+INT(G552))-1),(INT(G552)-INT(G551)-1))+((1-((G551-INT(G551))/0.6))+((G552-INT(G552))/0.6)))+(F552)</f>
        <v>0.83333333333333348</v>
      </c>
      <c r="I552" s="40"/>
      <c r="J552" s="57" t="s">
        <v>13</v>
      </c>
      <c r="K552" s="46">
        <v>27.3</v>
      </c>
      <c r="L552" s="46">
        <v>121</v>
      </c>
      <c r="M552" s="46">
        <f>IF(D552="eosp",L552/H552,"")</f>
        <v>145.19999999999996</v>
      </c>
      <c r="N552" s="46" t="s">
        <v>44</v>
      </c>
      <c r="O552" s="51">
        <v>0.44</v>
      </c>
      <c r="P552" s="52">
        <v>127</v>
      </c>
      <c r="Q552" s="20"/>
      <c r="R552" s="18"/>
    </row>
    <row r="553" spans="1:18" ht="15.75" customHeight="1" x14ac:dyDescent="0.3">
      <c r="A553" s="11"/>
      <c r="B553" s="11"/>
      <c r="D553" s="35"/>
      <c r="E553" s="36"/>
      <c r="F553" s="37"/>
      <c r="G553" s="38"/>
      <c r="H553" s="53"/>
      <c r="I553" s="40"/>
      <c r="J553" s="41"/>
      <c r="K553" s="39"/>
      <c r="L553" s="39"/>
      <c r="M553" s="39"/>
      <c r="N553" s="39" t="s">
        <v>74</v>
      </c>
      <c r="O553" s="42"/>
      <c r="P553" s="43"/>
      <c r="R553" s="18"/>
    </row>
    <row r="554" spans="1:18" ht="15.75" customHeight="1" x14ac:dyDescent="0.3">
      <c r="A554" s="11"/>
      <c r="B554" s="11"/>
      <c r="D554" s="54" t="s">
        <v>4</v>
      </c>
      <c r="E554" s="55">
        <v>45653</v>
      </c>
      <c r="F554" s="37"/>
      <c r="G554" s="56">
        <v>0.30833333333333335</v>
      </c>
      <c r="H554" s="53"/>
      <c r="I554" s="40"/>
      <c r="J554" s="57" t="s">
        <v>12</v>
      </c>
      <c r="K554" s="48"/>
      <c r="L554" s="46"/>
      <c r="M554" s="46"/>
      <c r="N554" s="46" t="s">
        <v>74</v>
      </c>
      <c r="O554" s="49"/>
      <c r="P554" s="50"/>
      <c r="Q554" s="18"/>
      <c r="R554" s="18"/>
    </row>
    <row r="555" spans="1:18" ht="15.75" customHeight="1" x14ac:dyDescent="0.3">
      <c r="A555" s="11"/>
      <c r="B555" s="11"/>
      <c r="D555" s="54" t="s">
        <v>3</v>
      </c>
      <c r="E555" s="55">
        <v>45653</v>
      </c>
      <c r="F555" s="37"/>
      <c r="G555" s="56">
        <v>0.78333333333333333</v>
      </c>
      <c r="H555" s="53">
        <f t="shared" ref="H555" si="182">IF((E555=0),"0",IF((E555=E554+1),(((24-INT(G554))+INT(G555))-1),(INT(G555)-INT(G554)-1))+((1-((G554-INT(G554))/0.6))+((G555-INT(G555))/0.6)))+(F555)</f>
        <v>0.79166666666666652</v>
      </c>
      <c r="I555" s="40"/>
      <c r="J555" s="57" t="s">
        <v>5</v>
      </c>
      <c r="K555" s="46">
        <v>18</v>
      </c>
      <c r="L555" s="46">
        <v>127.5</v>
      </c>
      <c r="M555" s="46">
        <f>IF(D555="eosp",L555/H555,"")</f>
        <v>161.0526315789474</v>
      </c>
      <c r="N555" s="46" t="s">
        <v>41</v>
      </c>
      <c r="O555" s="51">
        <v>0.42</v>
      </c>
      <c r="P555" s="52">
        <v>126</v>
      </c>
      <c r="Q555" s="16"/>
      <c r="R555" s="16"/>
    </row>
    <row r="556" spans="1:18" ht="15.75" customHeight="1" x14ac:dyDescent="0.3">
      <c r="A556" s="11"/>
      <c r="B556" s="11"/>
      <c r="D556" s="35"/>
      <c r="E556" s="36"/>
      <c r="F556" s="37"/>
      <c r="G556" s="38"/>
      <c r="H556" s="53"/>
      <c r="I556" s="40"/>
      <c r="J556" s="41"/>
      <c r="K556" s="39"/>
      <c r="L556" s="39"/>
      <c r="M556" s="39"/>
      <c r="N556" s="39" t="s">
        <v>74</v>
      </c>
      <c r="O556" s="42"/>
      <c r="P556" s="43"/>
    </row>
    <row r="557" spans="1:18" ht="15.75" customHeight="1" x14ac:dyDescent="0.3">
      <c r="A557" s="11"/>
      <c r="B557" s="11"/>
      <c r="D557" s="58" t="s">
        <v>4</v>
      </c>
      <c r="E557" s="55">
        <v>45655</v>
      </c>
      <c r="F557" s="37"/>
      <c r="G557" s="56">
        <v>2.0833333333333332E-2</v>
      </c>
      <c r="H557" s="53"/>
      <c r="I557" s="40"/>
      <c r="J557" s="57" t="s">
        <v>7</v>
      </c>
      <c r="K557" s="48"/>
      <c r="L557" s="46"/>
      <c r="M557" s="46"/>
      <c r="N557" s="46" t="s">
        <v>74</v>
      </c>
      <c r="O557" s="51"/>
      <c r="P557" s="52"/>
      <c r="Q557" s="19"/>
      <c r="R557" s="18"/>
    </row>
    <row r="558" spans="1:18" ht="15.75" customHeight="1" x14ac:dyDescent="0.3">
      <c r="A558" s="11"/>
      <c r="B558" s="11"/>
      <c r="D558" s="58" t="s">
        <v>3</v>
      </c>
      <c r="E558" s="55">
        <v>45655</v>
      </c>
      <c r="F558" s="37"/>
      <c r="G558" s="56">
        <v>0.5</v>
      </c>
      <c r="H558" s="53">
        <f t="shared" ref="H558" si="183">IF((E558=0),"0",IF((E558=E557+1),(((24-INT(G557))+INT(G558))-1),(INT(G558)-INT(G557)-1))+((1-((G557-INT(G557))/0.6))+((G558-INT(G558))/0.6)))+(F558)</f>
        <v>0.79861111111111116</v>
      </c>
      <c r="I558" s="40"/>
      <c r="J558" s="57" t="s">
        <v>13</v>
      </c>
      <c r="K558" s="46">
        <v>27.8</v>
      </c>
      <c r="L558" s="46">
        <v>113.3</v>
      </c>
      <c r="M558" s="46">
        <f>IF(D558="eosp",L558/H558,"")</f>
        <v>141.87130434782608</v>
      </c>
      <c r="N558" s="46" t="s">
        <v>44</v>
      </c>
      <c r="O558" s="51">
        <v>0.42</v>
      </c>
      <c r="P558" s="52">
        <v>127</v>
      </c>
      <c r="Q558" s="20"/>
      <c r="R558" s="18"/>
    </row>
    <row r="559" spans="1:18" ht="15.75" customHeight="1" x14ac:dyDescent="0.3">
      <c r="A559" s="11"/>
      <c r="B559" s="11"/>
      <c r="D559" s="35"/>
      <c r="E559" s="36"/>
      <c r="F559" s="37"/>
      <c r="G559" s="38"/>
      <c r="H559" s="53"/>
      <c r="I559" s="40"/>
      <c r="J559" s="41"/>
      <c r="K559" s="39"/>
      <c r="L559" s="39"/>
      <c r="M559" s="39"/>
      <c r="N559" s="39" t="s">
        <v>74</v>
      </c>
      <c r="O559" s="42"/>
      <c r="P559" s="43"/>
      <c r="R559" s="18"/>
    </row>
    <row r="560" spans="1:18" ht="15.75" customHeight="1" x14ac:dyDescent="0.3">
      <c r="A560" s="11"/>
      <c r="B560" s="11"/>
      <c r="D560" s="54" t="s">
        <v>4</v>
      </c>
      <c r="E560" s="55">
        <v>45656</v>
      </c>
      <c r="F560" s="37"/>
      <c r="G560" s="56">
        <v>0.27083333333333331</v>
      </c>
      <c r="H560" s="53"/>
      <c r="I560" s="40"/>
      <c r="J560" s="57" t="s">
        <v>12</v>
      </c>
      <c r="K560" s="48"/>
      <c r="L560" s="46"/>
      <c r="M560" s="46"/>
      <c r="N560" s="46" t="s">
        <v>74</v>
      </c>
      <c r="O560" s="49"/>
      <c r="P560" s="50"/>
      <c r="Q560" s="18"/>
      <c r="R560" s="18"/>
    </row>
    <row r="561" spans="1:18" ht="15.75" customHeight="1" x14ac:dyDescent="0.3">
      <c r="A561" s="11"/>
      <c r="B561" s="11"/>
      <c r="D561" s="54" t="s">
        <v>3</v>
      </c>
      <c r="E561" s="55">
        <v>45656</v>
      </c>
      <c r="F561" s="37"/>
      <c r="G561" s="56">
        <v>0.77083333333333337</v>
      </c>
      <c r="H561" s="53">
        <f t="shared" ref="H561" si="184">IF((E561=0),"0",IF((E561=E560+1),(((24-INT(G560))+INT(G561))-1),(INT(G561)-INT(G560)-1))+((1-((G560-INT(G560))/0.6))+((G561-INT(G561))/0.6)))+(F561)</f>
        <v>0.83333333333333348</v>
      </c>
      <c r="I561" s="40"/>
      <c r="J561" s="57" t="s">
        <v>5</v>
      </c>
      <c r="K561" s="46">
        <v>18</v>
      </c>
      <c r="L561" s="46">
        <v>128.4</v>
      </c>
      <c r="M561" s="46">
        <f>IF(D561="eosp",L561/H561,"")</f>
        <v>154.07999999999998</v>
      </c>
      <c r="N561" s="46" t="s">
        <v>77</v>
      </c>
      <c r="O561" s="51">
        <v>0.41</v>
      </c>
      <c r="P561" s="52">
        <v>127</v>
      </c>
      <c r="Q561" s="16"/>
      <c r="R561" s="16"/>
    </row>
    <row r="562" spans="1:18" ht="15.75" customHeight="1" x14ac:dyDescent="0.3">
      <c r="A562" s="11" t="s">
        <v>17</v>
      </c>
      <c r="B562" s="11"/>
      <c r="D562" s="35"/>
      <c r="E562" s="36"/>
      <c r="F562" s="37"/>
      <c r="G562" s="38"/>
      <c r="H562" s="53"/>
      <c r="I562" s="40"/>
      <c r="J562" s="41"/>
      <c r="K562" s="39"/>
      <c r="L562" s="39"/>
      <c r="M562" s="39"/>
      <c r="N562" s="39" t="s">
        <v>74</v>
      </c>
      <c r="O562" s="42"/>
      <c r="P562" s="43"/>
    </row>
    <row r="563" spans="1:18" ht="15.75" customHeight="1" x14ac:dyDescent="0.3">
      <c r="A563" s="11"/>
      <c r="B563" s="11"/>
      <c r="D563" s="58" t="s">
        <v>4</v>
      </c>
      <c r="E563" s="55">
        <v>45660</v>
      </c>
      <c r="F563" s="37"/>
      <c r="G563" s="56">
        <v>0.5625</v>
      </c>
      <c r="H563" s="53"/>
      <c r="I563" s="40"/>
      <c r="J563" s="57" t="s">
        <v>7</v>
      </c>
      <c r="K563" s="48"/>
      <c r="L563" s="46"/>
      <c r="M563" s="46"/>
      <c r="N563" s="46" t="s">
        <v>74</v>
      </c>
      <c r="O563" s="51"/>
      <c r="P563" s="52"/>
      <c r="Q563" s="19"/>
      <c r="R563" s="18"/>
    </row>
    <row r="564" spans="1:18" ht="15.75" customHeight="1" x14ac:dyDescent="0.3">
      <c r="A564" s="11"/>
      <c r="B564" s="11"/>
      <c r="D564" s="58" t="s">
        <v>3</v>
      </c>
      <c r="E564" s="55">
        <v>45661</v>
      </c>
      <c r="F564" s="37"/>
      <c r="G564" s="56">
        <v>5.8333333333333327E-2</v>
      </c>
      <c r="H564" s="53">
        <f t="shared" ref="H564" si="185">IF((E564=0),"0",IF((E564=E563+1),(((24-INT(G563))+INT(G564))-1),(INT(G564)-INT(G563)-1))+((1-((G563-INT(G563))/0.6))+((G564-INT(G564))/0.6)))+(F564)</f>
        <v>23.159722222222221</v>
      </c>
      <c r="I564" s="40"/>
      <c r="J564" s="57" t="s">
        <v>13</v>
      </c>
      <c r="K564" s="46">
        <v>25.1</v>
      </c>
      <c r="L564" s="46">
        <v>117.5</v>
      </c>
      <c r="M564" s="46">
        <f>IF(D564="eosp",L564/H564,"")</f>
        <v>5.073463268365817</v>
      </c>
      <c r="N564" s="46" t="s">
        <v>42</v>
      </c>
      <c r="O564" s="51">
        <v>0.4</v>
      </c>
      <c r="P564" s="52">
        <v>127</v>
      </c>
      <c r="Q564" s="20"/>
      <c r="R564" s="18"/>
    </row>
    <row r="565" spans="1:18" ht="15.75" customHeight="1" x14ac:dyDescent="0.3">
      <c r="A565" s="11"/>
      <c r="B565" s="11"/>
      <c r="D565" s="35"/>
      <c r="E565" s="36"/>
      <c r="F565" s="37"/>
      <c r="G565" s="38"/>
      <c r="H565" s="53"/>
      <c r="I565" s="40"/>
      <c r="J565" s="41"/>
      <c r="K565" s="39"/>
      <c r="L565" s="39"/>
      <c r="M565" s="39"/>
      <c r="N565" s="39" t="s">
        <v>74</v>
      </c>
      <c r="O565" s="42"/>
      <c r="P565" s="43"/>
      <c r="R565" s="18"/>
    </row>
    <row r="566" spans="1:18" ht="15.75" customHeight="1" x14ac:dyDescent="0.3">
      <c r="A566" s="11"/>
      <c r="B566" s="11"/>
      <c r="D566" s="54" t="s">
        <v>4</v>
      </c>
      <c r="E566" s="55">
        <v>45663</v>
      </c>
      <c r="F566" s="37"/>
      <c r="G566" s="56">
        <v>0.37083333333333335</v>
      </c>
      <c r="H566" s="53"/>
      <c r="I566" s="40"/>
      <c r="J566" s="57" t="s">
        <v>12</v>
      </c>
      <c r="K566" s="48"/>
      <c r="L566" s="46"/>
      <c r="M566" s="46"/>
      <c r="N566" s="46" t="s">
        <v>74</v>
      </c>
      <c r="O566" s="49"/>
      <c r="P566" s="50"/>
      <c r="Q566" s="18"/>
      <c r="R566" s="18"/>
    </row>
    <row r="567" spans="1:18" ht="15.75" customHeight="1" x14ac:dyDescent="0.3">
      <c r="A567" s="11"/>
      <c r="B567" s="11"/>
      <c r="D567" s="54" t="s">
        <v>3</v>
      </c>
      <c r="E567" s="55">
        <v>45663</v>
      </c>
      <c r="F567" s="37"/>
      <c r="G567" s="56">
        <v>0.85416666666666663</v>
      </c>
      <c r="H567" s="53">
        <f t="shared" ref="H567" si="186">IF((E567=0),"0",IF((E567=E566+1),(((24-INT(G566))+INT(G567))-1),(INT(G567)-INT(G566)-1))+((1-((G566-INT(G566))/0.6))+((G567-INT(G567))/0.6)))+(F567)</f>
        <v>0.80555555555555558</v>
      </c>
      <c r="I567" s="40"/>
      <c r="J567" s="57" t="s">
        <v>5</v>
      </c>
      <c r="K567" s="46">
        <v>19</v>
      </c>
      <c r="L567" s="46">
        <v>124.7</v>
      </c>
      <c r="M567" s="46">
        <f>IF(D567="eosp",L567/H567,"")</f>
        <v>154.80000000000001</v>
      </c>
      <c r="N567" s="46" t="s">
        <v>39</v>
      </c>
      <c r="O567" s="51">
        <v>0.44</v>
      </c>
      <c r="P567" s="52">
        <v>128</v>
      </c>
      <c r="Q567" s="16"/>
      <c r="R567" s="16"/>
    </row>
    <row r="568" spans="1:18" ht="15.75" customHeight="1" x14ac:dyDescent="0.3">
      <c r="A568" s="11" t="s">
        <v>17</v>
      </c>
      <c r="B568" s="11"/>
      <c r="D568" s="35"/>
      <c r="E568" s="36"/>
      <c r="F568" s="37"/>
      <c r="G568" s="38"/>
      <c r="H568" s="53"/>
      <c r="I568" s="40"/>
      <c r="J568" s="41"/>
      <c r="K568" s="39"/>
      <c r="L568" s="39"/>
      <c r="M568" s="39"/>
      <c r="N568" s="39" t="s">
        <v>74</v>
      </c>
      <c r="O568" s="42"/>
      <c r="P568" s="43"/>
    </row>
    <row r="569" spans="1:18" ht="15.75" customHeight="1" x14ac:dyDescent="0.3">
      <c r="A569" s="11"/>
      <c r="B569" s="11"/>
      <c r="D569" s="58" t="s">
        <v>4</v>
      </c>
      <c r="E569" s="55">
        <v>45667</v>
      </c>
      <c r="F569" s="37"/>
      <c r="G569" s="56">
        <v>0.83333333333333337</v>
      </c>
      <c r="H569" s="53"/>
      <c r="I569" s="40"/>
      <c r="J569" s="57" t="s">
        <v>7</v>
      </c>
      <c r="K569" s="48"/>
      <c r="L569" s="46"/>
      <c r="M569" s="46"/>
      <c r="N569" s="46" t="s">
        <v>74</v>
      </c>
      <c r="O569" s="51"/>
      <c r="P569" s="52"/>
      <c r="Q569" s="19"/>
      <c r="R569" s="18"/>
    </row>
    <row r="570" spans="1:18" ht="15.75" customHeight="1" x14ac:dyDescent="0.3">
      <c r="A570" s="11"/>
      <c r="B570" s="11"/>
      <c r="D570" s="58" t="s">
        <v>3</v>
      </c>
      <c r="E570" s="55">
        <v>45668</v>
      </c>
      <c r="F570" s="37"/>
      <c r="G570" s="56">
        <v>0.37083333333333335</v>
      </c>
      <c r="H570" s="53">
        <f t="shared" ref="H570" si="187">IF((E570=0),"0",IF((E570=E569+1),(((24-INT(G569))+INT(G570))-1),(INT(G570)-INT(G569)-1))+((1-((G569-INT(G569))/0.6))+((G570-INT(G570))/0.6)))+(F570)</f>
        <v>23.229166666666668</v>
      </c>
      <c r="I570" s="40"/>
      <c r="J570" s="57" t="s">
        <v>13</v>
      </c>
      <c r="K570" s="46">
        <v>28</v>
      </c>
      <c r="L570" s="46">
        <v>114.7</v>
      </c>
      <c r="M570" s="46">
        <f>IF(D570="eosp",L570/H570,"")</f>
        <v>4.9377578475336321</v>
      </c>
      <c r="N570" s="46" t="s">
        <v>77</v>
      </c>
      <c r="O570" s="51">
        <v>0.36</v>
      </c>
      <c r="P570" s="52">
        <v>127</v>
      </c>
      <c r="Q570" s="20"/>
      <c r="R570" s="18"/>
    </row>
    <row r="571" spans="1:18" ht="15.75" customHeight="1" x14ac:dyDescent="0.3">
      <c r="A571" s="11"/>
      <c r="B571" s="11"/>
      <c r="D571" s="35"/>
      <c r="E571" s="36"/>
      <c r="F571" s="37"/>
      <c r="G571" s="38"/>
      <c r="H571" s="53"/>
      <c r="I571" s="40"/>
      <c r="J571" s="41"/>
      <c r="K571" s="39"/>
      <c r="L571" s="39"/>
      <c r="M571" s="39"/>
      <c r="N571" s="39" t="s">
        <v>74</v>
      </c>
      <c r="O571" s="42"/>
      <c r="P571" s="43"/>
      <c r="R571" s="18"/>
    </row>
    <row r="572" spans="1:18" ht="15.75" customHeight="1" x14ac:dyDescent="0.3">
      <c r="A572" s="11"/>
      <c r="B572" s="11"/>
      <c r="D572" s="54" t="s">
        <v>4</v>
      </c>
      <c r="E572" s="55">
        <v>45669</v>
      </c>
      <c r="F572" s="37"/>
      <c r="G572" s="56">
        <v>0.30416666666666664</v>
      </c>
      <c r="H572" s="53"/>
      <c r="I572" s="40"/>
      <c r="J572" s="57" t="s">
        <v>12</v>
      </c>
      <c r="K572" s="48"/>
      <c r="L572" s="46"/>
      <c r="M572" s="46"/>
      <c r="N572" s="46" t="s">
        <v>74</v>
      </c>
      <c r="O572" s="49"/>
      <c r="P572" s="50"/>
      <c r="Q572" s="18"/>
      <c r="R572" s="18"/>
    </row>
    <row r="573" spans="1:18" ht="15.75" customHeight="1" x14ac:dyDescent="0.3">
      <c r="A573" s="11"/>
      <c r="B573" s="11"/>
      <c r="D573" s="54" t="s">
        <v>3</v>
      </c>
      <c r="E573" s="55">
        <v>45669</v>
      </c>
      <c r="F573" s="37"/>
      <c r="G573" s="56">
        <v>0.8041666666666667</v>
      </c>
      <c r="H573" s="53">
        <f t="shared" ref="H573" si="188">IF((E573=0),"0",IF((E573=E572+1),(((24-INT(G572))+INT(G573))-1),(INT(G573)-INT(G572)-1))+((1-((G572-INT(G572))/0.6))+((G573-INT(G573))/0.6)))+(F573)</f>
        <v>0.83333333333333348</v>
      </c>
      <c r="I573" s="40"/>
      <c r="J573" s="57" t="s">
        <v>5</v>
      </c>
      <c r="K573" s="46">
        <v>19</v>
      </c>
      <c r="L573" s="46">
        <v>126.9</v>
      </c>
      <c r="M573" s="46">
        <f>IF(D573="eosp",L573/H573,"")</f>
        <v>152.27999999999997</v>
      </c>
      <c r="N573" s="46" t="s">
        <v>42</v>
      </c>
      <c r="O573" s="51">
        <v>0.41</v>
      </c>
      <c r="P573" s="52">
        <v>127</v>
      </c>
      <c r="Q573" s="16"/>
      <c r="R573" s="16"/>
    </row>
    <row r="574" spans="1:18" ht="15.75" customHeight="1" x14ac:dyDescent="0.3">
      <c r="A574" s="11" t="s">
        <v>17</v>
      </c>
      <c r="B574" s="11"/>
      <c r="D574" s="35"/>
      <c r="E574" s="36"/>
      <c r="F574" s="37"/>
      <c r="G574" s="38"/>
      <c r="H574" s="53"/>
      <c r="I574" s="40"/>
      <c r="J574" s="41"/>
      <c r="K574" s="39"/>
      <c r="L574" s="39"/>
      <c r="M574" s="39"/>
      <c r="N574" s="39" t="s">
        <v>74</v>
      </c>
      <c r="O574" s="42"/>
      <c r="P574" s="43"/>
    </row>
    <row r="575" spans="1:18" ht="15.75" customHeight="1" x14ac:dyDescent="0.3">
      <c r="A575" s="11"/>
      <c r="B575" s="11"/>
      <c r="D575" s="58" t="s">
        <v>4</v>
      </c>
      <c r="E575" s="55">
        <v>45670</v>
      </c>
      <c r="F575" s="37"/>
      <c r="G575" s="56">
        <v>0.625</v>
      </c>
      <c r="H575" s="53"/>
      <c r="I575" s="40"/>
      <c r="J575" s="57" t="s">
        <v>7</v>
      </c>
      <c r="K575" s="48"/>
      <c r="L575" s="46"/>
      <c r="M575" s="46"/>
      <c r="N575" s="46" t="s">
        <v>74</v>
      </c>
      <c r="O575" s="51"/>
      <c r="P575" s="52"/>
      <c r="Q575" s="19"/>
      <c r="R575" s="18"/>
    </row>
    <row r="576" spans="1:18" ht="15.75" customHeight="1" x14ac:dyDescent="0.3">
      <c r="A576" s="11"/>
      <c r="B576" s="11"/>
      <c r="D576" s="58" t="s">
        <v>3</v>
      </c>
      <c r="E576" s="55">
        <v>45671</v>
      </c>
      <c r="F576" s="37"/>
      <c r="G576" s="56">
        <v>0.125</v>
      </c>
      <c r="H576" s="53">
        <f t="shared" ref="H576" si="189">IF((E576=0),"0",IF((E576=E575+1),(((24-INT(G575))+INT(G576))-1),(INT(G576)-INT(G575)-1))+((1-((G575-INT(G575))/0.6))+((G576-INT(G576))/0.6)))+(F576)</f>
        <v>23.166666666666668</v>
      </c>
      <c r="I576" s="40"/>
      <c r="J576" s="57" t="s">
        <v>13</v>
      </c>
      <c r="K576" s="46">
        <v>25.2</v>
      </c>
      <c r="L576" s="46">
        <v>116.3</v>
      </c>
      <c r="M576" s="46">
        <f>IF(D576="eosp",L576/H576,"")</f>
        <v>5.0201438848920859</v>
      </c>
      <c r="N576" s="46" t="s">
        <v>36</v>
      </c>
      <c r="O576" s="51">
        <v>0.34</v>
      </c>
      <c r="P576" s="52">
        <v>117</v>
      </c>
      <c r="Q576" s="20"/>
      <c r="R576" s="18"/>
    </row>
    <row r="577" spans="1:18" ht="15.75" customHeight="1" x14ac:dyDescent="0.3">
      <c r="A577" s="11"/>
      <c r="B577" s="11"/>
      <c r="D577" s="35"/>
      <c r="E577" s="36"/>
      <c r="F577" s="37"/>
      <c r="G577" s="38"/>
      <c r="H577" s="53"/>
      <c r="I577" s="40"/>
      <c r="J577" s="41"/>
      <c r="K577" s="39"/>
      <c r="L577" s="39"/>
      <c r="M577" s="39"/>
      <c r="N577" s="39" t="s">
        <v>74</v>
      </c>
      <c r="O577" s="42"/>
      <c r="P577" s="43"/>
      <c r="R577" s="18"/>
    </row>
    <row r="578" spans="1:18" ht="15.75" customHeight="1" x14ac:dyDescent="0.3">
      <c r="A578" s="11"/>
      <c r="B578" s="11"/>
      <c r="D578" s="54" t="s">
        <v>4</v>
      </c>
      <c r="E578" s="55">
        <v>45671</v>
      </c>
      <c r="F578" s="37"/>
      <c r="G578" s="56">
        <v>0.67499999999999993</v>
      </c>
      <c r="H578" s="53"/>
      <c r="I578" s="40"/>
      <c r="J578" s="57" t="s">
        <v>12</v>
      </c>
      <c r="K578" s="48"/>
      <c r="L578" s="46"/>
      <c r="M578" s="46"/>
      <c r="N578" s="46" t="s">
        <v>74</v>
      </c>
      <c r="O578" s="49"/>
      <c r="P578" s="50"/>
      <c r="Q578" s="18"/>
      <c r="R578" s="18"/>
    </row>
    <row r="579" spans="1:18" ht="15.75" customHeight="1" x14ac:dyDescent="0.3">
      <c r="A579" s="11"/>
      <c r="B579" s="11"/>
      <c r="D579" s="54" t="s">
        <v>3</v>
      </c>
      <c r="E579" s="55">
        <v>45672</v>
      </c>
      <c r="F579" s="37"/>
      <c r="G579" s="56">
        <v>0.21666666666666667</v>
      </c>
      <c r="H579" s="53">
        <f t="shared" ref="H579" si="190">IF((E579=0),"0",IF((E579=E578+1),(((24-INT(G578))+INT(G579))-1),(INT(G579)-INT(G578)-1))+((1-((G578-INT(G578))/0.6))+((G579-INT(G579))/0.6)))+(F579)</f>
        <v>23.236111111111111</v>
      </c>
      <c r="I579" s="40"/>
      <c r="J579" s="57" t="s">
        <v>5</v>
      </c>
      <c r="K579" s="46">
        <v>23.6</v>
      </c>
      <c r="L579" s="46">
        <v>125.5</v>
      </c>
      <c r="M579" s="46">
        <f>IF(D579="eosp",L579/H579,"")</f>
        <v>5.4010759115361626</v>
      </c>
      <c r="N579" s="46" t="s">
        <v>41</v>
      </c>
      <c r="O579" s="51">
        <v>0.4</v>
      </c>
      <c r="P579" s="52">
        <v>119</v>
      </c>
      <c r="Q579" s="16"/>
      <c r="R579" s="16"/>
    </row>
    <row r="580" spans="1:18" ht="15.75" customHeight="1" x14ac:dyDescent="0.3">
      <c r="A580" s="11" t="s">
        <v>17</v>
      </c>
      <c r="B580" s="11"/>
      <c r="D580" s="35"/>
      <c r="E580" s="36"/>
      <c r="F580" s="37"/>
      <c r="G580" s="38"/>
      <c r="H580" s="53"/>
      <c r="I580" s="40"/>
      <c r="J580" s="41"/>
      <c r="K580" s="39"/>
      <c r="L580" s="39"/>
      <c r="M580" s="39"/>
      <c r="N580" s="39" t="s">
        <v>74</v>
      </c>
      <c r="O580" s="42"/>
      <c r="P580" s="43"/>
    </row>
    <row r="581" spans="1:18" ht="15.75" customHeight="1" x14ac:dyDescent="0.3">
      <c r="A581" s="11"/>
      <c r="B581" s="11"/>
      <c r="D581" s="58" t="s">
        <v>4</v>
      </c>
      <c r="E581" s="55">
        <v>45675</v>
      </c>
      <c r="F581" s="37"/>
      <c r="G581" s="56">
        <v>0.95833333333333337</v>
      </c>
      <c r="H581" s="53"/>
      <c r="I581" s="40"/>
      <c r="J581" s="57" t="s">
        <v>7</v>
      </c>
      <c r="K581" s="48"/>
      <c r="L581" s="46"/>
      <c r="M581" s="46"/>
      <c r="N581" s="46" t="s">
        <v>74</v>
      </c>
      <c r="O581" s="51"/>
      <c r="P581" s="52"/>
      <c r="Q581" s="19"/>
      <c r="R581" s="18"/>
    </row>
    <row r="582" spans="1:18" ht="15.75" customHeight="1" x14ac:dyDescent="0.3">
      <c r="A582" s="11"/>
      <c r="B582" s="11"/>
      <c r="D582" s="58" t="s">
        <v>3</v>
      </c>
      <c r="E582" s="55">
        <v>45676</v>
      </c>
      <c r="F582" s="37"/>
      <c r="G582" s="56">
        <v>0.45833333333333331</v>
      </c>
      <c r="H582" s="53">
        <f t="shared" ref="H582" si="191">IF((E582=0),"0",IF((E582=E581+1),(((24-INT(G581))+INT(G582))-1),(INT(G582)-INT(G581)-1))+((1-((G581-INT(G581))/0.6))+((G582-INT(G582))/0.6)))+(F582)</f>
        <v>23.166666666666668</v>
      </c>
      <c r="I582" s="40"/>
      <c r="J582" s="57" t="s">
        <v>13</v>
      </c>
      <c r="K582" s="46">
        <v>26.5</v>
      </c>
      <c r="L582" s="46">
        <v>116.7</v>
      </c>
      <c r="M582" s="46">
        <f>IF(D582="eosp",L582/H582,"")</f>
        <v>5.0374100719424462</v>
      </c>
      <c r="N582" s="46" t="s">
        <v>44</v>
      </c>
      <c r="O582" s="51">
        <v>0.39</v>
      </c>
      <c r="P582" s="52">
        <v>125</v>
      </c>
      <c r="Q582" s="20"/>
      <c r="R582" s="18"/>
    </row>
    <row r="583" spans="1:18" ht="15.75" customHeight="1" x14ac:dyDescent="0.3">
      <c r="A583" s="11"/>
      <c r="B583" s="11"/>
      <c r="D583" s="35"/>
      <c r="E583" s="36"/>
      <c r="F583" s="37"/>
      <c r="G583" s="38"/>
      <c r="H583" s="53"/>
      <c r="I583" s="40"/>
      <c r="J583" s="41"/>
      <c r="K583" s="39"/>
      <c r="L583" s="39"/>
      <c r="M583" s="39"/>
      <c r="N583" s="39" t="s">
        <v>74</v>
      </c>
      <c r="O583" s="42"/>
      <c r="P583" s="43"/>
      <c r="R583" s="18"/>
    </row>
    <row r="584" spans="1:18" ht="15.75" customHeight="1" x14ac:dyDescent="0.3">
      <c r="A584" s="11"/>
      <c r="B584" s="11"/>
      <c r="D584" s="54" t="s">
        <v>4</v>
      </c>
      <c r="E584" s="55">
        <v>45677</v>
      </c>
      <c r="F584" s="37"/>
      <c r="G584" s="56">
        <v>0.58750000000000002</v>
      </c>
      <c r="H584" s="53"/>
      <c r="I584" s="40"/>
      <c r="J584" s="57" t="s">
        <v>12</v>
      </c>
      <c r="K584" s="48"/>
      <c r="L584" s="46"/>
      <c r="M584" s="46"/>
      <c r="N584" s="46" t="s">
        <v>74</v>
      </c>
      <c r="O584" s="49"/>
      <c r="P584" s="50"/>
      <c r="Q584" s="18"/>
      <c r="R584" s="18"/>
    </row>
    <row r="585" spans="1:18" ht="15.75" customHeight="1" x14ac:dyDescent="0.3">
      <c r="A585" s="11"/>
      <c r="B585" s="11"/>
      <c r="D585" s="54" t="s">
        <v>3</v>
      </c>
      <c r="E585" s="55">
        <v>45678</v>
      </c>
      <c r="F585" s="37"/>
      <c r="G585" s="56">
        <v>0.11666666666666665</v>
      </c>
      <c r="H585" s="53">
        <f t="shared" ref="H585" si="192">IF((E585=0),"0",IF((E585=E584+1),(((24-INT(G584))+INT(G585))-1),(INT(G585)-INT(G584)-1))+((1-((G584-INT(G584))/0.6))+((G585-INT(G585))/0.6)))+(F585)</f>
        <v>23.215277777777779</v>
      </c>
      <c r="I585" s="40"/>
      <c r="J585" s="57" t="s">
        <v>5</v>
      </c>
      <c r="K585" s="46">
        <v>23.4</v>
      </c>
      <c r="L585" s="46">
        <v>118.1</v>
      </c>
      <c r="M585" s="46">
        <f>IF(D585="eosp",L585/H585,"")</f>
        <v>5.0871672150762786</v>
      </c>
      <c r="N585" s="46" t="s">
        <v>54</v>
      </c>
      <c r="O585" s="51">
        <v>0.4</v>
      </c>
      <c r="P585" s="52">
        <v>117</v>
      </c>
      <c r="Q585" s="16"/>
      <c r="R585" s="16"/>
    </row>
    <row r="586" spans="1:18" ht="15.75" customHeight="1" x14ac:dyDescent="0.3">
      <c r="A586" s="11" t="s">
        <v>17</v>
      </c>
      <c r="B586" s="11"/>
      <c r="D586" s="35"/>
      <c r="E586" s="36"/>
      <c r="F586" s="37"/>
      <c r="G586" s="38"/>
      <c r="H586" s="53"/>
      <c r="I586" s="40"/>
      <c r="J586" s="41"/>
      <c r="K586" s="39"/>
      <c r="L586" s="39"/>
      <c r="M586" s="39"/>
      <c r="N586" s="39" t="s">
        <v>74</v>
      </c>
      <c r="O586" s="42"/>
      <c r="P586" s="43"/>
    </row>
    <row r="587" spans="1:18" ht="15.75" customHeight="1" x14ac:dyDescent="0.3">
      <c r="A587" s="11"/>
      <c r="B587" s="11"/>
      <c r="D587" s="58" t="s">
        <v>4</v>
      </c>
      <c r="E587" s="55">
        <v>45679</v>
      </c>
      <c r="F587" s="37"/>
      <c r="G587" s="56">
        <v>6.25E-2</v>
      </c>
      <c r="H587" s="53"/>
      <c r="I587" s="40"/>
      <c r="J587" s="57" t="s">
        <v>7</v>
      </c>
      <c r="K587" s="48"/>
      <c r="L587" s="46"/>
      <c r="M587" s="46"/>
      <c r="N587" s="46" t="s">
        <v>74</v>
      </c>
      <c r="O587" s="51"/>
      <c r="P587" s="52"/>
      <c r="Q587" s="19"/>
      <c r="R587" s="18"/>
    </row>
    <row r="588" spans="1:18" ht="15.75" customHeight="1" x14ac:dyDescent="0.3">
      <c r="A588" s="11"/>
      <c r="B588" s="11"/>
      <c r="D588" s="58" t="s">
        <v>3</v>
      </c>
      <c r="E588" s="55">
        <v>45679</v>
      </c>
      <c r="F588" s="37"/>
      <c r="G588" s="56">
        <v>0.54166666666666663</v>
      </c>
      <c r="H588" s="53">
        <f t="shared" ref="H588" si="193">IF((E588=0),"0",IF((E588=E587+1),(((24-INT(G587))+INT(G588))-1),(INT(G588)-INT(G587)-1))+((1-((G587-INT(G587))/0.6))+((G588-INT(G588))/0.6)))+(F588)</f>
        <v>0.79861111111111116</v>
      </c>
      <c r="I588" s="40"/>
      <c r="J588" s="57" t="s">
        <v>13</v>
      </c>
      <c r="K588" s="46">
        <v>30.7</v>
      </c>
      <c r="L588" s="46">
        <v>112.8</v>
      </c>
      <c r="M588" s="46">
        <f>IF(D588="eosp",L588/H588,"")</f>
        <v>141.24521739130432</v>
      </c>
      <c r="N588" s="46" t="s">
        <v>75</v>
      </c>
      <c r="O588" s="51">
        <v>0.52</v>
      </c>
      <c r="P588" s="52">
        <v>127</v>
      </c>
      <c r="Q588" s="20"/>
      <c r="R588" s="18"/>
    </row>
    <row r="589" spans="1:18" ht="15.75" customHeight="1" x14ac:dyDescent="0.3">
      <c r="A589" s="11"/>
      <c r="B589" s="11"/>
      <c r="D589" s="35"/>
      <c r="E589" s="36"/>
      <c r="F589" s="37"/>
      <c r="G589" s="38"/>
      <c r="H589" s="53"/>
      <c r="I589" s="40"/>
      <c r="J589" s="41"/>
      <c r="K589" s="39"/>
      <c r="L589" s="39"/>
      <c r="M589" s="39"/>
      <c r="N589" s="39" t="s">
        <v>74</v>
      </c>
      <c r="O589" s="42"/>
      <c r="P589" s="43"/>
      <c r="R589" s="18"/>
    </row>
    <row r="590" spans="1:18" ht="15.75" customHeight="1" x14ac:dyDescent="0.3">
      <c r="A590" s="11"/>
      <c r="B590" s="11"/>
      <c r="D590" s="54" t="s">
        <v>4</v>
      </c>
      <c r="E590" s="55">
        <v>45680</v>
      </c>
      <c r="F590" s="37"/>
      <c r="G590" s="56">
        <v>0.5</v>
      </c>
      <c r="H590" s="53"/>
      <c r="I590" s="40"/>
      <c r="J590" s="57" t="s">
        <v>12</v>
      </c>
      <c r="K590" s="48"/>
      <c r="L590" s="46"/>
      <c r="M590" s="46"/>
      <c r="N590" s="46" t="s">
        <v>74</v>
      </c>
      <c r="O590" s="49"/>
      <c r="P590" s="50"/>
      <c r="Q590" s="18"/>
      <c r="R590" s="18"/>
    </row>
    <row r="591" spans="1:18" ht="15.75" customHeight="1" x14ac:dyDescent="0.3">
      <c r="A591" s="11"/>
      <c r="B591" s="11"/>
      <c r="D591" s="54" t="s">
        <v>3</v>
      </c>
      <c r="E591" s="55">
        <v>45680</v>
      </c>
      <c r="F591" s="37"/>
      <c r="G591" s="56">
        <v>0.92499999999999993</v>
      </c>
      <c r="H591" s="53">
        <f t="shared" ref="H591" si="194">IF((E591=0),"0",IF((E591=E590+1),(((24-INT(G590))+INT(G591))-1),(INT(G591)-INT(G590)-1))+((1-((G590-INT(G590))/0.6))+((G591-INT(G591))/0.6)))+(F591)</f>
        <v>0.70833333333333304</v>
      </c>
      <c r="I591" s="40"/>
      <c r="J591" s="57" t="s">
        <v>5</v>
      </c>
      <c r="K591" s="46">
        <v>16.399999999999999</v>
      </c>
      <c r="L591" s="46">
        <v>121.6</v>
      </c>
      <c r="M591" s="46">
        <f>IF(D591="eosp",L591/H591,"")</f>
        <v>171.67058823529419</v>
      </c>
      <c r="N591" s="46" t="s">
        <v>53</v>
      </c>
      <c r="O591" s="51">
        <v>0.5</v>
      </c>
      <c r="P591" s="52">
        <v>134</v>
      </c>
      <c r="Q591" s="16"/>
      <c r="R591" s="16"/>
    </row>
    <row r="592" spans="1:18" ht="15.75" customHeight="1" x14ac:dyDescent="0.3">
      <c r="A592" s="11" t="s">
        <v>17</v>
      </c>
      <c r="B592" s="11"/>
      <c r="D592" s="35"/>
      <c r="E592" s="36"/>
      <c r="F592" s="37"/>
      <c r="G592" s="38"/>
      <c r="H592" s="53"/>
      <c r="I592" s="40"/>
      <c r="J592" s="41"/>
      <c r="K592" s="39"/>
      <c r="L592" s="39"/>
      <c r="M592" s="39"/>
      <c r="N592" s="39" t="s">
        <v>74</v>
      </c>
      <c r="O592" s="42"/>
      <c r="P592" s="43"/>
    </row>
    <row r="593" spans="1:18" ht="15.75" customHeight="1" x14ac:dyDescent="0.3">
      <c r="A593" s="11"/>
      <c r="B593" s="11"/>
      <c r="D593" s="58" t="s">
        <v>4</v>
      </c>
      <c r="E593" s="55">
        <v>45682</v>
      </c>
      <c r="F593" s="37"/>
      <c r="G593" s="56">
        <v>0.28333333333333333</v>
      </c>
      <c r="H593" s="53"/>
      <c r="I593" s="40"/>
      <c r="J593" s="57" t="s">
        <v>7</v>
      </c>
      <c r="K593" s="48"/>
      <c r="L593" s="46"/>
      <c r="M593" s="46"/>
      <c r="N593" s="46" t="s">
        <v>74</v>
      </c>
      <c r="O593" s="51"/>
      <c r="P593" s="52"/>
      <c r="Q593" s="19"/>
      <c r="R593" s="18"/>
    </row>
    <row r="594" spans="1:18" ht="15.75" customHeight="1" x14ac:dyDescent="0.3">
      <c r="A594" s="11"/>
      <c r="B594" s="11"/>
      <c r="D594" s="58" t="s">
        <v>3</v>
      </c>
      <c r="E594" s="55">
        <v>45682</v>
      </c>
      <c r="F594" s="37"/>
      <c r="G594" s="56">
        <v>0.68333333333333324</v>
      </c>
      <c r="H594" s="53">
        <f t="shared" ref="H594" si="195">IF((E594=0),"0",IF((E594=E593+1),(((24-INT(G593))+INT(G594))-1),(INT(G594)-INT(G593)-1))+((1-((G593-INT(G593))/0.6))+((G594-INT(G594))/0.6)))+(F594)</f>
        <v>0.66666666666666652</v>
      </c>
      <c r="I594" s="40"/>
      <c r="J594" s="57" t="s">
        <v>13</v>
      </c>
      <c r="K594" s="46">
        <v>21</v>
      </c>
      <c r="L594" s="46">
        <v>116.2</v>
      </c>
      <c r="M594" s="46">
        <f>IF(D594="eosp",L594/H594,"")</f>
        <v>174.30000000000004</v>
      </c>
      <c r="N594" s="46" t="s">
        <v>33</v>
      </c>
      <c r="O594" s="51">
        <v>0.56999999999999995</v>
      </c>
      <c r="P594" s="52">
        <v>127</v>
      </c>
      <c r="Q594" s="20"/>
      <c r="R594" s="18"/>
    </row>
    <row r="595" spans="1:18" ht="15.75" customHeight="1" x14ac:dyDescent="0.3">
      <c r="A595" s="11"/>
      <c r="B595" s="11"/>
      <c r="D595" s="35"/>
      <c r="E595" s="36"/>
      <c r="F595" s="37"/>
      <c r="G595" s="38"/>
      <c r="H595" s="53"/>
      <c r="I595" s="40"/>
      <c r="J595" s="41"/>
      <c r="K595" s="39"/>
      <c r="L595" s="39"/>
      <c r="M595" s="39"/>
      <c r="N595" s="39" t="s">
        <v>74</v>
      </c>
      <c r="O595" s="42"/>
      <c r="P595" s="43"/>
      <c r="R595" s="18"/>
    </row>
    <row r="596" spans="1:18" ht="15.75" customHeight="1" x14ac:dyDescent="0.3">
      <c r="A596" s="11"/>
      <c r="B596" s="11"/>
      <c r="D596" s="54" t="s">
        <v>4</v>
      </c>
      <c r="E596" s="55">
        <v>45683</v>
      </c>
      <c r="F596" s="37"/>
      <c r="G596" s="56">
        <v>0.5</v>
      </c>
      <c r="H596" s="53"/>
      <c r="I596" s="40"/>
      <c r="J596" s="57" t="s">
        <v>12</v>
      </c>
      <c r="K596" s="48"/>
      <c r="L596" s="46"/>
      <c r="M596" s="46"/>
      <c r="N596" s="46" t="s">
        <v>74</v>
      </c>
      <c r="O596" s="49"/>
      <c r="P596" s="50"/>
      <c r="Q596" s="18"/>
      <c r="R596" s="18"/>
    </row>
    <row r="597" spans="1:18" ht="15.75" customHeight="1" x14ac:dyDescent="0.3">
      <c r="A597" s="11"/>
      <c r="B597" s="11"/>
      <c r="D597" s="54" t="s">
        <v>3</v>
      </c>
      <c r="E597" s="55">
        <v>45683</v>
      </c>
      <c r="F597" s="37"/>
      <c r="G597" s="56">
        <v>0.97916666666666663</v>
      </c>
      <c r="H597" s="53">
        <f t="shared" ref="H597" si="196">IF((E597=0),"0",IF((E597=E596+1),(((24-INT(G596))+INT(G597))-1),(INT(G597)-INT(G596)-1))+((1-((G596-INT(G596))/0.6))+((G597-INT(G597))/0.6)))+(F597)</f>
        <v>0.79861111111111116</v>
      </c>
      <c r="I597" s="40"/>
      <c r="J597" s="57" t="s">
        <v>5</v>
      </c>
      <c r="K597" s="46">
        <v>19.7</v>
      </c>
      <c r="L597" s="46">
        <v>115</v>
      </c>
      <c r="M597" s="46">
        <f>IF(D597="eosp",L597/H597,"")</f>
        <v>144</v>
      </c>
      <c r="N597" s="46" t="s">
        <v>69</v>
      </c>
      <c r="O597" s="51">
        <v>0.36</v>
      </c>
      <c r="P597" s="52">
        <v>117</v>
      </c>
      <c r="Q597" s="16"/>
      <c r="R597" s="16"/>
    </row>
    <row r="598" spans="1:18" ht="15.75" customHeight="1" x14ac:dyDescent="0.3">
      <c r="A598" s="11" t="s">
        <v>17</v>
      </c>
      <c r="B598" s="11"/>
      <c r="D598" s="35"/>
      <c r="E598" s="36"/>
      <c r="F598" s="37"/>
      <c r="G598" s="38"/>
      <c r="H598" s="53"/>
      <c r="I598" s="40"/>
      <c r="J598" s="41"/>
      <c r="K598" s="39"/>
      <c r="L598" s="39"/>
      <c r="M598" s="39"/>
      <c r="N598" s="39" t="s">
        <v>74</v>
      </c>
      <c r="O598" s="42"/>
      <c r="P598" s="43"/>
    </row>
    <row r="599" spans="1:18" ht="15.75" customHeight="1" x14ac:dyDescent="0.3">
      <c r="A599" s="11"/>
      <c r="B599" s="11"/>
      <c r="D599" s="58" t="s">
        <v>4</v>
      </c>
      <c r="E599" s="55">
        <v>45685</v>
      </c>
      <c r="F599" s="37"/>
      <c r="G599" s="56">
        <v>1.6666666666666666E-2</v>
      </c>
      <c r="H599" s="53"/>
      <c r="I599" s="40"/>
      <c r="J599" s="57" t="s">
        <v>7</v>
      </c>
      <c r="K599" s="48"/>
      <c r="L599" s="46"/>
      <c r="M599" s="46"/>
      <c r="N599" s="46" t="s">
        <v>74</v>
      </c>
      <c r="O599" s="51"/>
      <c r="P599" s="52"/>
      <c r="Q599" s="19"/>
      <c r="R599" s="18"/>
    </row>
    <row r="600" spans="1:18" ht="15.75" customHeight="1" x14ac:dyDescent="0.3">
      <c r="A600" s="11"/>
      <c r="B600" s="11"/>
      <c r="D600" s="58" t="s">
        <v>3</v>
      </c>
      <c r="E600" s="55">
        <v>45685</v>
      </c>
      <c r="F600" s="37"/>
      <c r="G600" s="56">
        <v>0.5541666666666667</v>
      </c>
      <c r="H600" s="53">
        <f t="shared" ref="H600" si="197">IF((E600=0),"0",IF((E600=E599+1),(((24-INT(G599))+INT(G600))-1),(INT(G600)-INT(G599)-1))+((1-((G599-INT(G599))/0.6))+((G600-INT(G600))/0.6)))+(F600)</f>
        <v>0.89583333333333348</v>
      </c>
      <c r="I600" s="40"/>
      <c r="J600" s="57" t="s">
        <v>13</v>
      </c>
      <c r="K600" s="46">
        <v>23</v>
      </c>
      <c r="L600" s="46">
        <v>115.3</v>
      </c>
      <c r="M600" s="46">
        <f>IF(D600="eosp",L600/H600,"")</f>
        <v>128.70697674418602</v>
      </c>
      <c r="N600" s="46" t="s">
        <v>39</v>
      </c>
      <c r="O600" s="51">
        <v>0.42</v>
      </c>
      <c r="P600" s="52">
        <v>127</v>
      </c>
      <c r="Q600" s="20"/>
      <c r="R600" s="18"/>
    </row>
    <row r="601" spans="1:18" ht="15.75" customHeight="1" x14ac:dyDescent="0.3">
      <c r="A601" s="11"/>
      <c r="B601" s="11"/>
      <c r="D601" s="35"/>
      <c r="E601" s="36"/>
      <c r="F601" s="37"/>
      <c r="G601" s="38"/>
      <c r="H601" s="53"/>
      <c r="I601" s="40"/>
      <c r="J601" s="41"/>
      <c r="K601" s="39"/>
      <c r="L601" s="39"/>
      <c r="M601" s="39"/>
      <c r="N601" s="39" t="s">
        <v>74</v>
      </c>
      <c r="O601" s="42"/>
      <c r="P601" s="43"/>
      <c r="R601" s="18"/>
    </row>
    <row r="602" spans="1:18" ht="15.75" customHeight="1" x14ac:dyDescent="0.3">
      <c r="A602" s="11"/>
      <c r="B602" s="11"/>
      <c r="D602" s="54" t="s">
        <v>4</v>
      </c>
      <c r="E602" s="55">
        <v>45686</v>
      </c>
      <c r="F602" s="37"/>
      <c r="G602" s="56">
        <v>0.35416666666666669</v>
      </c>
      <c r="H602" s="53"/>
      <c r="I602" s="40"/>
      <c r="J602" s="57" t="s">
        <v>12</v>
      </c>
      <c r="K602" s="48"/>
      <c r="L602" s="46"/>
      <c r="M602" s="46"/>
      <c r="N602" s="46" t="s">
        <v>74</v>
      </c>
      <c r="O602" s="49"/>
      <c r="P602" s="50"/>
      <c r="Q602" s="18"/>
      <c r="R602" s="18"/>
    </row>
    <row r="603" spans="1:18" ht="15.75" customHeight="1" x14ac:dyDescent="0.3">
      <c r="A603" s="11"/>
      <c r="B603" s="11"/>
      <c r="D603" s="54" t="s">
        <v>3</v>
      </c>
      <c r="E603" s="55">
        <v>45686</v>
      </c>
      <c r="F603" s="37"/>
      <c r="G603" s="56">
        <v>0.84166666666666667</v>
      </c>
      <c r="H603" s="53">
        <f t="shared" ref="H603" si="198">IF((E603=0),"0",IF((E603=E602+1),(((24-INT(G602))+INT(G603))-1),(INT(G603)-INT(G602)-1))+((1-((G602-INT(G602))/0.6))+((G603-INT(G603))/0.6)))+(F603)</f>
        <v>0.8125</v>
      </c>
      <c r="I603" s="40"/>
      <c r="J603" s="57" t="s">
        <v>5</v>
      </c>
      <c r="K603" s="46">
        <v>23.8</v>
      </c>
      <c r="L603" s="46">
        <v>122.9</v>
      </c>
      <c r="M603" s="46">
        <f>IF(D603="eosp",L603/H603,"")</f>
        <v>151.26153846153846</v>
      </c>
      <c r="N603" s="46" t="s">
        <v>37</v>
      </c>
      <c r="O603" s="51">
        <v>0.44</v>
      </c>
      <c r="P603" s="52">
        <v>127</v>
      </c>
      <c r="Q603" s="16"/>
      <c r="R603" s="16"/>
    </row>
    <row r="604" spans="1:18" ht="15.75" customHeight="1" x14ac:dyDescent="0.3">
      <c r="A604" s="11" t="s">
        <v>17</v>
      </c>
      <c r="B604" s="11"/>
      <c r="D604" s="35"/>
      <c r="E604" s="36"/>
      <c r="F604" s="37"/>
      <c r="G604" s="38"/>
      <c r="H604" s="53"/>
      <c r="I604" s="40"/>
      <c r="J604" s="41"/>
      <c r="K604" s="39"/>
      <c r="L604" s="39"/>
      <c r="M604" s="39"/>
      <c r="N604" s="39" t="s">
        <v>74</v>
      </c>
      <c r="O604" s="42"/>
      <c r="P604" s="43"/>
    </row>
    <row r="605" spans="1:18" ht="15.75" customHeight="1" x14ac:dyDescent="0.3">
      <c r="A605" s="11"/>
      <c r="B605" s="11"/>
      <c r="D605" s="58" t="s">
        <v>4</v>
      </c>
      <c r="E605" s="55">
        <v>45688</v>
      </c>
      <c r="F605" s="37"/>
      <c r="G605" s="56">
        <v>7.9166666666666663E-2</v>
      </c>
      <c r="H605" s="53"/>
      <c r="I605" s="40"/>
      <c r="J605" s="57" t="s">
        <v>7</v>
      </c>
      <c r="K605" s="48"/>
      <c r="L605" s="46"/>
      <c r="M605" s="46"/>
      <c r="N605" s="46" t="s">
        <v>74</v>
      </c>
      <c r="O605" s="51"/>
      <c r="P605" s="52"/>
      <c r="Q605" s="19"/>
      <c r="R605" s="18"/>
    </row>
    <row r="606" spans="1:18" ht="15.75" customHeight="1" x14ac:dyDescent="0.3">
      <c r="A606" s="11"/>
      <c r="B606" s="11"/>
      <c r="D606" s="58" t="s">
        <v>3</v>
      </c>
      <c r="E606" s="55">
        <v>45688</v>
      </c>
      <c r="F606" s="37"/>
      <c r="G606" s="56">
        <v>0.6</v>
      </c>
      <c r="H606" s="53">
        <f t="shared" ref="H606" si="199">IF((E606=0),"0",IF((E606=E605+1),(((24-INT(G605))+INT(G606))-1),(INT(G606)-INT(G605)-1))+((1-((G605-INT(G605))/0.6))+((G606-INT(G606))/0.6)))+(F606)</f>
        <v>0.86805555555555558</v>
      </c>
      <c r="I606" s="40"/>
      <c r="J606" s="57" t="s">
        <v>13</v>
      </c>
      <c r="K606" s="46">
        <v>28.4</v>
      </c>
      <c r="L606" s="46">
        <v>115.5</v>
      </c>
      <c r="M606" s="46">
        <f>IF(D606="eosp",L606/H606,"")</f>
        <v>133.05599999999998</v>
      </c>
      <c r="N606" s="46" t="s">
        <v>30</v>
      </c>
      <c r="O606" s="51">
        <v>0.43</v>
      </c>
      <c r="P606" s="52">
        <v>127</v>
      </c>
      <c r="Q606" s="20"/>
      <c r="R606" s="18"/>
    </row>
    <row r="607" spans="1:18" ht="15.75" customHeight="1" x14ac:dyDescent="0.3">
      <c r="A607" s="11"/>
      <c r="B607" s="11"/>
      <c r="D607" s="35"/>
      <c r="E607" s="36"/>
      <c r="F607" s="37"/>
      <c r="G607" s="38"/>
      <c r="H607" s="53"/>
      <c r="I607" s="40"/>
      <c r="J607" s="41"/>
      <c r="K607" s="39"/>
      <c r="L607" s="39"/>
      <c r="M607" s="39"/>
      <c r="N607" s="39" t="s">
        <v>74</v>
      </c>
      <c r="O607" s="42"/>
      <c r="P607" s="43"/>
      <c r="R607" s="18"/>
    </row>
    <row r="608" spans="1:18" ht="15.75" customHeight="1" x14ac:dyDescent="0.3">
      <c r="A608" s="11"/>
      <c r="B608" s="11"/>
      <c r="D608" s="54" t="s">
        <v>4</v>
      </c>
      <c r="E608" s="55">
        <v>45689</v>
      </c>
      <c r="F608" s="37"/>
      <c r="G608" s="56">
        <v>0.27916666666666667</v>
      </c>
      <c r="H608" s="53"/>
      <c r="I608" s="40"/>
      <c r="J608" s="57" t="s">
        <v>12</v>
      </c>
      <c r="K608" s="48"/>
      <c r="L608" s="46"/>
      <c r="M608" s="46"/>
      <c r="N608" s="46" t="s">
        <v>74</v>
      </c>
      <c r="O608" s="49"/>
      <c r="P608" s="50"/>
      <c r="Q608" s="18"/>
      <c r="R608" s="18"/>
    </row>
    <row r="609" spans="1:18" ht="15.75" customHeight="1" x14ac:dyDescent="0.3">
      <c r="A609" s="11"/>
      <c r="B609" s="11"/>
      <c r="D609" s="54" t="s">
        <v>3</v>
      </c>
      <c r="E609" s="55">
        <v>45689</v>
      </c>
      <c r="F609" s="37"/>
      <c r="G609" s="56">
        <v>0.77083333333333337</v>
      </c>
      <c r="H609" s="53">
        <f t="shared" ref="H609" si="200">IF((E609=0),"0",IF((E609=E608+1),(((24-INT(G608))+INT(G609))-1),(INT(G609)-INT(G608)-1))+((1-((G608-INT(G608))/0.6))+((G609-INT(G609))/0.6)))+(F609)</f>
        <v>0.81944444444444464</v>
      </c>
      <c r="I609" s="40"/>
      <c r="J609" s="57" t="s">
        <v>5</v>
      </c>
      <c r="K609" s="46">
        <v>22</v>
      </c>
      <c r="L609" s="46">
        <v>123.6</v>
      </c>
      <c r="M609" s="46">
        <f>IF(D609="eosp",L609/H609,"")</f>
        <v>150.83389830508472</v>
      </c>
      <c r="N609" s="46" t="s">
        <v>43</v>
      </c>
      <c r="O609" s="51">
        <v>0.45</v>
      </c>
      <c r="P609" s="52">
        <v>126.5</v>
      </c>
      <c r="Q609" s="16"/>
      <c r="R609" s="16"/>
    </row>
    <row r="610" spans="1:18" ht="15.75" customHeight="1" x14ac:dyDescent="0.3">
      <c r="A610" s="11" t="s">
        <v>17</v>
      </c>
      <c r="B610" s="11"/>
      <c r="D610" s="35"/>
      <c r="E610" s="36"/>
      <c r="F610" s="37"/>
      <c r="G610" s="38"/>
      <c r="H610" s="53"/>
      <c r="I610" s="40"/>
      <c r="J610" s="41"/>
      <c r="K610" s="39"/>
      <c r="L610" s="39"/>
      <c r="M610" s="39"/>
      <c r="N610" s="39" t="s">
        <v>74</v>
      </c>
      <c r="O610" s="42"/>
      <c r="P610" s="43"/>
    </row>
    <row r="611" spans="1:18" ht="15.75" customHeight="1" x14ac:dyDescent="0.3">
      <c r="A611" s="11"/>
      <c r="B611" s="11"/>
      <c r="D611" s="58" t="s">
        <v>4</v>
      </c>
      <c r="E611" s="55">
        <v>45691</v>
      </c>
      <c r="F611" s="37"/>
      <c r="G611" s="56">
        <v>0.14583333333333334</v>
      </c>
      <c r="H611" s="53"/>
      <c r="I611" s="40"/>
      <c r="J611" s="57" t="s">
        <v>7</v>
      </c>
      <c r="K611" s="48"/>
      <c r="L611" s="46"/>
      <c r="M611" s="46"/>
      <c r="N611" s="46" t="s">
        <v>74</v>
      </c>
      <c r="O611" s="51"/>
      <c r="P611" s="52"/>
      <c r="Q611" s="19"/>
      <c r="R611" s="18"/>
    </row>
    <row r="612" spans="1:18" ht="15.75" customHeight="1" x14ac:dyDescent="0.3">
      <c r="A612" s="11"/>
      <c r="B612" s="11"/>
      <c r="D612" s="58" t="s">
        <v>3</v>
      </c>
      <c r="E612" s="55">
        <v>45691</v>
      </c>
      <c r="F612" s="37"/>
      <c r="G612" s="56">
        <v>0.66666666666666663</v>
      </c>
      <c r="H612" s="53">
        <f t="shared" ref="H612" si="201">IF((E612=0),"0",IF((E612=E611+1),(((24-INT(G611))+INT(G612))-1),(INT(G612)-INT(G611)-1))+((1-((G611-INT(G611))/0.6))+((G612-INT(G612))/0.6)))+(F612)</f>
        <v>0.86805555555555558</v>
      </c>
      <c r="I612" s="40"/>
      <c r="J612" s="57" t="s">
        <v>13</v>
      </c>
      <c r="K612" s="46">
        <v>27</v>
      </c>
      <c r="L612" s="46">
        <v>116.3</v>
      </c>
      <c r="M612" s="46">
        <f>IF(D612="eosp",L612/H612,"")</f>
        <v>133.9776</v>
      </c>
      <c r="N612" s="46" t="s">
        <v>40</v>
      </c>
      <c r="O612" s="51">
        <v>0.42</v>
      </c>
      <c r="P612" s="52">
        <v>120.7</v>
      </c>
      <c r="Q612" s="20"/>
      <c r="R612" s="18"/>
    </row>
    <row r="613" spans="1:18" ht="15.75" customHeight="1" x14ac:dyDescent="0.3">
      <c r="A613" s="11"/>
      <c r="B613" s="11"/>
      <c r="D613" s="35"/>
      <c r="E613" s="36"/>
      <c r="F613" s="37"/>
      <c r="G613" s="38"/>
      <c r="H613" s="53"/>
      <c r="I613" s="40"/>
      <c r="J613" s="41"/>
      <c r="K613" s="39"/>
      <c r="L613" s="39"/>
      <c r="M613" s="39"/>
      <c r="N613" s="39" t="s">
        <v>74</v>
      </c>
      <c r="O613" s="42"/>
      <c r="P613" s="43"/>
      <c r="R613" s="18"/>
    </row>
    <row r="614" spans="1:18" ht="15.75" customHeight="1" x14ac:dyDescent="0.3">
      <c r="A614" s="11"/>
      <c r="B614" s="11"/>
      <c r="D614" s="54" t="s">
        <v>4</v>
      </c>
      <c r="E614" s="55">
        <v>45692</v>
      </c>
      <c r="F614" s="37"/>
      <c r="G614" s="56">
        <v>0.41666666666666669</v>
      </c>
      <c r="H614" s="53"/>
      <c r="I614" s="40"/>
      <c r="J614" s="57" t="s">
        <v>12</v>
      </c>
      <c r="K614" s="48"/>
      <c r="L614" s="46"/>
      <c r="M614" s="46"/>
      <c r="N614" s="46" t="s">
        <v>74</v>
      </c>
      <c r="O614" s="49"/>
      <c r="P614" s="50"/>
      <c r="Q614" s="18"/>
      <c r="R614" s="18"/>
    </row>
    <row r="615" spans="1:18" ht="15.75" customHeight="1" x14ac:dyDescent="0.3">
      <c r="A615" s="11"/>
      <c r="B615" s="11"/>
      <c r="D615" s="54" t="s">
        <v>3</v>
      </c>
      <c r="E615" s="55">
        <v>45692</v>
      </c>
      <c r="F615" s="37"/>
      <c r="G615" s="56">
        <v>0.85416666666666663</v>
      </c>
      <c r="H615" s="53">
        <f t="shared" ref="H615" si="202">IF((E615=0),"0",IF((E615=E614+1),(((24-INT(G614))+INT(G615))-1),(INT(G615)-INT(G614)-1))+((1-((G614-INT(G614))/0.6))+((G615-INT(G615))/0.6)))+(F615)</f>
        <v>0.72916666666666652</v>
      </c>
      <c r="I615" s="40"/>
      <c r="J615" s="57" t="s">
        <v>5</v>
      </c>
      <c r="K615" s="46">
        <v>21.6</v>
      </c>
      <c r="L615" s="46">
        <v>124.8</v>
      </c>
      <c r="M615" s="46">
        <f>IF(D615="eosp",L615/H615,"")</f>
        <v>171.15428571428575</v>
      </c>
      <c r="N615" s="46" t="s">
        <v>33</v>
      </c>
      <c r="O615" s="51">
        <v>0.59</v>
      </c>
      <c r="P615" s="52">
        <v>142</v>
      </c>
      <c r="Q615" s="16"/>
      <c r="R615" s="16"/>
    </row>
    <row r="616" spans="1:18" ht="15.75" customHeight="1" x14ac:dyDescent="0.3">
      <c r="A616" s="11" t="s">
        <v>17</v>
      </c>
      <c r="B616" s="11"/>
      <c r="D616" s="35"/>
      <c r="E616" s="36"/>
      <c r="F616" s="37"/>
      <c r="G616" s="38"/>
      <c r="H616" s="53"/>
      <c r="I616" s="40"/>
      <c r="J616" s="41"/>
      <c r="K616" s="39"/>
      <c r="L616" s="39"/>
      <c r="M616" s="39"/>
      <c r="N616" s="39" t="s">
        <v>74</v>
      </c>
      <c r="O616" s="42"/>
      <c r="P616" s="43"/>
    </row>
    <row r="617" spans="1:18" ht="15.75" customHeight="1" x14ac:dyDescent="0.3">
      <c r="A617" s="11"/>
      <c r="B617" s="11"/>
      <c r="D617" s="58" t="s">
        <v>4</v>
      </c>
      <c r="E617" s="55">
        <v>45693</v>
      </c>
      <c r="F617" s="37"/>
      <c r="G617" s="56">
        <v>0.85416666666666663</v>
      </c>
      <c r="H617" s="53"/>
      <c r="I617" s="40"/>
      <c r="J617" s="57" t="s">
        <v>7</v>
      </c>
      <c r="K617" s="48"/>
      <c r="L617" s="46"/>
      <c r="M617" s="46"/>
      <c r="N617" s="46" t="s">
        <v>74</v>
      </c>
      <c r="O617" s="51"/>
      <c r="P617" s="52"/>
      <c r="Q617" s="16"/>
      <c r="R617" s="18"/>
    </row>
    <row r="618" spans="1:18" ht="15.75" customHeight="1" x14ac:dyDescent="0.3">
      <c r="A618" s="11"/>
      <c r="B618" s="11"/>
      <c r="D618" s="58" t="s">
        <v>3</v>
      </c>
      <c r="E618" s="55">
        <v>45694</v>
      </c>
      <c r="F618" s="37"/>
      <c r="G618" s="56">
        <v>0.35000000000000003</v>
      </c>
      <c r="H618" s="53">
        <f t="shared" ref="H618" si="203">IF((E618=0),"0",IF((E618=E617+1),(((24-INT(G617))+INT(G618))-1),(INT(G618)-INT(G617)-1))+((1-((G617-INT(G617))/0.6))+((G618-INT(G618))/0.6)))+(F618)</f>
        <v>23.159722222222221</v>
      </c>
      <c r="I618" s="40"/>
      <c r="J618" s="57" t="s">
        <v>13</v>
      </c>
      <c r="K618" s="46">
        <v>30.9</v>
      </c>
      <c r="L618" s="46">
        <v>106.7</v>
      </c>
      <c r="M618" s="46">
        <f>IF(D618="eosp",L618/H618,"")</f>
        <v>4.6071364317841086</v>
      </c>
      <c r="N618" s="46" t="s">
        <v>54</v>
      </c>
      <c r="O618" s="51">
        <v>0.44</v>
      </c>
      <c r="P618" s="52">
        <v>122.3</v>
      </c>
      <c r="Q618" s="20"/>
      <c r="R618" s="18"/>
    </row>
    <row r="619" spans="1:18" ht="15.75" customHeight="1" x14ac:dyDescent="0.3">
      <c r="A619" s="11"/>
      <c r="B619" s="11"/>
      <c r="D619" s="35"/>
      <c r="E619" s="36"/>
      <c r="F619" s="37"/>
      <c r="G619" s="38"/>
      <c r="H619" s="53"/>
      <c r="I619" s="40"/>
      <c r="J619" s="41"/>
      <c r="K619" s="39"/>
      <c r="L619" s="39"/>
      <c r="M619" s="39"/>
      <c r="N619" s="39" t="s">
        <v>74</v>
      </c>
      <c r="O619" s="42"/>
      <c r="P619" s="43"/>
      <c r="R619" s="18"/>
    </row>
    <row r="620" spans="1:18" ht="15.75" customHeight="1" x14ac:dyDescent="0.3">
      <c r="A620" s="11"/>
      <c r="B620" s="11"/>
      <c r="D620" s="54" t="s">
        <v>4</v>
      </c>
      <c r="E620" s="55">
        <v>45695</v>
      </c>
      <c r="F620" s="37"/>
      <c r="G620" s="56">
        <v>0.22916666666666666</v>
      </c>
      <c r="H620" s="53"/>
      <c r="I620" s="40"/>
      <c r="J620" s="57" t="s">
        <v>12</v>
      </c>
      <c r="K620" s="48"/>
      <c r="L620" s="46"/>
      <c r="M620" s="46"/>
      <c r="N620" s="46" t="s">
        <v>74</v>
      </c>
      <c r="O620" s="49"/>
      <c r="P620" s="50"/>
      <c r="Q620" s="18"/>
      <c r="R620" s="18"/>
    </row>
    <row r="621" spans="1:18" ht="15.75" customHeight="1" x14ac:dyDescent="0.3">
      <c r="A621" s="11"/>
      <c r="B621" s="11"/>
      <c r="D621" s="54" t="s">
        <v>3</v>
      </c>
      <c r="E621" s="55">
        <v>45695</v>
      </c>
      <c r="F621" s="37"/>
      <c r="G621" s="56">
        <v>0.74583333333333324</v>
      </c>
      <c r="H621" s="53">
        <f t="shared" ref="H621" si="204">IF((E621=0),"0",IF((E621=E620+1),(((24-INT(G620))+INT(G621))-1),(INT(G621)-INT(G620)-1))+((1-((G620-INT(G620))/0.6))+((G621-INT(G621))/0.6)))+(F621)</f>
        <v>0.86111111111111094</v>
      </c>
      <c r="I621" s="40"/>
      <c r="J621" s="57" t="s">
        <v>5</v>
      </c>
      <c r="K621" s="46">
        <v>19.100000000000001</v>
      </c>
      <c r="L621" s="46">
        <v>125.2</v>
      </c>
      <c r="M621" s="46">
        <f>IF(D621="eosp",L621/H621,"")</f>
        <v>145.39354838709681</v>
      </c>
      <c r="N621" s="46" t="s">
        <v>62</v>
      </c>
      <c r="O621" s="51">
        <v>0.39</v>
      </c>
      <c r="P621" s="52">
        <v>117.1</v>
      </c>
      <c r="Q621" s="16"/>
      <c r="R621" s="16"/>
    </row>
    <row r="622" spans="1:18" ht="15.75" customHeight="1" x14ac:dyDescent="0.3">
      <c r="A622" s="11"/>
      <c r="B622" s="11"/>
      <c r="D622" s="35"/>
      <c r="E622" s="36"/>
      <c r="F622" s="37"/>
      <c r="G622" s="38"/>
      <c r="H622" s="53"/>
      <c r="I622" s="40"/>
      <c r="J622" s="41"/>
      <c r="K622" s="39"/>
      <c r="L622" s="39"/>
      <c r="M622" s="39"/>
      <c r="N622" s="39" t="s">
        <v>74</v>
      </c>
      <c r="O622" s="42"/>
      <c r="P622" s="43"/>
      <c r="Q622" s="2"/>
      <c r="R622" s="2"/>
    </row>
    <row r="623" spans="1:18" ht="15.75" customHeight="1" x14ac:dyDescent="0.3">
      <c r="A623" s="11"/>
      <c r="B623" s="11"/>
      <c r="D623" s="58" t="s">
        <v>4</v>
      </c>
      <c r="E623" s="55">
        <v>45696</v>
      </c>
      <c r="F623" s="37"/>
      <c r="G623" s="56">
        <v>0.95833333333333337</v>
      </c>
      <c r="H623" s="53"/>
      <c r="I623" s="40"/>
      <c r="J623" s="57" t="s">
        <v>7</v>
      </c>
      <c r="K623" s="48"/>
      <c r="L623" s="46"/>
      <c r="M623" s="46"/>
      <c r="N623" s="46" t="s">
        <v>74</v>
      </c>
      <c r="O623" s="51"/>
      <c r="P623" s="52"/>
      <c r="Q623" s="2"/>
      <c r="R623" s="2"/>
    </row>
    <row r="624" spans="1:18" ht="15.75" customHeight="1" x14ac:dyDescent="0.3">
      <c r="A624" s="11"/>
      <c r="B624" s="11"/>
      <c r="D624" s="58" t="s">
        <v>3</v>
      </c>
      <c r="E624" s="55">
        <v>45697</v>
      </c>
      <c r="F624" s="37"/>
      <c r="G624" s="56">
        <v>0.47916666666666669</v>
      </c>
      <c r="H624" s="53">
        <f t="shared" ref="H624" si="205">IF((E624=0),"0",IF((E624=E623+1),(((24-INT(G623))+INT(G624))-1),(INT(G624)-INT(G623)-1))+((1-((G623-INT(G623))/0.6))+((G624-INT(G624))/0.6)))+(F624)</f>
        <v>23.201388888888889</v>
      </c>
      <c r="I624" s="40"/>
      <c r="J624" s="57" t="s">
        <v>13</v>
      </c>
      <c r="K624" s="46">
        <v>31.7</v>
      </c>
      <c r="L624" s="46">
        <v>106</v>
      </c>
      <c r="M624" s="46">
        <f>IF(D624="eosp",L624/H624,"")</f>
        <v>4.5686920083807241</v>
      </c>
      <c r="N624" s="46" t="s">
        <v>66</v>
      </c>
      <c r="O624" s="51">
        <v>0.36</v>
      </c>
      <c r="P624" s="52">
        <v>116.9</v>
      </c>
      <c r="Q624" s="2"/>
      <c r="R624" s="2"/>
    </row>
    <row r="625" spans="1:18" ht="15.75" customHeight="1" x14ac:dyDescent="0.3">
      <c r="A625" s="11"/>
      <c r="B625" s="11"/>
      <c r="D625" s="35"/>
      <c r="E625" s="36"/>
      <c r="F625" s="37"/>
      <c r="G625" s="38"/>
      <c r="H625" s="53"/>
      <c r="I625" s="40"/>
      <c r="J625" s="41"/>
      <c r="K625" s="39"/>
      <c r="L625" s="39"/>
      <c r="M625" s="39"/>
      <c r="N625" s="39" t="s">
        <v>74</v>
      </c>
      <c r="O625" s="42"/>
      <c r="P625" s="43"/>
      <c r="Q625" s="2"/>
      <c r="R625" s="2"/>
    </row>
    <row r="626" spans="1:18" ht="15.75" customHeight="1" x14ac:dyDescent="0.3">
      <c r="A626" s="11"/>
      <c r="B626" s="11"/>
      <c r="D626" s="54" t="s">
        <v>4</v>
      </c>
      <c r="E626" s="55">
        <v>45698</v>
      </c>
      <c r="F626" s="37"/>
      <c r="G626" s="56">
        <v>0.42499999999999999</v>
      </c>
      <c r="H626" s="53"/>
      <c r="I626" s="40"/>
      <c r="J626" s="57" t="s">
        <v>12</v>
      </c>
      <c r="K626" s="48"/>
      <c r="L626" s="46"/>
      <c r="M626" s="46"/>
      <c r="N626" s="46" t="s">
        <v>74</v>
      </c>
      <c r="O626" s="49"/>
      <c r="P626" s="50"/>
      <c r="Q626" s="2"/>
      <c r="R626" s="2"/>
    </row>
    <row r="627" spans="1:18" ht="15.75" customHeight="1" x14ac:dyDescent="0.3">
      <c r="A627" s="11"/>
      <c r="B627" s="11"/>
      <c r="D627" s="54" t="s">
        <v>3</v>
      </c>
      <c r="E627" s="55">
        <v>45698</v>
      </c>
      <c r="F627" s="37"/>
      <c r="G627" s="56">
        <v>0.97499999999999998</v>
      </c>
      <c r="H627" s="53">
        <f t="shared" ref="H627" si="206">IF((E627=0),"0",IF((E627=E626+1),(((24-INT(G626))+INT(G627))-1),(INT(G627)-INT(G626)-1))+((1-((G626-INT(G626))/0.6))+((G627-INT(G627))/0.6)))+(F627)</f>
        <v>0.91666666666666652</v>
      </c>
      <c r="I627" s="40"/>
      <c r="J627" s="57" t="s">
        <v>5</v>
      </c>
      <c r="K627" s="46">
        <v>23.7</v>
      </c>
      <c r="L627" s="46">
        <v>124.7</v>
      </c>
      <c r="M627" s="46">
        <f>IF(D627="eosp",L627/H627,"")</f>
        <v>136.03636363636366</v>
      </c>
      <c r="N627" s="46" t="s">
        <v>40</v>
      </c>
      <c r="O627" s="51">
        <v>0.38</v>
      </c>
      <c r="P627" s="52">
        <v>117</v>
      </c>
      <c r="Q627" s="2"/>
      <c r="R627" s="2"/>
    </row>
    <row r="628" spans="1:18" ht="15.75" customHeight="1" x14ac:dyDescent="0.3">
      <c r="A628" s="11"/>
      <c r="B628" s="11"/>
      <c r="D628" s="35"/>
      <c r="E628" s="36"/>
      <c r="F628" s="37"/>
      <c r="G628" s="38"/>
      <c r="H628" s="53"/>
      <c r="I628" s="40"/>
      <c r="J628" s="41"/>
      <c r="K628" s="39"/>
      <c r="L628" s="39"/>
      <c r="M628" s="39"/>
      <c r="N628" s="39" t="s">
        <v>74</v>
      </c>
      <c r="O628" s="42"/>
      <c r="P628" s="43"/>
      <c r="Q628" s="2"/>
      <c r="R628" s="2"/>
    </row>
    <row r="629" spans="1:18" ht="15.75" customHeight="1" x14ac:dyDescent="0.3">
      <c r="A629" s="11"/>
      <c r="B629" s="11"/>
      <c r="D629" s="58" t="s">
        <v>4</v>
      </c>
      <c r="E629" s="55">
        <v>45700</v>
      </c>
      <c r="F629" s="37"/>
      <c r="G629" s="56">
        <v>0.22916666666666666</v>
      </c>
      <c r="H629" s="53"/>
      <c r="I629" s="40"/>
      <c r="J629" s="57" t="s">
        <v>7</v>
      </c>
      <c r="K629" s="48"/>
      <c r="L629" s="46"/>
      <c r="M629" s="46"/>
      <c r="N629" s="46" t="s">
        <v>74</v>
      </c>
      <c r="O629" s="51"/>
      <c r="P629" s="52"/>
      <c r="Q629" s="2"/>
      <c r="R629" s="2"/>
    </row>
    <row r="630" spans="1:18" ht="15.75" customHeight="1" x14ac:dyDescent="0.3">
      <c r="A630" s="11"/>
      <c r="B630" s="11"/>
      <c r="D630" s="58" t="s">
        <v>3</v>
      </c>
      <c r="E630" s="55">
        <v>45700</v>
      </c>
      <c r="F630" s="37"/>
      <c r="G630" s="56">
        <v>0.76666666666666661</v>
      </c>
      <c r="H630" s="53">
        <f t="shared" ref="H630" si="207">IF((E630=0),"0",IF((E630=E629+1),(((24-INT(G629))+INT(G630))-1),(INT(G630)-INT(G629)-1))+((1-((G629-INT(G629))/0.6))+((G630-INT(G630))/0.6)))+(F630)</f>
        <v>0.89583333333333326</v>
      </c>
      <c r="I630" s="40"/>
      <c r="J630" s="57" t="s">
        <v>13</v>
      </c>
      <c r="K630" s="46">
        <v>30.2</v>
      </c>
      <c r="L630" s="46">
        <v>115.3</v>
      </c>
      <c r="M630" s="46">
        <f>IF(D630="eosp",L630/H630,"")</f>
        <v>128.70697674418605</v>
      </c>
      <c r="N630" s="46" t="s">
        <v>35</v>
      </c>
      <c r="O630" s="51">
        <v>0.4</v>
      </c>
      <c r="P630" s="52">
        <v>121</v>
      </c>
      <c r="Q630" s="2"/>
      <c r="R630" s="2"/>
    </row>
    <row r="631" spans="1:18" ht="15.75" customHeight="1" x14ac:dyDescent="0.3">
      <c r="A631" s="11"/>
      <c r="B631" s="11"/>
      <c r="D631" s="35"/>
      <c r="E631" s="36"/>
      <c r="F631" s="37"/>
      <c r="G631" s="38"/>
      <c r="H631" s="53"/>
      <c r="I631" s="40"/>
      <c r="J631" s="41"/>
      <c r="K631" s="39"/>
      <c r="L631" s="39"/>
      <c r="M631" s="39"/>
      <c r="N631" s="39" t="s">
        <v>74</v>
      </c>
      <c r="O631" s="42"/>
      <c r="P631" s="43"/>
      <c r="Q631" s="2"/>
      <c r="R631" s="2"/>
    </row>
    <row r="632" spans="1:18" ht="15.75" customHeight="1" x14ac:dyDescent="0.3">
      <c r="A632" s="11"/>
      <c r="B632" s="11"/>
      <c r="D632" s="54" t="s">
        <v>4</v>
      </c>
      <c r="E632" s="55">
        <v>45701</v>
      </c>
      <c r="F632" s="37"/>
      <c r="G632" s="56">
        <v>0.97916666666666663</v>
      </c>
      <c r="H632" s="53"/>
      <c r="I632" s="40"/>
      <c r="J632" s="57" t="s">
        <v>12</v>
      </c>
      <c r="K632" s="48"/>
      <c r="L632" s="46"/>
      <c r="M632" s="46"/>
      <c r="N632" s="46" t="s">
        <v>74</v>
      </c>
      <c r="O632" s="49"/>
      <c r="P632" s="50"/>
      <c r="Q632" s="2"/>
      <c r="R632" s="2"/>
    </row>
    <row r="633" spans="1:18" ht="15.75" customHeight="1" x14ac:dyDescent="0.3">
      <c r="A633" s="11"/>
      <c r="B633" s="11"/>
      <c r="D633" s="54" t="s">
        <v>3</v>
      </c>
      <c r="E633" s="55">
        <v>45702</v>
      </c>
      <c r="F633" s="37"/>
      <c r="G633" s="56">
        <v>0.48749999999999999</v>
      </c>
      <c r="H633" s="53">
        <f t="shared" ref="H633" si="208">IF((E633=0),"0",IF((E633=E632+1),(((24-INT(G632))+INT(G633))-1),(INT(G633)-INT(G632)-1))+((1-((G632-INT(G632))/0.6))+((G633-INT(G633))/0.6)))+(F633)</f>
        <v>23.180555555555557</v>
      </c>
      <c r="I633" s="40"/>
      <c r="J633" s="57" t="s">
        <v>5</v>
      </c>
      <c r="K633" s="46">
        <v>18.600000000000001</v>
      </c>
      <c r="L633" s="46">
        <v>124.9</v>
      </c>
      <c r="M633" s="46">
        <f>IF(D633="eosp",L633/H633,"")</f>
        <v>5.3881366087477529</v>
      </c>
      <c r="N633" s="46" t="s">
        <v>36</v>
      </c>
      <c r="O633" s="51">
        <v>0.38</v>
      </c>
      <c r="P633" s="52">
        <v>118.6</v>
      </c>
      <c r="Q633" s="2"/>
      <c r="R633" s="2"/>
    </row>
    <row r="634" spans="1:18" ht="15.75" customHeight="1" x14ac:dyDescent="0.3">
      <c r="A634" s="11"/>
      <c r="B634" s="11"/>
      <c r="D634" s="35"/>
      <c r="E634" s="36"/>
      <c r="F634" s="37"/>
      <c r="G634" s="38"/>
      <c r="H634" s="53"/>
      <c r="I634" s="40"/>
      <c r="J634" s="41"/>
      <c r="K634" s="39"/>
      <c r="L634" s="39"/>
      <c r="M634" s="39"/>
      <c r="N634" s="39" t="s">
        <v>74</v>
      </c>
      <c r="O634" s="42"/>
      <c r="P634" s="43"/>
      <c r="Q634" s="2"/>
      <c r="R634" s="2"/>
    </row>
    <row r="635" spans="1:18" ht="15.75" customHeight="1" x14ac:dyDescent="0.3">
      <c r="A635" s="11"/>
      <c r="B635" s="11"/>
      <c r="D635" s="58" t="s">
        <v>4</v>
      </c>
      <c r="E635" s="55">
        <v>45703</v>
      </c>
      <c r="F635" s="37"/>
      <c r="G635" s="56">
        <v>0.875</v>
      </c>
      <c r="H635" s="53"/>
      <c r="I635" s="40"/>
      <c r="J635" s="57" t="s">
        <v>7</v>
      </c>
      <c r="K635" s="48"/>
      <c r="L635" s="46"/>
      <c r="M635" s="46"/>
      <c r="N635" s="46" t="s">
        <v>74</v>
      </c>
      <c r="O635" s="51"/>
      <c r="P635" s="52"/>
      <c r="Q635" s="2"/>
      <c r="R635" s="2"/>
    </row>
    <row r="636" spans="1:18" ht="15.75" customHeight="1" x14ac:dyDescent="0.3">
      <c r="A636" s="11"/>
      <c r="B636" s="11"/>
      <c r="D636" s="58" t="s">
        <v>3</v>
      </c>
      <c r="E636" s="55">
        <v>45704</v>
      </c>
      <c r="F636" s="37"/>
      <c r="G636" s="56">
        <v>0.4375</v>
      </c>
      <c r="H636" s="53">
        <f t="shared" ref="H636" si="209">IF((E636=0),"0",IF((E636=E635+1),(((24-INT(G635))+INT(G636))-1),(INT(G636)-INT(G635)-1))+((1-((G635-INT(G635))/0.6))+((G636-INT(G636))/0.6)))+(F636)</f>
        <v>23.270833333333332</v>
      </c>
      <c r="I636" s="40"/>
      <c r="J636" s="57" t="s">
        <v>13</v>
      </c>
      <c r="K636" s="46">
        <v>30.9</v>
      </c>
      <c r="L636" s="46">
        <v>118.5</v>
      </c>
      <c r="M636" s="46">
        <f>IF(D636="eosp",L636/H636,"")</f>
        <v>5.0922112802148618</v>
      </c>
      <c r="N636" s="46" t="s">
        <v>40</v>
      </c>
      <c r="O636" s="51">
        <v>0.39</v>
      </c>
      <c r="P636" s="52">
        <v>119.6</v>
      </c>
      <c r="Q636" s="2"/>
      <c r="R636" s="2"/>
    </row>
    <row r="637" spans="1:18" ht="15.75" customHeight="1" x14ac:dyDescent="0.3">
      <c r="A637" s="11"/>
      <c r="B637" s="11"/>
      <c r="D637" s="35"/>
      <c r="E637" s="36"/>
      <c r="F637" s="37"/>
      <c r="G637" s="38"/>
      <c r="H637" s="53"/>
      <c r="I637" s="40"/>
      <c r="J637" s="41"/>
      <c r="K637" s="39"/>
      <c r="L637" s="39"/>
      <c r="M637" s="39"/>
      <c r="N637" s="39" t="s">
        <v>74</v>
      </c>
      <c r="O637" s="42"/>
      <c r="P637" s="43"/>
      <c r="Q637" s="2"/>
      <c r="R637" s="2"/>
    </row>
    <row r="638" spans="1:18" ht="15.75" customHeight="1" x14ac:dyDescent="0.3">
      <c r="A638" s="11"/>
      <c r="B638" s="11"/>
      <c r="D638" s="54" t="s">
        <v>4</v>
      </c>
      <c r="E638" s="55">
        <v>45705</v>
      </c>
      <c r="F638" s="37"/>
      <c r="G638" s="56">
        <v>0.85416666666666663</v>
      </c>
      <c r="H638" s="53"/>
      <c r="I638" s="40"/>
      <c r="J638" s="57" t="s">
        <v>12</v>
      </c>
      <c r="K638" s="48"/>
      <c r="L638" s="46"/>
      <c r="M638" s="46"/>
      <c r="N638" s="46" t="s">
        <v>74</v>
      </c>
      <c r="O638" s="49"/>
      <c r="P638" s="50"/>
      <c r="Q638" s="2"/>
      <c r="R638" s="2"/>
    </row>
    <row r="639" spans="1:18" ht="15.75" customHeight="1" x14ac:dyDescent="0.3">
      <c r="A639" s="11"/>
      <c r="B639" s="11"/>
      <c r="D639" s="54" t="s">
        <v>3</v>
      </c>
      <c r="E639" s="55">
        <v>45706</v>
      </c>
      <c r="F639" s="37"/>
      <c r="G639" s="56">
        <v>0.375</v>
      </c>
      <c r="H639" s="53">
        <f t="shared" ref="H639" si="210">IF((E639=0),"0",IF((E639=E638+1),(((24-INT(G638))+INT(G639))-1),(INT(G639)-INT(G638)-1))+((1-((G638-INT(G638))/0.6))+((G639-INT(G639))/0.6)))+(F639)</f>
        <v>23.201388888888889</v>
      </c>
      <c r="I639" s="40"/>
      <c r="J639" s="57" t="s">
        <v>5</v>
      </c>
      <c r="K639" s="46">
        <v>17.5</v>
      </c>
      <c r="L639" s="46">
        <v>129.9</v>
      </c>
      <c r="M639" s="46">
        <f>IF(D639="eosp",L639/H639,"")</f>
        <v>5.5988027536665674</v>
      </c>
      <c r="N639" s="46" t="s">
        <v>70</v>
      </c>
      <c r="O639" s="51">
        <v>0.38</v>
      </c>
      <c r="P639" s="52">
        <v>118.7</v>
      </c>
      <c r="Q639" s="2"/>
      <c r="R639" s="2"/>
    </row>
    <row r="640" spans="1:18" ht="15.75" customHeight="1" x14ac:dyDescent="0.3">
      <c r="A640" s="11"/>
      <c r="B640" s="11"/>
      <c r="D640" s="35"/>
      <c r="E640" s="36"/>
      <c r="F640" s="37"/>
      <c r="G640" s="38"/>
      <c r="H640" s="53"/>
      <c r="I640" s="40"/>
      <c r="J640" s="41"/>
      <c r="K640" s="39"/>
      <c r="L640" s="39"/>
      <c r="M640" s="39"/>
      <c r="N640" s="39" t="s">
        <v>74</v>
      </c>
      <c r="O640" s="42"/>
      <c r="P640" s="43"/>
      <c r="Q640" s="2"/>
      <c r="R640" s="2"/>
    </row>
    <row r="641" spans="1:18" ht="15.75" customHeight="1" x14ac:dyDescent="0.3">
      <c r="A641" s="11"/>
      <c r="B641" s="11"/>
      <c r="D641" s="58" t="s">
        <v>4</v>
      </c>
      <c r="E641" s="55">
        <v>45707</v>
      </c>
      <c r="F641" s="37"/>
      <c r="G641" s="56">
        <v>0.875</v>
      </c>
      <c r="H641" s="53"/>
      <c r="I641" s="40"/>
      <c r="J641" s="57" t="s">
        <v>7</v>
      </c>
      <c r="K641" s="48"/>
      <c r="L641" s="46"/>
      <c r="M641" s="46"/>
      <c r="N641" s="46" t="s">
        <v>74</v>
      </c>
      <c r="O641" s="51"/>
      <c r="P641" s="52"/>
      <c r="Q641" s="2"/>
      <c r="R641" s="2"/>
    </row>
    <row r="642" spans="1:18" ht="15.75" customHeight="1" x14ac:dyDescent="0.3">
      <c r="A642" s="11"/>
      <c r="B642" s="11"/>
      <c r="D642" s="58" t="s">
        <v>3</v>
      </c>
      <c r="E642" s="55">
        <v>45708</v>
      </c>
      <c r="F642" s="37"/>
      <c r="G642" s="56">
        <v>0.4375</v>
      </c>
      <c r="H642" s="53">
        <f t="shared" ref="H642" si="211">IF((E642=0),"0",IF((E642=E641+1),(((24-INT(G641))+INT(G642))-1),(INT(G642)-INT(G641)-1))+((1-((G641-INT(G641))/0.6))+((G642-INT(G642))/0.6)))+(F642)</f>
        <v>23.270833333333332</v>
      </c>
      <c r="I642" s="40"/>
      <c r="J642" s="57" t="s">
        <v>13</v>
      </c>
      <c r="K642" s="46">
        <v>29.7</v>
      </c>
      <c r="L642" s="46">
        <v>119.4</v>
      </c>
      <c r="M642" s="46">
        <f>IF(D642="eosp",L642/H642,"")</f>
        <v>5.1308863025962408</v>
      </c>
      <c r="N642" s="46" t="s">
        <v>36</v>
      </c>
      <c r="O642" s="51">
        <v>0.39</v>
      </c>
      <c r="P642" s="52">
        <v>118.5</v>
      </c>
      <c r="Q642" s="2"/>
      <c r="R642" s="2"/>
    </row>
    <row r="643" spans="1:18" ht="15.75" customHeight="1" x14ac:dyDescent="0.3">
      <c r="A643" s="11"/>
      <c r="B643" s="11"/>
      <c r="D643" s="35"/>
      <c r="E643" s="36"/>
      <c r="F643" s="37"/>
      <c r="G643" s="38"/>
      <c r="H643" s="53"/>
      <c r="I643" s="40"/>
      <c r="J643" s="41"/>
      <c r="K643" s="39"/>
      <c r="L643" s="39"/>
      <c r="M643" s="39"/>
      <c r="N643" s="39" t="s">
        <v>74</v>
      </c>
      <c r="O643" s="42"/>
      <c r="P643" s="43"/>
      <c r="Q643" s="2"/>
      <c r="R643" s="2"/>
    </row>
    <row r="644" spans="1:18" ht="15.75" customHeight="1" x14ac:dyDescent="0.3">
      <c r="A644" s="11"/>
      <c r="B644" s="11"/>
      <c r="D644" s="54" t="s">
        <v>4</v>
      </c>
      <c r="E644" s="55">
        <v>45709</v>
      </c>
      <c r="F644" s="37"/>
      <c r="G644" s="56">
        <v>0.95833333333333337</v>
      </c>
      <c r="H644" s="53"/>
      <c r="I644" s="40"/>
      <c r="J644" s="57" t="s">
        <v>12</v>
      </c>
      <c r="K644" s="48"/>
      <c r="L644" s="46"/>
      <c r="M644" s="46"/>
      <c r="N644" s="46" t="s">
        <v>74</v>
      </c>
      <c r="O644" s="49"/>
      <c r="P644" s="50"/>
      <c r="Q644" s="2"/>
      <c r="R644" s="2"/>
    </row>
    <row r="645" spans="1:18" ht="15.75" customHeight="1" x14ac:dyDescent="0.3">
      <c r="A645" s="11"/>
      <c r="B645" s="11"/>
      <c r="D645" s="54" t="s">
        <v>3</v>
      </c>
      <c r="E645" s="55">
        <v>45710</v>
      </c>
      <c r="F645" s="37"/>
      <c r="G645" s="56">
        <v>0.5</v>
      </c>
      <c r="H645" s="53">
        <f t="shared" ref="H645" si="212">IF((E645=0),"0",IF((E645=E644+1),(((24-INT(G644))+INT(G645))-1),(INT(G645)-INT(G644)-1))+((1-((G644-INT(G644))/0.6))+((G645-INT(G645))/0.6)))+(F645)</f>
        <v>23.236111111111111</v>
      </c>
      <c r="I645" s="40"/>
      <c r="J645" s="57" t="s">
        <v>5</v>
      </c>
      <c r="K645" s="46">
        <v>20.3</v>
      </c>
      <c r="L645" s="46">
        <v>125.6</v>
      </c>
      <c r="M645" s="46">
        <f>IF(D645="eosp",L645/H645,"")</f>
        <v>5.4053795576808126</v>
      </c>
      <c r="N645" s="46" t="s">
        <v>68</v>
      </c>
      <c r="O645" s="51">
        <v>0.36</v>
      </c>
      <c r="P645" s="52">
        <v>114.1</v>
      </c>
      <c r="Q645" s="2"/>
      <c r="R645" s="2"/>
    </row>
    <row r="646" spans="1:18" ht="15.75" customHeight="1" x14ac:dyDescent="0.3">
      <c r="A646" s="11"/>
      <c r="B646" s="11"/>
      <c r="D646" s="35"/>
      <c r="E646" s="36"/>
      <c r="F646" s="37"/>
      <c r="G646" s="38"/>
      <c r="H646" s="53"/>
      <c r="I646" s="40"/>
      <c r="J646" s="41"/>
      <c r="K646" s="39"/>
      <c r="L646" s="39"/>
      <c r="M646" s="39"/>
      <c r="N646" s="39" t="s">
        <v>74</v>
      </c>
      <c r="O646" s="42"/>
      <c r="P646" s="43"/>
      <c r="Q646" s="2"/>
      <c r="R646" s="2"/>
    </row>
    <row r="647" spans="1:18" ht="15.75" customHeight="1" x14ac:dyDescent="0.3">
      <c r="A647" s="11"/>
      <c r="B647" s="11"/>
      <c r="D647" s="58" t="s">
        <v>4</v>
      </c>
      <c r="E647" s="55">
        <v>45711</v>
      </c>
      <c r="F647" s="37"/>
      <c r="G647" s="56">
        <v>0.47916666666666669</v>
      </c>
      <c r="H647" s="53"/>
      <c r="I647" s="40"/>
      <c r="J647" s="57" t="s">
        <v>7</v>
      </c>
      <c r="K647" s="48"/>
      <c r="L647" s="46"/>
      <c r="M647" s="46"/>
      <c r="N647" s="46" t="s">
        <v>74</v>
      </c>
      <c r="O647" s="51"/>
      <c r="P647" s="52"/>
      <c r="Q647" s="2"/>
      <c r="R647" s="2"/>
    </row>
    <row r="648" spans="1:18" ht="15.75" customHeight="1" x14ac:dyDescent="0.3">
      <c r="A648" s="11"/>
      <c r="B648" s="11"/>
      <c r="D648" s="58" t="s">
        <v>3</v>
      </c>
      <c r="E648" s="55">
        <v>45712</v>
      </c>
      <c r="F648" s="37"/>
      <c r="G648" s="56">
        <v>8.3333333333333332E-3</v>
      </c>
      <c r="H648" s="53">
        <f t="shared" ref="H648" si="213">IF((E648=0),"0",IF((E648=E647+1),(((24-INT(G647))+INT(G648))-1),(INT(G648)-INT(G647)-1))+((1-((G647-INT(G647))/0.6))+((G648-INT(G648))/0.6)))+(F648)</f>
        <v>23.215277777777779</v>
      </c>
      <c r="I648" s="40"/>
      <c r="J648" s="57" t="s">
        <v>13</v>
      </c>
      <c r="K648" s="46">
        <v>25.8</v>
      </c>
      <c r="L648" s="46">
        <v>121.7</v>
      </c>
      <c r="M648" s="46">
        <f>IF(D648="eosp",L648/H648,"")</f>
        <v>5.2422375112174695</v>
      </c>
      <c r="N648" s="46" t="s">
        <v>40</v>
      </c>
      <c r="O648" s="51">
        <v>0.42</v>
      </c>
      <c r="P648" s="52">
        <v>122</v>
      </c>
      <c r="Q648" s="2"/>
      <c r="R648" s="2"/>
    </row>
    <row r="649" spans="1:18" ht="15.75" customHeight="1" x14ac:dyDescent="0.3">
      <c r="A649" s="11"/>
      <c r="B649" s="11"/>
      <c r="D649" s="35"/>
      <c r="E649" s="36"/>
      <c r="F649" s="37"/>
      <c r="G649" s="38"/>
      <c r="H649" s="53"/>
      <c r="I649" s="40"/>
      <c r="J649" s="41"/>
      <c r="K649" s="39"/>
      <c r="L649" s="39"/>
      <c r="M649" s="39"/>
      <c r="N649" s="39" t="s">
        <v>74</v>
      </c>
      <c r="O649" s="42"/>
      <c r="P649" s="43"/>
      <c r="Q649" s="2"/>
      <c r="R649" s="2"/>
    </row>
    <row r="650" spans="1:18" ht="15.75" customHeight="1" x14ac:dyDescent="0.3">
      <c r="A650" s="11"/>
      <c r="B650" s="11"/>
      <c r="D650" s="54" t="s">
        <v>4</v>
      </c>
      <c r="E650" s="55">
        <v>45712</v>
      </c>
      <c r="F650" s="37"/>
      <c r="G650" s="56">
        <v>0.79166666666666663</v>
      </c>
      <c r="H650" s="53"/>
      <c r="I650" s="40"/>
      <c r="J650" s="57" t="s">
        <v>12</v>
      </c>
      <c r="K650" s="48"/>
      <c r="L650" s="46"/>
      <c r="M650" s="46"/>
      <c r="N650" s="46" t="s">
        <v>74</v>
      </c>
      <c r="O650" s="49"/>
      <c r="P650" s="50"/>
      <c r="Q650" s="2"/>
      <c r="R650" s="2"/>
    </row>
    <row r="651" spans="1:18" ht="15.75" customHeight="1" x14ac:dyDescent="0.3">
      <c r="A651" s="11"/>
      <c r="B651" s="11"/>
      <c r="D651" s="54" t="s">
        <v>3</v>
      </c>
      <c r="E651" s="55">
        <v>45713</v>
      </c>
      <c r="F651" s="37"/>
      <c r="G651" s="56">
        <v>0.375</v>
      </c>
      <c r="H651" s="53">
        <f t="shared" ref="H651" si="214">IF((E651=0),"0",IF((E651=E650+1),(((24-INT(G650))+INT(G651))-1),(INT(G651)-INT(G650)-1))+((1-((G650-INT(G650))/0.6))+((G651-INT(G651))/0.6)))+(F651)</f>
        <v>23.305555555555557</v>
      </c>
      <c r="I651" s="40"/>
      <c r="J651" s="57" t="s">
        <v>5</v>
      </c>
      <c r="K651" s="46">
        <v>29.1</v>
      </c>
      <c r="L651" s="46">
        <v>125</v>
      </c>
      <c r="M651" s="46">
        <f>IF(D651="eosp",L651/H651,"")</f>
        <v>5.3635280095351607</v>
      </c>
      <c r="N651" s="46" t="s">
        <v>42</v>
      </c>
      <c r="O651" s="51">
        <v>0.41</v>
      </c>
      <c r="P651" s="52">
        <v>118.6</v>
      </c>
      <c r="Q651" s="2"/>
      <c r="R651" s="2"/>
    </row>
    <row r="652" spans="1:18" ht="15.75" customHeight="1" x14ac:dyDescent="0.3">
      <c r="A652" s="11"/>
      <c r="B652" s="11"/>
      <c r="D652" s="35"/>
      <c r="E652" s="36"/>
      <c r="F652" s="37"/>
      <c r="G652" s="38"/>
      <c r="H652" s="53"/>
      <c r="I652" s="40"/>
      <c r="J652" s="41"/>
      <c r="K652" s="39"/>
      <c r="L652" s="39"/>
      <c r="M652" s="39"/>
      <c r="N652" s="39" t="s">
        <v>74</v>
      </c>
      <c r="O652" s="42"/>
      <c r="P652" s="43"/>
      <c r="Q652" s="2"/>
      <c r="R652" s="2"/>
    </row>
    <row r="653" spans="1:18" ht="15.75" customHeight="1" x14ac:dyDescent="0.3">
      <c r="A653" s="11"/>
      <c r="B653" s="11"/>
      <c r="D653" s="58" t="s">
        <v>4</v>
      </c>
      <c r="E653" s="55">
        <v>45715</v>
      </c>
      <c r="F653" s="37"/>
      <c r="G653" s="56">
        <v>0.77083333333333337</v>
      </c>
      <c r="H653" s="53"/>
      <c r="I653" s="40"/>
      <c r="J653" s="57" t="s">
        <v>7</v>
      </c>
      <c r="K653" s="48"/>
      <c r="L653" s="46"/>
      <c r="M653" s="46"/>
      <c r="N653" s="46" t="s">
        <v>74</v>
      </c>
      <c r="O653" s="51"/>
      <c r="P653" s="52"/>
      <c r="Q653" s="2"/>
      <c r="R653" s="2"/>
    </row>
    <row r="654" spans="1:18" ht="15.75" customHeight="1" x14ac:dyDescent="0.3">
      <c r="A654" s="11"/>
      <c r="B654" s="11"/>
      <c r="D654" s="58" t="s">
        <v>3</v>
      </c>
      <c r="E654" s="55">
        <v>45716</v>
      </c>
      <c r="F654" s="37"/>
      <c r="G654" s="56">
        <v>0.35416666666666669</v>
      </c>
      <c r="H654" s="53">
        <f t="shared" ref="H654" si="215">IF((E654=0),"0",IF((E654=E653+1),(((24-INT(G653))+INT(G654))-1),(INT(G654)-INT(G653)-1))+((1-((G653-INT(G653))/0.6))+((G654-INT(G654))/0.6)))+(F654)</f>
        <v>23.305555555555557</v>
      </c>
      <c r="I654" s="40"/>
      <c r="J654" s="57" t="s">
        <v>13</v>
      </c>
      <c r="K654" s="46">
        <v>27.8</v>
      </c>
      <c r="L654" s="46">
        <v>126.9</v>
      </c>
      <c r="M654" s="46">
        <f>IF(D654="eosp",L654/H654,"")</f>
        <v>5.4450536352800949</v>
      </c>
      <c r="N654" s="46" t="s">
        <v>35</v>
      </c>
      <c r="O654" s="51">
        <v>0.4</v>
      </c>
      <c r="P654" s="52">
        <v>118.2</v>
      </c>
      <c r="Q654" s="2"/>
      <c r="R654" s="2"/>
    </row>
    <row r="655" spans="1:18" ht="15.75" customHeight="1" x14ac:dyDescent="0.3">
      <c r="A655" s="11"/>
      <c r="B655" s="11"/>
      <c r="D655" s="35"/>
      <c r="E655" s="36"/>
      <c r="F655" s="37"/>
      <c r="G655" s="38"/>
      <c r="H655" s="53"/>
      <c r="I655" s="40"/>
      <c r="J655" s="41"/>
      <c r="K655" s="39"/>
      <c r="L655" s="39"/>
      <c r="M655" s="39"/>
      <c r="N655" s="39" t="s">
        <v>74</v>
      </c>
      <c r="O655" s="42"/>
      <c r="P655" s="43"/>
      <c r="Q655" s="2"/>
      <c r="R655" s="2"/>
    </row>
    <row r="656" spans="1:18" ht="15.75" customHeight="1" x14ac:dyDescent="0.3">
      <c r="A656" s="11"/>
      <c r="B656" s="11"/>
      <c r="D656" s="54" t="s">
        <v>4</v>
      </c>
      <c r="E656" s="55">
        <v>45717</v>
      </c>
      <c r="F656" s="37"/>
      <c r="G656" s="56">
        <v>0.10416666666666667</v>
      </c>
      <c r="H656" s="53"/>
      <c r="I656" s="40"/>
      <c r="J656" s="57" t="s">
        <v>12</v>
      </c>
      <c r="K656" s="48"/>
      <c r="L656" s="46"/>
      <c r="M656" s="46"/>
      <c r="N656" s="46" t="s">
        <v>74</v>
      </c>
      <c r="O656" s="49"/>
      <c r="P656" s="50"/>
      <c r="Q656" s="2"/>
      <c r="R656" s="2"/>
    </row>
    <row r="657" spans="1:18" ht="15.75" customHeight="1" x14ac:dyDescent="0.3">
      <c r="A657" s="11"/>
      <c r="B657" s="11"/>
      <c r="D657" s="54" t="s">
        <v>3</v>
      </c>
      <c r="E657" s="55">
        <v>45717</v>
      </c>
      <c r="F657" s="37"/>
      <c r="G657" s="56">
        <v>0.66666666666666663</v>
      </c>
      <c r="H657" s="53">
        <f t="shared" ref="H657" si="216">IF((E657=0),"0",IF((E657=E656+1),(((24-INT(G656))+INT(G657))-1),(INT(G657)-INT(G656)-1))+((1-((G656-INT(G656))/0.6))+((G657-INT(G657))/0.6)))+(F657)</f>
        <v>0.9375</v>
      </c>
      <c r="I657" s="40"/>
      <c r="J657" s="57" t="s">
        <v>5</v>
      </c>
      <c r="K657" s="46">
        <v>24.4</v>
      </c>
      <c r="L657" s="46">
        <v>126</v>
      </c>
      <c r="M657" s="46">
        <f>IF(D657="eosp",L657/H657,"")</f>
        <v>134.4</v>
      </c>
      <c r="N657" s="46" t="s">
        <v>35</v>
      </c>
      <c r="O657" s="51">
        <v>0.38</v>
      </c>
      <c r="P657" s="52">
        <v>116.3</v>
      </c>
      <c r="Q657" s="2"/>
      <c r="R657" s="2"/>
    </row>
    <row r="658" spans="1:18" ht="15.75" customHeight="1" x14ac:dyDescent="0.3">
      <c r="A658" s="11"/>
      <c r="B658" s="11"/>
      <c r="D658" s="35"/>
      <c r="E658" s="36"/>
      <c r="F658" s="37"/>
      <c r="G658" s="38"/>
      <c r="H658" s="53"/>
      <c r="I658" s="40"/>
      <c r="J658" s="41"/>
      <c r="K658" s="39"/>
      <c r="L658" s="39"/>
      <c r="M658" s="39"/>
      <c r="N658" s="39" t="s">
        <v>74</v>
      </c>
      <c r="O658" s="42"/>
      <c r="P658" s="43"/>
      <c r="Q658" s="2"/>
      <c r="R658" s="2"/>
    </row>
    <row r="659" spans="1:18" ht="15.75" customHeight="1" x14ac:dyDescent="0.3">
      <c r="A659" s="11"/>
      <c r="B659" s="11"/>
      <c r="D659" s="58" t="s">
        <v>4</v>
      </c>
      <c r="E659" s="55">
        <v>45718</v>
      </c>
      <c r="F659" s="37"/>
      <c r="G659" s="56">
        <v>0.58333333333333337</v>
      </c>
      <c r="H659" s="53"/>
      <c r="I659" s="40"/>
      <c r="J659" s="57" t="s">
        <v>7</v>
      </c>
      <c r="K659" s="48"/>
      <c r="L659" s="46"/>
      <c r="M659" s="46"/>
      <c r="N659" s="46" t="s">
        <v>74</v>
      </c>
      <c r="O659" s="51"/>
      <c r="P659" s="52"/>
      <c r="Q659" s="2"/>
      <c r="R659" s="2"/>
    </row>
    <row r="660" spans="1:18" ht="15.75" customHeight="1" x14ac:dyDescent="0.3">
      <c r="A660" s="11"/>
      <c r="B660" s="11"/>
      <c r="D660" s="58" t="s">
        <v>3</v>
      </c>
      <c r="E660" s="55">
        <v>45719</v>
      </c>
      <c r="F660" s="37"/>
      <c r="G660" s="56">
        <v>0.16666666666666666</v>
      </c>
      <c r="H660" s="53">
        <f t="shared" ref="H660" si="217">IF((E660=0),"0",IF((E660=E659+1),(((24-INT(G659))+INT(G660))-1),(INT(G660)-INT(G659)-1))+((1-((G659-INT(G659))/0.6))+((G660-INT(G660))/0.6)))+(F660)</f>
        <v>23.305555555555557</v>
      </c>
      <c r="I660" s="40"/>
      <c r="J660" s="57" t="s">
        <v>13</v>
      </c>
      <c r="K660" s="46">
        <v>30.8</v>
      </c>
      <c r="L660" s="46">
        <v>121.5</v>
      </c>
      <c r="M660" s="46">
        <f>IF(D660="eosp",L660/H660,"")</f>
        <v>5.2133492252681757</v>
      </c>
      <c r="N660" s="46" t="s">
        <v>38</v>
      </c>
      <c r="O660" s="51">
        <v>0.39</v>
      </c>
      <c r="P660" s="52">
        <v>118.3</v>
      </c>
      <c r="Q660" s="2"/>
      <c r="R660" s="2"/>
    </row>
    <row r="661" spans="1:18" ht="15.75" customHeight="1" x14ac:dyDescent="0.3">
      <c r="A661" s="11"/>
      <c r="B661" s="11"/>
      <c r="D661" s="35"/>
      <c r="E661" s="36"/>
      <c r="F661" s="37"/>
      <c r="G661" s="38"/>
      <c r="H661" s="53"/>
      <c r="I661" s="40"/>
      <c r="J661" s="41"/>
      <c r="K661" s="39"/>
      <c r="L661" s="39"/>
      <c r="M661" s="39"/>
      <c r="N661" s="39" t="s">
        <v>74</v>
      </c>
      <c r="O661" s="42"/>
      <c r="P661" s="43"/>
      <c r="Q661" s="2"/>
      <c r="R661" s="2"/>
    </row>
    <row r="662" spans="1:18" ht="15.75" customHeight="1" x14ac:dyDescent="0.3">
      <c r="A662" s="11"/>
      <c r="B662" s="11"/>
      <c r="D662" s="54" t="s">
        <v>4</v>
      </c>
      <c r="E662" s="55">
        <v>45720</v>
      </c>
      <c r="F662" s="37"/>
      <c r="G662" s="56">
        <v>0.16666666666666666</v>
      </c>
      <c r="H662" s="53"/>
      <c r="I662" s="40"/>
      <c r="J662" s="57" t="s">
        <v>12</v>
      </c>
      <c r="K662" s="48"/>
      <c r="L662" s="46"/>
      <c r="M662" s="46"/>
      <c r="N662" s="46" t="s">
        <v>74</v>
      </c>
      <c r="O662" s="49"/>
      <c r="P662" s="50"/>
      <c r="Q662" s="2"/>
      <c r="R662" s="2"/>
    </row>
    <row r="663" spans="1:18" ht="15.75" customHeight="1" x14ac:dyDescent="0.3">
      <c r="A663" s="11"/>
      <c r="B663" s="11"/>
      <c r="D663" s="54" t="s">
        <v>3</v>
      </c>
      <c r="E663" s="55">
        <v>45720</v>
      </c>
      <c r="F663" s="37"/>
      <c r="G663" s="56">
        <v>0.6875</v>
      </c>
      <c r="H663" s="53">
        <f t="shared" ref="H663" si="218">IF((E663=0),"0",IF((E663=E662+1),(((24-INT(G662))+INT(G663))-1),(INT(G663)-INT(G662)-1))+((1-((G662-INT(G662))/0.6))+((G663-INT(G663))/0.6)))+(F663)</f>
        <v>0.8680555555555558</v>
      </c>
      <c r="I663" s="40"/>
      <c r="J663" s="57" t="s">
        <v>5</v>
      </c>
      <c r="K663" s="46">
        <v>21.3</v>
      </c>
      <c r="L663" s="46">
        <v>122.9</v>
      </c>
      <c r="M663" s="46">
        <f>IF(D663="eosp",L663/H663,"")</f>
        <v>141.58079999999995</v>
      </c>
      <c r="N663" s="46" t="s">
        <v>70</v>
      </c>
      <c r="O663" s="51">
        <v>0.39500000000000002</v>
      </c>
      <c r="P663" s="52">
        <v>118.2</v>
      </c>
      <c r="Q663" s="2"/>
      <c r="R663" s="2"/>
    </row>
    <row r="664" spans="1:18" ht="15.75" customHeight="1" x14ac:dyDescent="0.3">
      <c r="A664" s="11" t="s">
        <v>17</v>
      </c>
      <c r="B664" s="11"/>
      <c r="D664" s="35"/>
      <c r="E664" s="36"/>
      <c r="F664" s="37"/>
      <c r="G664" s="38"/>
      <c r="H664" s="53"/>
      <c r="I664" s="40"/>
      <c r="J664" s="41"/>
      <c r="K664" s="39"/>
      <c r="L664" s="39"/>
      <c r="M664" s="39"/>
      <c r="N664" s="39" t="s">
        <v>74</v>
      </c>
      <c r="O664" s="42"/>
      <c r="P664" s="43"/>
    </row>
    <row r="665" spans="1:18" ht="15.75" customHeight="1" x14ac:dyDescent="0.3">
      <c r="A665" s="11"/>
      <c r="B665" s="11"/>
      <c r="D665" s="58" t="s">
        <v>4</v>
      </c>
      <c r="E665" s="55">
        <v>45722</v>
      </c>
      <c r="F665" s="37"/>
      <c r="G665" s="56">
        <v>0.72916666666666663</v>
      </c>
      <c r="H665" s="53"/>
      <c r="I665" s="40"/>
      <c r="J665" s="57" t="s">
        <v>7</v>
      </c>
      <c r="K665" s="48"/>
      <c r="L665" s="46"/>
      <c r="M665" s="46"/>
      <c r="N665" s="46" t="s">
        <v>74</v>
      </c>
      <c r="O665" s="51"/>
      <c r="P665" s="52"/>
      <c r="Q665" s="19"/>
      <c r="R665" s="18"/>
    </row>
    <row r="666" spans="1:18" ht="15.75" customHeight="1" x14ac:dyDescent="0.3">
      <c r="A666" s="11"/>
      <c r="B666" s="11"/>
      <c r="D666" s="58" t="s">
        <v>3</v>
      </c>
      <c r="E666" s="55">
        <v>45723</v>
      </c>
      <c r="F666" s="37"/>
      <c r="G666" s="56">
        <v>0.375</v>
      </c>
      <c r="H666" s="53">
        <f t="shared" ref="H666" si="219">IF((E666=0),"0",IF((E666=E665+1),(((24-INT(G665))+INT(G666))-1),(INT(G666)-INT(G665)-1))+((1-((G665-INT(G665))/0.6))+((G666-INT(G666))/0.6)))+(F666)</f>
        <v>23.409722222222221</v>
      </c>
      <c r="I666" s="40"/>
      <c r="J666" s="57" t="s">
        <v>13</v>
      </c>
      <c r="K666" s="46">
        <v>34.200000000000003</v>
      </c>
      <c r="L666" s="46">
        <v>125.6</v>
      </c>
      <c r="M666" s="46">
        <f>IF(D666="eosp",L666/H666,"")</f>
        <v>5.3652921981607831</v>
      </c>
      <c r="N666" s="46" t="s">
        <v>38</v>
      </c>
      <c r="O666" s="51">
        <v>0.36</v>
      </c>
      <c r="P666" s="52">
        <v>116.1</v>
      </c>
      <c r="Q666" s="20"/>
      <c r="R666" s="18"/>
    </row>
    <row r="667" spans="1:18" ht="15.75" customHeight="1" x14ac:dyDescent="0.3">
      <c r="A667" s="11"/>
      <c r="B667" s="11"/>
      <c r="D667" s="35"/>
      <c r="E667" s="36"/>
      <c r="F667" s="37"/>
      <c r="G667" s="38"/>
      <c r="H667" s="53"/>
      <c r="I667" s="40"/>
      <c r="J667" s="41"/>
      <c r="K667" s="39"/>
      <c r="L667" s="39"/>
      <c r="M667" s="39"/>
      <c r="N667" s="39" t="s">
        <v>74</v>
      </c>
      <c r="O667" s="42"/>
      <c r="P667" s="43"/>
      <c r="R667" s="18"/>
    </row>
    <row r="668" spans="1:18" ht="15.75" customHeight="1" x14ac:dyDescent="0.3">
      <c r="A668" s="11"/>
      <c r="B668" s="11"/>
      <c r="D668" s="54" t="s">
        <v>4</v>
      </c>
      <c r="E668" s="55">
        <v>45724</v>
      </c>
      <c r="F668" s="37"/>
      <c r="G668" s="56">
        <v>0.25</v>
      </c>
      <c r="H668" s="53"/>
      <c r="I668" s="40"/>
      <c r="J668" s="57" t="s">
        <v>12</v>
      </c>
      <c r="K668" s="48"/>
      <c r="L668" s="46"/>
      <c r="M668" s="46"/>
      <c r="N668" s="46" t="s">
        <v>74</v>
      </c>
      <c r="O668" s="49"/>
      <c r="P668" s="50"/>
      <c r="Q668" s="18"/>
      <c r="R668" s="18"/>
    </row>
    <row r="669" spans="1:18" ht="15.75" customHeight="1" x14ac:dyDescent="0.3">
      <c r="A669" s="11"/>
      <c r="B669" s="11"/>
      <c r="D669" s="54" t="s">
        <v>3</v>
      </c>
      <c r="E669" s="55">
        <v>45724</v>
      </c>
      <c r="F669" s="37"/>
      <c r="G669" s="56">
        <v>0.8125</v>
      </c>
      <c r="H669" s="53">
        <f t="shared" ref="H669" si="220">IF((E669=0),"0",IF((E669=E668+1),(((24-INT(G668))+INT(G669))-1),(INT(G669)-INT(G668)-1))+((1-((G668-INT(G668))/0.6))+((G669-INT(G669))/0.6)))+(F669)</f>
        <v>0.9375</v>
      </c>
      <c r="I669" s="40"/>
      <c r="J669" s="57" t="s">
        <v>5</v>
      </c>
      <c r="K669" s="46">
        <v>22.6</v>
      </c>
      <c r="L669" s="46">
        <v>125.8</v>
      </c>
      <c r="M669" s="46">
        <f>IF(D669="eosp",L669/H669,"")</f>
        <v>134.18666666666667</v>
      </c>
      <c r="N669" s="46" t="s">
        <v>72</v>
      </c>
      <c r="O669" s="51">
        <v>0.35</v>
      </c>
      <c r="P669" s="52">
        <v>115.3</v>
      </c>
      <c r="Q669" s="16"/>
      <c r="R669" s="16"/>
    </row>
    <row r="670" spans="1:18" ht="15.75" customHeight="1" x14ac:dyDescent="0.3">
      <c r="A670" s="11" t="s">
        <v>17</v>
      </c>
      <c r="B670" s="11"/>
      <c r="D670" s="35"/>
      <c r="E670" s="36"/>
      <c r="F670" s="37"/>
      <c r="G670" s="38"/>
      <c r="H670" s="53"/>
      <c r="I670" s="40"/>
      <c r="J670" s="41"/>
      <c r="K670" s="39"/>
      <c r="L670" s="39"/>
      <c r="M670" s="39"/>
      <c r="N670" s="39" t="s">
        <v>74</v>
      </c>
      <c r="O670" s="42"/>
      <c r="P670" s="43"/>
    </row>
    <row r="671" spans="1:18" ht="15.75" customHeight="1" x14ac:dyDescent="0.3">
      <c r="A671" s="11"/>
      <c r="B671" s="11"/>
      <c r="D671" s="58" t="s">
        <v>4</v>
      </c>
      <c r="E671" s="55">
        <v>45725</v>
      </c>
      <c r="F671" s="37"/>
      <c r="G671" s="56">
        <v>0.77083333333333337</v>
      </c>
      <c r="H671" s="53"/>
      <c r="I671" s="40"/>
      <c r="J671" s="57" t="s">
        <v>7</v>
      </c>
      <c r="K671" s="48"/>
      <c r="L671" s="46"/>
      <c r="M671" s="46"/>
      <c r="N671" s="46" t="s">
        <v>74</v>
      </c>
      <c r="O671" s="51"/>
      <c r="P671" s="52"/>
      <c r="Q671" s="19"/>
      <c r="R671" s="18"/>
    </row>
    <row r="672" spans="1:18" ht="15.75" customHeight="1" x14ac:dyDescent="0.3">
      <c r="A672" s="11"/>
      <c r="B672" s="11"/>
      <c r="D672" s="58" t="s">
        <v>3</v>
      </c>
      <c r="E672" s="55">
        <v>45726</v>
      </c>
      <c r="F672" s="37"/>
      <c r="G672" s="56">
        <v>0.33333333333333331</v>
      </c>
      <c r="H672" s="53">
        <f t="shared" ref="H672" si="221">IF((E672=0),"0",IF((E672=E671+1),(((24-INT(G671))+INT(G672))-1),(INT(G672)-INT(G671)-1))+((1-((G671-INT(G671))/0.6))+((G672-INT(G672))/0.6)))+(F672)</f>
        <v>23.270833333333332</v>
      </c>
      <c r="I672" s="40"/>
      <c r="J672" s="57" t="s">
        <v>13</v>
      </c>
      <c r="K672" s="46">
        <v>30.2</v>
      </c>
      <c r="L672" s="46">
        <v>116.1</v>
      </c>
      <c r="M672" s="46">
        <f>IF(D672="eosp",L672/H672,"")</f>
        <v>4.9890778871978512</v>
      </c>
      <c r="N672" s="46" t="s">
        <v>62</v>
      </c>
      <c r="O672" s="51">
        <v>0.36</v>
      </c>
      <c r="P672" s="52">
        <v>116.1</v>
      </c>
      <c r="Q672" s="20"/>
      <c r="R672" s="18"/>
    </row>
    <row r="673" spans="1:18" ht="15.75" customHeight="1" x14ac:dyDescent="0.3">
      <c r="A673" s="11"/>
      <c r="B673" s="11"/>
      <c r="D673" s="35"/>
      <c r="E673" s="36"/>
      <c r="F673" s="37"/>
      <c r="G673" s="38"/>
      <c r="H673" s="53"/>
      <c r="I673" s="40"/>
      <c r="J673" s="41"/>
      <c r="K673" s="39"/>
      <c r="L673" s="39"/>
      <c r="M673" s="39"/>
      <c r="N673" s="39" t="s">
        <v>74</v>
      </c>
      <c r="O673" s="42"/>
      <c r="P673" s="43"/>
      <c r="R673" s="18"/>
    </row>
    <row r="674" spans="1:18" ht="15.75" customHeight="1" x14ac:dyDescent="0.3">
      <c r="A674" s="11"/>
      <c r="B674" s="11"/>
      <c r="D674" s="54" t="s">
        <v>4</v>
      </c>
      <c r="E674" s="55">
        <v>45727</v>
      </c>
      <c r="F674" s="37"/>
      <c r="G674" s="56">
        <v>4.1666666666666666E-3</v>
      </c>
      <c r="H674" s="53"/>
      <c r="I674" s="40"/>
      <c r="J674" s="57" t="s">
        <v>12</v>
      </c>
      <c r="K674" s="48"/>
      <c r="L674" s="46"/>
      <c r="M674" s="46"/>
      <c r="N674" s="46" t="s">
        <v>74</v>
      </c>
      <c r="O674" s="49"/>
      <c r="P674" s="50"/>
      <c r="Q674" s="18"/>
      <c r="R674" s="18"/>
    </row>
    <row r="675" spans="1:18" ht="15.75" customHeight="1" x14ac:dyDescent="0.3">
      <c r="A675" s="11"/>
      <c r="B675" s="11"/>
      <c r="D675" s="54" t="s">
        <v>3</v>
      </c>
      <c r="E675" s="55">
        <v>45727</v>
      </c>
      <c r="F675" s="37"/>
      <c r="G675" s="56">
        <v>0.5</v>
      </c>
      <c r="H675" s="53">
        <f t="shared" ref="H675" si="222">IF((E675=0),"0",IF((E675=E674+1),(((24-INT(G674))+INT(G675))-1),(INT(G675)-INT(G674)-1))+((1-((G674-INT(G674))/0.6))+((G675-INT(G675))/0.6)))+(F675)</f>
        <v>0.82638888888888884</v>
      </c>
      <c r="I675" s="40"/>
      <c r="J675" s="57" t="s">
        <v>5</v>
      </c>
      <c r="K675" s="46">
        <v>17.8</v>
      </c>
      <c r="L675" s="46">
        <v>120.3</v>
      </c>
      <c r="M675" s="46">
        <f>IF(D675="eosp",L675/H675,"")</f>
        <v>145.57310924369747</v>
      </c>
      <c r="N675" s="46" t="s">
        <v>79</v>
      </c>
      <c r="O675" s="51">
        <v>0.36</v>
      </c>
      <c r="P675" s="52">
        <v>115.9</v>
      </c>
      <c r="Q675" s="16"/>
      <c r="R675" s="16"/>
    </row>
    <row r="676" spans="1:18" ht="15.75" customHeight="1" x14ac:dyDescent="0.3">
      <c r="A676" s="11" t="s">
        <v>17</v>
      </c>
      <c r="B676" s="11"/>
      <c r="D676" s="35"/>
      <c r="E676" s="36"/>
      <c r="F676" s="37"/>
      <c r="G676" s="38"/>
      <c r="H676" s="53"/>
      <c r="I676" s="40"/>
      <c r="J676" s="41"/>
      <c r="K676" s="39"/>
      <c r="L676" s="39"/>
      <c r="M676" s="39"/>
      <c r="N676" s="39" t="s">
        <v>74</v>
      </c>
      <c r="O676" s="42"/>
      <c r="P676" s="43"/>
    </row>
    <row r="677" spans="1:18" ht="15.75" customHeight="1" x14ac:dyDescent="0.3">
      <c r="A677" s="11"/>
      <c r="B677" s="11"/>
      <c r="D677" s="58" t="s">
        <v>4</v>
      </c>
      <c r="E677" s="55">
        <v>45728</v>
      </c>
      <c r="F677" s="37"/>
      <c r="G677" s="56">
        <v>0.52083333333333337</v>
      </c>
      <c r="H677" s="53"/>
      <c r="I677" s="40"/>
      <c r="J677" s="57" t="s">
        <v>7</v>
      </c>
      <c r="K677" s="48"/>
      <c r="L677" s="46"/>
      <c r="M677" s="46"/>
      <c r="N677" s="46" t="s">
        <v>74</v>
      </c>
      <c r="O677" s="51"/>
      <c r="P677" s="52"/>
      <c r="Q677" s="16"/>
      <c r="R677" s="18"/>
    </row>
    <row r="678" spans="1:18" ht="15.75" customHeight="1" x14ac:dyDescent="0.3">
      <c r="A678" s="11"/>
      <c r="B678" s="11"/>
      <c r="D678" s="58" t="s">
        <v>3</v>
      </c>
      <c r="E678" s="55">
        <v>45729</v>
      </c>
      <c r="F678" s="37"/>
      <c r="G678" s="56">
        <v>8.3333333333333329E-2</v>
      </c>
      <c r="H678" s="53">
        <f t="shared" ref="H678" si="223">IF((E678=0),"0",IF((E678=E677+1),(((24-INT(G677))+INT(G678))-1),(INT(G678)-INT(G677)-1))+((1-((G677-INT(G677))/0.6))+((G678-INT(G678))/0.6)))+(F678)</f>
        <v>23.270833333333332</v>
      </c>
      <c r="I678" s="40"/>
      <c r="J678" s="57" t="s">
        <v>13</v>
      </c>
      <c r="K678" s="46">
        <v>26.3</v>
      </c>
      <c r="L678" s="46">
        <v>122</v>
      </c>
      <c r="M678" s="46">
        <f>IF(D678="eosp",L678/H678,"")</f>
        <v>5.2426141450313342</v>
      </c>
      <c r="N678" s="46" t="s">
        <v>40</v>
      </c>
      <c r="O678" s="51">
        <v>0.37</v>
      </c>
      <c r="P678" s="52">
        <v>115.6</v>
      </c>
      <c r="Q678" s="20"/>
      <c r="R678" s="18"/>
    </row>
    <row r="679" spans="1:18" ht="15.75" customHeight="1" x14ac:dyDescent="0.3">
      <c r="A679" s="11"/>
      <c r="B679" s="11"/>
      <c r="D679" s="35"/>
      <c r="E679" s="36"/>
      <c r="F679" s="37"/>
      <c r="G679" s="38"/>
      <c r="H679" s="53"/>
      <c r="I679" s="40"/>
      <c r="J679" s="41"/>
      <c r="K679" s="39"/>
      <c r="L679" s="39"/>
      <c r="M679" s="39"/>
      <c r="N679" s="39" t="s">
        <v>74</v>
      </c>
      <c r="O679" s="42"/>
      <c r="P679" s="43"/>
      <c r="R679" s="18"/>
    </row>
    <row r="680" spans="1:18" ht="15.75" customHeight="1" x14ac:dyDescent="0.3">
      <c r="A680" s="11"/>
      <c r="B680" s="11"/>
      <c r="D680" s="54" t="s">
        <v>4</v>
      </c>
      <c r="E680" s="55">
        <v>45729</v>
      </c>
      <c r="F680" s="37"/>
      <c r="G680" s="56">
        <v>0.72916666666666663</v>
      </c>
      <c r="H680" s="53"/>
      <c r="I680" s="40"/>
      <c r="J680" s="57" t="s">
        <v>12</v>
      </c>
      <c r="K680" s="48"/>
      <c r="L680" s="46"/>
      <c r="M680" s="46"/>
      <c r="N680" s="46" t="s">
        <v>74</v>
      </c>
      <c r="O680" s="49"/>
      <c r="P680" s="50"/>
      <c r="Q680" s="18"/>
      <c r="R680" s="18"/>
    </row>
    <row r="681" spans="1:18" ht="15.75" customHeight="1" x14ac:dyDescent="0.3">
      <c r="A681" s="11"/>
      <c r="B681" s="11"/>
      <c r="D681" s="54" t="s">
        <v>3</v>
      </c>
      <c r="E681" s="55">
        <v>45730</v>
      </c>
      <c r="F681" s="37"/>
      <c r="G681" s="56">
        <v>0.29166666666666669</v>
      </c>
      <c r="H681" s="53">
        <f t="shared" ref="H681" si="224">IF((E681=0),"0",IF((E681=E680+1),(((24-INT(G680))+INT(G681))-1),(INT(G681)-INT(G680)-1))+((1-((G680-INT(G680))/0.6))+((G681-INT(G681))/0.6)))+(F681)</f>
        <v>23.270833333333332</v>
      </c>
      <c r="I681" s="40"/>
      <c r="J681" s="57" t="s">
        <v>5</v>
      </c>
      <c r="K681" s="46">
        <v>25.4</v>
      </c>
      <c r="L681" s="46">
        <v>124.2</v>
      </c>
      <c r="M681" s="46">
        <f>IF(D681="eosp",L681/H681,"")</f>
        <v>5.3371530886302603</v>
      </c>
      <c r="N681" s="46" t="s">
        <v>34</v>
      </c>
      <c r="O681" s="51">
        <v>0.38</v>
      </c>
      <c r="P681" s="52">
        <v>116.1</v>
      </c>
      <c r="Q681" s="16"/>
      <c r="R681" s="16"/>
    </row>
    <row r="682" spans="1:18" ht="15.75" customHeight="1" x14ac:dyDescent="0.3">
      <c r="A682" s="11"/>
      <c r="B682" s="11"/>
      <c r="D682" s="35"/>
      <c r="E682" s="36"/>
      <c r="F682" s="37"/>
      <c r="G682" s="38"/>
      <c r="H682" s="53"/>
      <c r="I682" s="40"/>
      <c r="J682" s="41"/>
      <c r="K682" s="39"/>
      <c r="L682" s="39"/>
      <c r="M682" s="39"/>
      <c r="N682" s="39" t="s">
        <v>74</v>
      </c>
      <c r="O682" s="42"/>
      <c r="P682" s="43"/>
      <c r="Q682" s="2"/>
      <c r="R682" s="2"/>
    </row>
    <row r="683" spans="1:18" ht="15.75" customHeight="1" x14ac:dyDescent="0.3">
      <c r="A683" s="11"/>
      <c r="B683" s="11"/>
      <c r="D683" s="58" t="s">
        <v>4</v>
      </c>
      <c r="E683" s="55">
        <v>45731</v>
      </c>
      <c r="F683" s="37"/>
      <c r="G683" s="56">
        <v>0.14583333333333334</v>
      </c>
      <c r="H683" s="53"/>
      <c r="I683" s="40"/>
      <c r="J683" s="57" t="s">
        <v>7</v>
      </c>
      <c r="K683" s="48"/>
      <c r="L683" s="46"/>
      <c r="M683" s="46"/>
      <c r="N683" s="46" t="s">
        <v>74</v>
      </c>
      <c r="O683" s="51"/>
      <c r="P683" s="52"/>
      <c r="Q683" s="2"/>
      <c r="R683" s="2"/>
    </row>
    <row r="684" spans="1:18" ht="15.75" customHeight="1" x14ac:dyDescent="0.3">
      <c r="A684" s="11"/>
      <c r="B684" s="11"/>
      <c r="D684" s="58" t="s">
        <v>3</v>
      </c>
      <c r="E684" s="55">
        <v>45731</v>
      </c>
      <c r="F684" s="37"/>
      <c r="G684" s="56">
        <v>0.6875</v>
      </c>
      <c r="H684" s="53">
        <f t="shared" ref="H684" si="225">IF((E684=0),"0",IF((E684=E683+1),(((24-INT(G683))+INT(G684))-1),(INT(G684)-INT(G683)-1))+((1-((G683-INT(G683))/0.6))+((G684-INT(G684))/0.6)))+(F684)</f>
        <v>0.9027777777777779</v>
      </c>
      <c r="I684" s="40"/>
      <c r="J684" s="57" t="s">
        <v>13</v>
      </c>
      <c r="K684" s="46">
        <v>29.5</v>
      </c>
      <c r="L684" s="46">
        <v>120.1</v>
      </c>
      <c r="M684" s="46">
        <f>IF(D684="eosp",L684/H684,"")</f>
        <v>133.03384615384613</v>
      </c>
      <c r="N684" s="46" t="s">
        <v>43</v>
      </c>
      <c r="O684" s="51">
        <v>0.43</v>
      </c>
      <c r="P684" s="52">
        <v>124</v>
      </c>
      <c r="Q684" s="2"/>
      <c r="R684" s="2"/>
    </row>
    <row r="685" spans="1:18" ht="15.75" customHeight="1" x14ac:dyDescent="0.3">
      <c r="A685" s="11"/>
      <c r="B685" s="11"/>
      <c r="D685" s="35"/>
      <c r="E685" s="36"/>
      <c r="F685" s="37"/>
      <c r="G685" s="38"/>
      <c r="H685" s="53"/>
      <c r="I685" s="40"/>
      <c r="J685" s="41"/>
      <c r="K685" s="39"/>
      <c r="L685" s="39"/>
      <c r="M685" s="39"/>
      <c r="N685" s="39" t="s">
        <v>74</v>
      </c>
      <c r="O685" s="42"/>
      <c r="P685" s="43"/>
      <c r="R685" s="18"/>
    </row>
    <row r="686" spans="1:18" ht="15.75" customHeight="1" x14ac:dyDescent="0.3">
      <c r="A686" s="11"/>
      <c r="B686" s="11"/>
      <c r="D686" s="54" t="s">
        <v>4</v>
      </c>
      <c r="E686" s="55">
        <v>45734</v>
      </c>
      <c r="F686" s="37"/>
      <c r="G686" s="56">
        <v>0.20833333333333334</v>
      </c>
      <c r="H686" s="53"/>
      <c r="I686" s="40"/>
      <c r="J686" s="57" t="s">
        <v>12</v>
      </c>
      <c r="K686" s="48"/>
      <c r="L686" s="46"/>
      <c r="M686" s="46"/>
      <c r="N686" s="46" t="s">
        <v>74</v>
      </c>
      <c r="O686" s="49"/>
      <c r="P686" s="50"/>
      <c r="Q686" s="18"/>
      <c r="R686" s="18"/>
    </row>
    <row r="687" spans="1:18" ht="15.75" customHeight="1" x14ac:dyDescent="0.3">
      <c r="A687" s="11"/>
      <c r="B687" s="11"/>
      <c r="D687" s="54" t="s">
        <v>3</v>
      </c>
      <c r="E687" s="55">
        <v>45734</v>
      </c>
      <c r="F687" s="37"/>
      <c r="G687" s="56">
        <v>0.77083333333333337</v>
      </c>
      <c r="H687" s="53">
        <f t="shared" ref="H687" si="226">IF((E687=0),"0",IF((E687=E686+1),(((24-INT(G686))+INT(G687))-1),(INT(G687)-INT(G686)-1))+((1-((G686-INT(G686))/0.6))+((G687-INT(G687))/0.6)))+(F687)</f>
        <v>0.9375</v>
      </c>
      <c r="I687" s="40"/>
      <c r="J687" s="57" t="s">
        <v>5</v>
      </c>
      <c r="K687" s="46">
        <v>21.7</v>
      </c>
      <c r="L687" s="46">
        <v>133.80000000000001</v>
      </c>
      <c r="M687" s="46">
        <f>IF(D687="eosp",L687/H687,"")</f>
        <v>142.72</v>
      </c>
      <c r="N687" s="46" t="s">
        <v>44</v>
      </c>
      <c r="O687" s="51">
        <v>0.4</v>
      </c>
      <c r="P687" s="52">
        <v>119.3</v>
      </c>
      <c r="Q687" s="16"/>
      <c r="R687" s="16"/>
    </row>
    <row r="688" spans="1:18" ht="15.75" customHeight="1" x14ac:dyDescent="0.3">
      <c r="A688" s="11" t="s">
        <v>17</v>
      </c>
      <c r="B688" s="11"/>
      <c r="D688" s="35"/>
      <c r="E688" s="36"/>
      <c r="F688" s="37"/>
      <c r="G688" s="38"/>
      <c r="H688" s="53"/>
      <c r="I688" s="40"/>
      <c r="J688" s="41"/>
      <c r="K688" s="39"/>
      <c r="L688" s="39"/>
      <c r="M688" s="39"/>
      <c r="N688" s="39" t="s">
        <v>74</v>
      </c>
      <c r="O688" s="42"/>
      <c r="P688" s="43"/>
    </row>
    <row r="689" spans="1:18" ht="15.75" customHeight="1" x14ac:dyDescent="0.3">
      <c r="A689" s="11"/>
      <c r="B689" s="11"/>
      <c r="D689" s="58" t="s">
        <v>4</v>
      </c>
      <c r="E689" s="55">
        <v>45735</v>
      </c>
      <c r="F689" s="37"/>
      <c r="G689" s="56">
        <v>0.77083333333333337</v>
      </c>
      <c r="H689" s="53"/>
      <c r="I689" s="40"/>
      <c r="J689" s="57" t="s">
        <v>7</v>
      </c>
      <c r="K689" s="48"/>
      <c r="L689" s="46"/>
      <c r="M689" s="46"/>
      <c r="N689" s="46" t="s">
        <v>74</v>
      </c>
      <c r="O689" s="51"/>
      <c r="P689" s="52"/>
      <c r="Q689" s="19"/>
      <c r="R689" s="18"/>
    </row>
    <row r="690" spans="1:18" ht="15.75" customHeight="1" x14ac:dyDescent="0.3">
      <c r="A690" s="11"/>
      <c r="B690" s="11"/>
      <c r="D690" s="58" t="s">
        <v>3</v>
      </c>
      <c r="E690" s="55">
        <v>45736</v>
      </c>
      <c r="F690" s="37"/>
      <c r="G690" s="56">
        <v>0.375</v>
      </c>
      <c r="H690" s="53">
        <f t="shared" ref="H690" si="227">IF((E690=0),"0",IF((E690=E689+1),(((24-INT(G689))+INT(G690))-1),(INT(G690)-INT(G689)-1))+((1-((G689-INT(G689))/0.6))+((G690-INT(G690))/0.6)))+(F690)</f>
        <v>23.340277777777779</v>
      </c>
      <c r="I690" s="40"/>
      <c r="J690" s="57" t="s">
        <v>13</v>
      </c>
      <c r="K690" s="46">
        <v>31.5</v>
      </c>
      <c r="L690" s="46">
        <v>122.2</v>
      </c>
      <c r="M690" s="46">
        <f>IF(D690="eosp",L690/H690,"")</f>
        <v>5.2355846474263608</v>
      </c>
      <c r="N690" s="46" t="s">
        <v>41</v>
      </c>
      <c r="O690" s="51">
        <v>0.36</v>
      </c>
      <c r="P690" s="52">
        <v>116</v>
      </c>
      <c r="Q690" s="20"/>
      <c r="R690" s="18"/>
    </row>
    <row r="691" spans="1:18" ht="15.75" customHeight="1" x14ac:dyDescent="0.3">
      <c r="A691" s="11"/>
      <c r="B691" s="11"/>
      <c r="D691" s="35"/>
      <c r="E691" s="36"/>
      <c r="F691" s="37"/>
      <c r="G691" s="38"/>
      <c r="H691" s="53"/>
      <c r="I691" s="40"/>
      <c r="J691" s="41"/>
      <c r="K691" s="39"/>
      <c r="L691" s="39"/>
      <c r="M691" s="39"/>
      <c r="N691" s="39" t="s">
        <v>74</v>
      </c>
      <c r="O691" s="42"/>
      <c r="P691" s="43"/>
      <c r="R691" s="18"/>
    </row>
    <row r="692" spans="1:18" ht="15.75" customHeight="1" x14ac:dyDescent="0.3">
      <c r="A692" s="11"/>
      <c r="B692" s="11"/>
      <c r="D692" s="54" t="s">
        <v>4</v>
      </c>
      <c r="E692" s="55">
        <v>45737</v>
      </c>
      <c r="F692" s="37"/>
      <c r="G692" s="56">
        <v>0.5</v>
      </c>
      <c r="H692" s="53"/>
      <c r="I692" s="40"/>
      <c r="J692" s="57" t="s">
        <v>12</v>
      </c>
      <c r="K692" s="48"/>
      <c r="L692" s="46"/>
      <c r="M692" s="46"/>
      <c r="N692" s="46" t="s">
        <v>74</v>
      </c>
      <c r="O692" s="49"/>
      <c r="P692" s="50"/>
      <c r="Q692" s="18"/>
      <c r="R692" s="18"/>
    </row>
    <row r="693" spans="1:18" ht="15.75" customHeight="1" x14ac:dyDescent="0.3">
      <c r="A693" s="11"/>
      <c r="B693" s="11"/>
      <c r="D693" s="54" t="s">
        <v>3</v>
      </c>
      <c r="E693" s="55">
        <v>45738</v>
      </c>
      <c r="F693" s="37"/>
      <c r="G693" s="56">
        <v>2.0833333333333332E-2</v>
      </c>
      <c r="H693" s="53">
        <f t="shared" ref="H693" si="228">IF((E693=0),"0",IF((E693=E692+1),(((24-INT(G692))+INT(G693))-1),(INT(G693)-INT(G692)-1))+((1-((G692-INT(G692))/0.6))+((G693-INT(G693))/0.6)))+(F693)</f>
        <v>23.201388888888889</v>
      </c>
      <c r="I693" s="40"/>
      <c r="J693" s="57" t="s">
        <v>5</v>
      </c>
      <c r="K693" s="46">
        <v>19.100000000000001</v>
      </c>
      <c r="L693" s="46">
        <v>124.7</v>
      </c>
      <c r="M693" s="46">
        <f>IF(D693="eosp",L693/H693,"")</f>
        <v>5.3746782400478903</v>
      </c>
      <c r="N693" s="46" t="s">
        <v>62</v>
      </c>
      <c r="O693" s="51">
        <v>0.38</v>
      </c>
      <c r="P693" s="52">
        <v>116.1</v>
      </c>
      <c r="Q693" s="16"/>
      <c r="R693" s="16"/>
    </row>
    <row r="694" spans="1:18" ht="15.75" customHeight="1" x14ac:dyDescent="0.3">
      <c r="A694" s="11" t="s">
        <v>17</v>
      </c>
      <c r="B694" s="11"/>
      <c r="D694" s="35"/>
      <c r="E694" s="36"/>
      <c r="F694" s="37"/>
      <c r="G694" s="38"/>
      <c r="H694" s="53"/>
      <c r="I694" s="40"/>
      <c r="J694" s="41"/>
      <c r="K694" s="39"/>
      <c r="L694" s="39"/>
      <c r="M694" s="39"/>
      <c r="N694" s="39" t="s">
        <v>74</v>
      </c>
      <c r="O694" s="42"/>
      <c r="P694" s="43"/>
    </row>
    <row r="695" spans="1:18" ht="15.75" customHeight="1" x14ac:dyDescent="0.3">
      <c r="A695" s="11"/>
      <c r="B695" s="11"/>
      <c r="D695" s="58" t="s">
        <v>4</v>
      </c>
      <c r="E695" s="55">
        <v>45738</v>
      </c>
      <c r="F695" s="37"/>
      <c r="G695" s="56">
        <v>0.91666666666666663</v>
      </c>
      <c r="H695" s="53"/>
      <c r="I695" s="40"/>
      <c r="J695" s="57" t="s">
        <v>7</v>
      </c>
      <c r="K695" s="48"/>
      <c r="L695" s="46"/>
      <c r="M695" s="46"/>
      <c r="N695" s="46" t="s">
        <v>74</v>
      </c>
      <c r="O695" s="51"/>
      <c r="P695" s="52"/>
      <c r="Q695" s="16"/>
      <c r="R695" s="18"/>
    </row>
    <row r="696" spans="1:18" ht="15.75" customHeight="1" x14ac:dyDescent="0.3">
      <c r="A696" s="11"/>
      <c r="B696" s="11"/>
      <c r="D696" s="58" t="s">
        <v>3</v>
      </c>
      <c r="E696" s="55">
        <v>45739</v>
      </c>
      <c r="F696" s="37"/>
      <c r="G696" s="56">
        <v>0.5</v>
      </c>
      <c r="H696" s="53">
        <f t="shared" ref="H696" si="229">IF((E696=0),"0",IF((E696=E695+1),(((24-INT(G695))+INT(G696))-1),(INT(G696)-INT(G695)-1))+((1-((G695-INT(G695))/0.6))+((G696-INT(G696))/0.6)))+(F696)</f>
        <v>23.305555555555557</v>
      </c>
      <c r="I696" s="40"/>
      <c r="J696" s="57" t="s">
        <v>13</v>
      </c>
      <c r="K696" s="46">
        <v>32.200000000000003</v>
      </c>
      <c r="L696" s="46">
        <v>116.8</v>
      </c>
      <c r="M696" s="46">
        <f>IF(D696="eosp",L696/H696,"")</f>
        <v>5.011680572109654</v>
      </c>
      <c r="N696" s="46" t="s">
        <v>34</v>
      </c>
      <c r="O696" s="51">
        <v>0.38</v>
      </c>
      <c r="P696" s="52">
        <v>116</v>
      </c>
      <c r="Q696" s="20"/>
      <c r="R696" s="18"/>
    </row>
    <row r="697" spans="1:18" ht="15.75" customHeight="1" x14ac:dyDescent="0.3">
      <c r="A697" s="11"/>
      <c r="B697" s="11"/>
      <c r="D697" s="35"/>
      <c r="E697" s="36"/>
      <c r="F697" s="37"/>
      <c r="G697" s="38"/>
      <c r="H697" s="53"/>
      <c r="I697" s="40"/>
      <c r="J697" s="41"/>
      <c r="K697" s="39"/>
      <c r="L697" s="39"/>
      <c r="M697" s="39"/>
      <c r="N697" s="39" t="s">
        <v>74</v>
      </c>
      <c r="O697" s="42"/>
      <c r="P697" s="43"/>
      <c r="R697" s="18"/>
    </row>
    <row r="698" spans="1:18" ht="15.75" customHeight="1" x14ac:dyDescent="0.3">
      <c r="A698" s="11"/>
      <c r="B698" s="11"/>
      <c r="D698" s="54" t="s">
        <v>4</v>
      </c>
      <c r="E698" s="55">
        <v>45740</v>
      </c>
      <c r="F698" s="37"/>
      <c r="G698" s="56">
        <v>0.95833333333333337</v>
      </c>
      <c r="H698" s="53"/>
      <c r="I698" s="40"/>
      <c r="J698" s="57" t="s">
        <v>12</v>
      </c>
      <c r="K698" s="48"/>
      <c r="L698" s="46"/>
      <c r="M698" s="46"/>
      <c r="N698" s="46" t="s">
        <v>74</v>
      </c>
      <c r="O698" s="49"/>
      <c r="P698" s="50"/>
      <c r="Q698" s="18"/>
      <c r="R698" s="18"/>
    </row>
    <row r="699" spans="1:18" ht="15.75" customHeight="1" x14ac:dyDescent="0.3">
      <c r="A699" s="11"/>
      <c r="B699" s="11"/>
      <c r="D699" s="54" t="s">
        <v>3</v>
      </c>
      <c r="E699" s="55">
        <v>45741</v>
      </c>
      <c r="F699" s="37"/>
      <c r="G699" s="56">
        <v>0.70833333333333337</v>
      </c>
      <c r="H699" s="53">
        <f t="shared" ref="H699" si="230">IF((E699=0),"0",IF((E699=E698+1),(((24-INT(G698))+INT(G699))-1),(INT(G699)-INT(G698)-1))+((1-((G698-INT(G698))/0.6))+((G699-INT(G699))/0.6)))+(F699)</f>
        <v>23.583333333333332</v>
      </c>
      <c r="I699" s="40"/>
      <c r="J699" s="57" t="s">
        <v>5</v>
      </c>
      <c r="K699" s="46">
        <v>40.200000000000003</v>
      </c>
      <c r="L699" s="46">
        <v>130.5</v>
      </c>
      <c r="M699" s="46">
        <f>IF(D699="eosp",L699/H699,"")</f>
        <v>5.5335689045936398</v>
      </c>
      <c r="N699" s="46" t="s">
        <v>71</v>
      </c>
      <c r="O699" s="51">
        <v>0.45</v>
      </c>
      <c r="P699" s="52">
        <v>116</v>
      </c>
      <c r="Q699" s="16"/>
      <c r="R699" s="16"/>
    </row>
    <row r="700" spans="1:18" ht="15.75" customHeight="1" x14ac:dyDescent="0.3">
      <c r="A700" s="11"/>
      <c r="B700" s="11"/>
      <c r="D700" s="35"/>
      <c r="E700" s="36"/>
      <c r="F700" s="37"/>
      <c r="G700" s="38"/>
      <c r="H700" s="53"/>
      <c r="I700" s="40"/>
      <c r="J700" s="41"/>
      <c r="K700" s="39"/>
      <c r="L700" s="39"/>
      <c r="M700" s="39"/>
      <c r="N700" s="39" t="s">
        <v>74</v>
      </c>
      <c r="O700" s="42"/>
      <c r="P700" s="43"/>
      <c r="Q700" s="2"/>
      <c r="R700" s="2"/>
    </row>
    <row r="701" spans="1:18" ht="15.75" customHeight="1" x14ac:dyDescent="0.3">
      <c r="A701" s="11"/>
      <c r="B701" s="11"/>
      <c r="D701" s="58" t="s">
        <v>4</v>
      </c>
      <c r="E701" s="55">
        <v>45742</v>
      </c>
      <c r="F701" s="37"/>
      <c r="G701" s="56">
        <v>0.83333333333333337</v>
      </c>
      <c r="H701" s="53"/>
      <c r="I701" s="40"/>
      <c r="J701" s="57" t="s">
        <v>7</v>
      </c>
      <c r="K701" s="48"/>
      <c r="L701" s="46"/>
      <c r="M701" s="46"/>
      <c r="N701" s="46" t="s">
        <v>74</v>
      </c>
      <c r="O701" s="51"/>
      <c r="P701" s="52"/>
      <c r="Q701" s="2"/>
      <c r="R701" s="2"/>
    </row>
    <row r="702" spans="1:18" ht="15.75" customHeight="1" x14ac:dyDescent="0.3">
      <c r="A702" s="11"/>
      <c r="B702" s="11"/>
      <c r="D702" s="58" t="s">
        <v>3</v>
      </c>
      <c r="E702" s="55">
        <v>45743</v>
      </c>
      <c r="F702" s="37"/>
      <c r="G702" s="56">
        <v>0.41666666666666669</v>
      </c>
      <c r="H702" s="53">
        <f t="shared" ref="H702" si="231">IF((E702=0),"0",IF((E702=E701+1),(((24-INT(G701))+INT(G702))-1),(INT(G702)-INT(G701)-1))+((1-((G701-INT(G701))/0.6))+((G702-INT(G702))/0.6)))+(F702)</f>
        <v>23.305555555555557</v>
      </c>
      <c r="I702" s="40"/>
      <c r="J702" s="57" t="s">
        <v>13</v>
      </c>
      <c r="K702" s="46">
        <v>30.6</v>
      </c>
      <c r="L702" s="46">
        <v>120</v>
      </c>
      <c r="M702" s="46">
        <f>IF(D702="eosp",L702/H702,"")</f>
        <v>5.148986889153754</v>
      </c>
      <c r="N702" s="46" t="s">
        <v>42</v>
      </c>
      <c r="O702" s="51">
        <v>0.38</v>
      </c>
      <c r="P702" s="52">
        <v>116.5</v>
      </c>
      <c r="Q702" s="2"/>
      <c r="R702" s="2"/>
    </row>
    <row r="703" spans="1:18" ht="15.75" customHeight="1" x14ac:dyDescent="0.3">
      <c r="A703" s="11"/>
      <c r="B703" s="11"/>
      <c r="D703" s="35"/>
      <c r="E703" s="36"/>
      <c r="F703" s="37"/>
      <c r="G703" s="38"/>
      <c r="H703" s="53"/>
      <c r="I703" s="40"/>
      <c r="J703" s="41"/>
      <c r="K703" s="39"/>
      <c r="L703" s="39"/>
      <c r="M703" s="39"/>
      <c r="N703" s="39" t="s">
        <v>74</v>
      </c>
      <c r="O703" s="42"/>
      <c r="P703" s="43"/>
      <c r="R703" s="18"/>
    </row>
    <row r="704" spans="1:18" ht="15.75" customHeight="1" x14ac:dyDescent="0.3">
      <c r="A704" s="11"/>
      <c r="B704" s="11"/>
      <c r="D704" s="54" t="s">
        <v>4</v>
      </c>
      <c r="E704" s="55">
        <v>45744</v>
      </c>
      <c r="F704" s="37"/>
      <c r="G704" s="56">
        <v>0.14583333333333334</v>
      </c>
      <c r="H704" s="53"/>
      <c r="I704" s="40"/>
      <c r="J704" s="57" t="s">
        <v>12</v>
      </c>
      <c r="K704" s="48"/>
      <c r="L704" s="46"/>
      <c r="M704" s="46"/>
      <c r="N704" s="46" t="s">
        <v>74</v>
      </c>
      <c r="O704" s="49"/>
      <c r="P704" s="50"/>
      <c r="Q704" s="18"/>
      <c r="R704" s="18"/>
    </row>
    <row r="705" spans="1:18" ht="15.75" customHeight="1" x14ac:dyDescent="0.3">
      <c r="A705" s="11"/>
      <c r="B705" s="11"/>
      <c r="D705" s="54" t="s">
        <v>3</v>
      </c>
      <c r="E705" s="55">
        <v>45744</v>
      </c>
      <c r="F705" s="37"/>
      <c r="G705" s="56">
        <v>0.70833333333333337</v>
      </c>
      <c r="H705" s="53">
        <f t="shared" ref="H705" si="232">IF((E705=0),"0",IF((E705=E704+1),(((24-INT(G704))+INT(G705))-1),(INT(G705)-INT(G704)-1))+((1-((G704-INT(G704))/0.6))+((G705-INT(G705))/0.6)))+(F705)</f>
        <v>0.9375</v>
      </c>
      <c r="I705" s="40"/>
      <c r="J705" s="57" t="s">
        <v>5</v>
      </c>
      <c r="K705" s="46">
        <v>22</v>
      </c>
      <c r="L705" s="46">
        <v>126.6</v>
      </c>
      <c r="M705" s="46">
        <f>IF(D705="eosp",L705/H705,"")</f>
        <v>135.04</v>
      </c>
      <c r="N705" s="46" t="s">
        <v>40</v>
      </c>
      <c r="O705" s="51">
        <v>0.36</v>
      </c>
      <c r="P705" s="52">
        <v>115.3</v>
      </c>
      <c r="Q705" s="16"/>
      <c r="R705" s="16"/>
    </row>
    <row r="706" spans="1:18" ht="15.75" customHeight="1" x14ac:dyDescent="0.3">
      <c r="A706" s="11"/>
      <c r="B706" s="11"/>
      <c r="D706" s="35"/>
      <c r="E706" s="36"/>
      <c r="F706" s="37"/>
      <c r="G706" s="38"/>
      <c r="H706" s="53"/>
      <c r="I706" s="40"/>
      <c r="J706" s="41"/>
      <c r="K706" s="39"/>
      <c r="L706" s="39"/>
      <c r="M706" s="39"/>
      <c r="N706" s="39" t="s">
        <v>74</v>
      </c>
      <c r="O706" s="42"/>
      <c r="P706" s="43"/>
      <c r="Q706" s="2"/>
      <c r="R706" s="2"/>
    </row>
    <row r="707" spans="1:18" ht="15.75" customHeight="1" x14ac:dyDescent="0.3">
      <c r="A707" s="11"/>
      <c r="B707" s="11"/>
      <c r="D707" s="58" t="s">
        <v>4</v>
      </c>
      <c r="E707" s="55">
        <v>45745</v>
      </c>
      <c r="F707" s="37"/>
      <c r="G707" s="56">
        <v>0.8125</v>
      </c>
      <c r="H707" s="53"/>
      <c r="I707" s="40"/>
      <c r="J707" s="57" t="s">
        <v>7</v>
      </c>
      <c r="K707" s="48"/>
      <c r="L707" s="46"/>
      <c r="M707" s="46"/>
      <c r="N707" s="46" t="s">
        <v>74</v>
      </c>
      <c r="O707" s="51"/>
      <c r="P707" s="52"/>
      <c r="Q707" s="2"/>
      <c r="R707" s="2"/>
    </row>
    <row r="708" spans="1:18" ht="15.75" customHeight="1" x14ac:dyDescent="0.3">
      <c r="A708" s="11"/>
      <c r="B708" s="11"/>
      <c r="D708" s="58" t="s">
        <v>3</v>
      </c>
      <c r="E708" s="55">
        <v>45746</v>
      </c>
      <c r="F708" s="37"/>
      <c r="G708" s="56">
        <v>0.41666666666666669</v>
      </c>
      <c r="H708" s="53">
        <f t="shared" ref="H708" si="233">IF((E708=0),"0",IF((E708=E707+1),(((24-INT(G707))+INT(G708))-1),(INT(G708)-INT(G707)-1))+((1-((G707-INT(G707))/0.6))+((G708-INT(G708))/0.6)))+(F708)</f>
        <v>23.340277777777779</v>
      </c>
      <c r="I708" s="40"/>
      <c r="J708" s="57" t="s">
        <v>13</v>
      </c>
      <c r="K708" s="46">
        <v>31</v>
      </c>
      <c r="L708" s="46">
        <v>123.4</v>
      </c>
      <c r="M708" s="46">
        <f>IF(D708="eosp",L708/H708,"")</f>
        <v>5.2869979172865218</v>
      </c>
      <c r="N708" s="46" t="s">
        <v>39</v>
      </c>
      <c r="O708" s="51">
        <v>0.38</v>
      </c>
      <c r="P708" s="52">
        <v>116.2</v>
      </c>
      <c r="Q708" s="2"/>
      <c r="R708" s="2"/>
    </row>
    <row r="709" spans="1:18" ht="15.75" customHeight="1" x14ac:dyDescent="0.3">
      <c r="A709" s="11"/>
      <c r="B709" s="11"/>
      <c r="D709" s="35"/>
      <c r="E709" s="36"/>
      <c r="F709" s="37"/>
      <c r="G709" s="38"/>
      <c r="H709" s="53"/>
      <c r="I709" s="40"/>
      <c r="J709" s="41"/>
      <c r="K709" s="39"/>
      <c r="L709" s="39"/>
      <c r="M709" s="39"/>
      <c r="N709" s="39" t="s">
        <v>74</v>
      </c>
      <c r="O709" s="42"/>
      <c r="P709" s="43"/>
      <c r="R709" s="18"/>
    </row>
    <row r="710" spans="1:18" ht="15.75" customHeight="1" x14ac:dyDescent="0.3">
      <c r="A710" s="11"/>
      <c r="B710" s="11"/>
      <c r="D710" s="54" t="s">
        <v>4</v>
      </c>
      <c r="E710" s="55">
        <v>45747</v>
      </c>
      <c r="F710" s="37"/>
      <c r="G710" s="56">
        <v>2.0833333333333332E-2</v>
      </c>
      <c r="H710" s="53"/>
      <c r="I710" s="40"/>
      <c r="J710" s="57" t="s">
        <v>12</v>
      </c>
      <c r="K710" s="48"/>
      <c r="L710" s="46"/>
      <c r="M710" s="46"/>
      <c r="N710" s="46" t="s">
        <v>74</v>
      </c>
      <c r="O710" s="49"/>
      <c r="P710" s="50"/>
      <c r="Q710" s="18"/>
      <c r="R710" s="18"/>
    </row>
    <row r="711" spans="1:18" ht="15.75" customHeight="1" x14ac:dyDescent="0.3">
      <c r="A711" s="11"/>
      <c r="B711" s="11"/>
      <c r="D711" s="54" t="s">
        <v>3</v>
      </c>
      <c r="E711" s="55">
        <v>45747</v>
      </c>
      <c r="F711" s="37"/>
      <c r="G711" s="56">
        <v>0.5625</v>
      </c>
      <c r="H711" s="53">
        <f t="shared" ref="H711" si="234">IF((E711=0),"0",IF((E711=E710+1),(((24-INT(G710))+INT(G711))-1),(INT(G711)-INT(G710)-1))+((1-((G710-INT(G710))/0.6))+((G711-INT(G711))/0.6)))+(F711)</f>
        <v>0.90277777777777768</v>
      </c>
      <c r="I711" s="40"/>
      <c r="J711" s="57" t="s">
        <v>5</v>
      </c>
      <c r="K711" s="46">
        <v>20.7</v>
      </c>
      <c r="L711" s="46">
        <v>128.5</v>
      </c>
      <c r="M711" s="46">
        <f>IF(D711="eosp",L711/H711,"")</f>
        <v>142.33846153846156</v>
      </c>
      <c r="N711" s="46" t="s">
        <v>40</v>
      </c>
      <c r="O711" s="51">
        <v>0.38</v>
      </c>
      <c r="P711" s="52">
        <v>122.2</v>
      </c>
      <c r="Q711" s="16"/>
      <c r="R711" s="16"/>
    </row>
    <row r="712" spans="1:18" ht="15.75" customHeight="1" x14ac:dyDescent="0.3">
      <c r="A712" s="11"/>
      <c r="B712" s="11"/>
      <c r="D712" s="35"/>
      <c r="E712" s="36"/>
      <c r="F712" s="37"/>
      <c r="G712" s="38"/>
      <c r="H712" s="53"/>
      <c r="I712" s="40"/>
      <c r="J712" s="41"/>
      <c r="K712" s="39"/>
      <c r="L712" s="39"/>
      <c r="M712" s="39"/>
      <c r="N712" s="39" t="s">
        <v>74</v>
      </c>
      <c r="O712" s="42"/>
      <c r="P712" s="43"/>
      <c r="Q712" s="2"/>
      <c r="R712" s="2"/>
    </row>
    <row r="713" spans="1:18" ht="15.75" customHeight="1" x14ac:dyDescent="0.3">
      <c r="A713" s="11"/>
      <c r="B713" s="11"/>
      <c r="D713" s="58" t="s">
        <v>4</v>
      </c>
      <c r="E713" s="55">
        <v>45748</v>
      </c>
      <c r="F713" s="37"/>
      <c r="G713" s="56">
        <v>0.39583333333333331</v>
      </c>
      <c r="H713" s="53"/>
      <c r="I713" s="40"/>
      <c r="J713" s="57" t="s">
        <v>7</v>
      </c>
      <c r="K713" s="48"/>
      <c r="L713" s="46"/>
      <c r="M713" s="46"/>
      <c r="N713" s="46" t="s">
        <v>74</v>
      </c>
      <c r="O713" s="51"/>
      <c r="P713" s="52"/>
      <c r="Q713" s="2"/>
      <c r="R713" s="2"/>
    </row>
    <row r="714" spans="1:18" ht="15.75" customHeight="1" x14ac:dyDescent="0.3">
      <c r="A714" s="11"/>
      <c r="B714" s="11"/>
      <c r="D714" s="58" t="s">
        <v>3</v>
      </c>
      <c r="E714" s="55">
        <v>45748</v>
      </c>
      <c r="F714" s="37"/>
      <c r="G714" s="56">
        <v>0.9375</v>
      </c>
      <c r="H714" s="53">
        <f t="shared" ref="H714" si="235">IF((E714=0),"0",IF((E714=E713+1),(((24-INT(G713))+INT(G714))-1),(INT(G714)-INT(G713)-1))+((1-((G713-INT(G713))/0.6))+((G714-INT(G714))/0.6)))+(F714)</f>
        <v>0.90277777777777768</v>
      </c>
      <c r="I714" s="40"/>
      <c r="J714" s="57" t="s">
        <v>13</v>
      </c>
      <c r="K714" s="46">
        <v>25.9</v>
      </c>
      <c r="L714" s="46">
        <v>118.3</v>
      </c>
      <c r="M714" s="46">
        <f>IF(D714="eosp",L714/H714,"")</f>
        <v>131.04000000000002</v>
      </c>
      <c r="N714" s="46" t="s">
        <v>73</v>
      </c>
      <c r="O714" s="51">
        <v>0.37</v>
      </c>
      <c r="P714" s="52">
        <v>115.9</v>
      </c>
      <c r="Q714" s="2"/>
      <c r="R714" s="2"/>
    </row>
    <row r="715" spans="1:18" ht="15.75" customHeight="1" x14ac:dyDescent="0.3">
      <c r="A715" s="11"/>
      <c r="B715" s="11"/>
      <c r="D715" s="35"/>
      <c r="E715" s="36"/>
      <c r="F715" s="37"/>
      <c r="G715" s="38"/>
      <c r="H715" s="53"/>
      <c r="I715" s="40"/>
      <c r="J715" s="41"/>
      <c r="K715" s="39"/>
      <c r="L715" s="39"/>
      <c r="M715" s="39"/>
      <c r="N715" s="39"/>
      <c r="O715" s="42"/>
      <c r="P715" s="43"/>
      <c r="Q715" s="2"/>
      <c r="R715" s="2"/>
    </row>
    <row r="716" spans="1:18" ht="15.75" customHeight="1" x14ac:dyDescent="0.3">
      <c r="A716" s="11"/>
      <c r="B716" s="11"/>
      <c r="D716" s="54" t="s">
        <v>4</v>
      </c>
      <c r="E716" s="55">
        <v>45750</v>
      </c>
      <c r="F716" s="37"/>
      <c r="G716" s="56">
        <v>0.85416666666666663</v>
      </c>
      <c r="H716" s="53"/>
      <c r="I716" s="40"/>
      <c r="J716" s="57" t="s">
        <v>12</v>
      </c>
      <c r="K716" s="48"/>
      <c r="L716" s="46"/>
      <c r="M716" s="46"/>
      <c r="N716" s="46"/>
      <c r="O716" s="49"/>
      <c r="P716" s="50"/>
      <c r="Q716" s="18"/>
      <c r="R716" s="18"/>
    </row>
    <row r="717" spans="1:18" ht="15.75" customHeight="1" x14ac:dyDescent="0.3">
      <c r="A717" s="11"/>
      <c r="B717" s="11"/>
      <c r="D717" s="54" t="s">
        <v>3</v>
      </c>
      <c r="E717" s="55">
        <v>45751</v>
      </c>
      <c r="F717" s="37"/>
      <c r="G717" s="56">
        <v>0.41666666666666669</v>
      </c>
      <c r="H717" s="53">
        <f t="shared" ref="H717" si="236">IF((E717=0),"0",IF((E717=E716+1),(((24-INT(G716))+INT(G717))-1),(INT(G717)-INT(G716)-1))+((1-((G716-INT(G716))/0.6))+((G717-INT(G717))/0.6)))+(F717)</f>
        <v>23.270833333333332</v>
      </c>
      <c r="I717" s="40"/>
      <c r="J717" s="57" t="s">
        <v>5</v>
      </c>
      <c r="K717" s="46">
        <v>22.5</v>
      </c>
      <c r="L717" s="46">
        <v>129</v>
      </c>
      <c r="M717" s="46">
        <f>IF(D717="eosp",L717/H717,"")</f>
        <v>5.5434198746642798</v>
      </c>
      <c r="N717" s="46" t="s">
        <v>26</v>
      </c>
      <c r="O717" s="51">
        <v>0.38</v>
      </c>
      <c r="P717" s="52">
        <v>116.2</v>
      </c>
      <c r="Q717" s="16"/>
      <c r="R717" s="16"/>
    </row>
    <row r="718" spans="1:18" ht="15.75" customHeight="1" x14ac:dyDescent="0.3">
      <c r="A718" s="11"/>
      <c r="B718" s="11"/>
      <c r="D718" s="35"/>
      <c r="E718" s="36"/>
      <c r="F718" s="37"/>
      <c r="G718" s="38"/>
      <c r="H718" s="53"/>
      <c r="I718" s="40"/>
      <c r="J718" s="41"/>
      <c r="K718" s="39"/>
      <c r="L718" s="39"/>
      <c r="M718" s="39"/>
      <c r="N718" s="39"/>
      <c r="O718" s="42"/>
      <c r="P718" s="43"/>
      <c r="Q718" s="2"/>
      <c r="R718" s="2"/>
    </row>
    <row r="719" spans="1:18" ht="15.75" customHeight="1" x14ac:dyDescent="0.3">
      <c r="A719" s="11"/>
      <c r="B719" s="11"/>
      <c r="D719" s="58" t="s">
        <v>4</v>
      </c>
      <c r="E719" s="55">
        <v>45752</v>
      </c>
      <c r="F719" s="37"/>
      <c r="G719" s="56">
        <v>0.33333333333333331</v>
      </c>
      <c r="H719" s="53"/>
      <c r="I719" s="40"/>
      <c r="J719" s="57" t="s">
        <v>7</v>
      </c>
      <c r="K719" s="48"/>
      <c r="L719" s="46"/>
      <c r="M719" s="46"/>
      <c r="N719" s="46"/>
      <c r="O719" s="51"/>
      <c r="P719" s="52"/>
      <c r="Q719" s="2"/>
      <c r="R719" s="2"/>
    </row>
    <row r="720" spans="1:18" ht="15.75" customHeight="1" x14ac:dyDescent="0.3">
      <c r="A720" s="11"/>
      <c r="B720" s="11"/>
      <c r="D720" s="58" t="s">
        <v>3</v>
      </c>
      <c r="E720" s="55">
        <v>45752</v>
      </c>
      <c r="F720" s="37"/>
      <c r="G720" s="56">
        <v>0.875</v>
      </c>
      <c r="H720" s="53">
        <f t="shared" ref="H720" si="237">IF((E720=0),"0",IF((E720=E719+1),(((24-INT(G719))+INT(G720))-1),(INT(G720)-INT(G719)-1))+((1-((G719-INT(G719))/0.6))+((G720-INT(G720))/0.6)))+(F720)</f>
        <v>0.9027777777777779</v>
      </c>
      <c r="I720" s="40"/>
      <c r="J720" s="57" t="s">
        <v>13</v>
      </c>
      <c r="K720" s="46">
        <v>25.6</v>
      </c>
      <c r="L720" s="46">
        <v>120</v>
      </c>
      <c r="M720" s="46">
        <f>IF(D720="eosp",L720/H720,"")</f>
        <v>132.92307692307691</v>
      </c>
      <c r="N720" s="46" t="s">
        <v>25</v>
      </c>
      <c r="O720" s="51">
        <v>0.4</v>
      </c>
      <c r="P720" s="52">
        <v>116.6</v>
      </c>
      <c r="Q720" s="2"/>
      <c r="R720" s="2"/>
    </row>
    <row r="721" spans="1:18" ht="15.75" customHeight="1" x14ac:dyDescent="0.3">
      <c r="A721" s="11"/>
      <c r="B721" s="11"/>
      <c r="D721" s="35"/>
      <c r="E721" s="36"/>
      <c r="F721" s="37"/>
      <c r="G721" s="38"/>
      <c r="H721" s="53"/>
      <c r="I721" s="40"/>
      <c r="J721" s="41"/>
      <c r="K721" s="39"/>
      <c r="L721" s="39"/>
      <c r="M721" s="39"/>
      <c r="N721" s="39"/>
      <c r="O721" s="42"/>
      <c r="P721" s="43"/>
      <c r="Q721" s="2"/>
      <c r="R721" s="2"/>
    </row>
    <row r="722" spans="1:18" ht="15.75" customHeight="1" x14ac:dyDescent="0.3">
      <c r="A722" s="11"/>
      <c r="B722" s="11"/>
      <c r="D722" s="54" t="s">
        <v>4</v>
      </c>
      <c r="E722" s="55">
        <v>45753</v>
      </c>
      <c r="F722" s="37"/>
      <c r="G722" s="56">
        <v>0.4375</v>
      </c>
      <c r="H722" s="53"/>
      <c r="I722" s="40"/>
      <c r="J722" s="57" t="s">
        <v>12</v>
      </c>
      <c r="K722" s="48"/>
      <c r="L722" s="46"/>
      <c r="M722" s="46"/>
      <c r="N722" s="46"/>
      <c r="O722" s="49"/>
      <c r="P722" s="50"/>
      <c r="Q722" s="18"/>
      <c r="R722" s="18"/>
    </row>
    <row r="723" spans="1:18" ht="15.75" customHeight="1" x14ac:dyDescent="0.3">
      <c r="A723" s="11"/>
      <c r="B723" s="11"/>
      <c r="D723" s="54" t="s">
        <v>3</v>
      </c>
      <c r="E723" s="55">
        <v>45753</v>
      </c>
      <c r="F723" s="37"/>
      <c r="G723" s="56">
        <v>0.97916666666666663</v>
      </c>
      <c r="H723" s="53">
        <f t="shared" ref="H723" si="238">IF((E723=0),"0",IF((E723=E722+1),(((24-INT(G722))+INT(G723))-1),(INT(G723)-INT(G722)-1))+((1-((G722-INT(G722))/0.6))+((G723-INT(G723))/0.6)))+(F723)</f>
        <v>0.90277777777777768</v>
      </c>
      <c r="I723" s="40"/>
      <c r="J723" s="57" t="s">
        <v>5</v>
      </c>
      <c r="K723" s="46">
        <v>20.8</v>
      </c>
      <c r="L723" s="46">
        <v>127</v>
      </c>
      <c r="M723" s="46">
        <f>IF(D723="eosp",L723/H723,"")</f>
        <v>140.67692307692309</v>
      </c>
      <c r="N723" s="46" t="s">
        <v>23</v>
      </c>
      <c r="O723" s="51">
        <v>0.39</v>
      </c>
      <c r="P723" s="52">
        <v>116</v>
      </c>
      <c r="Q723" s="16"/>
      <c r="R723" s="16"/>
    </row>
    <row r="724" spans="1:18" ht="15.75" customHeight="1" x14ac:dyDescent="0.3">
      <c r="A724" s="11"/>
      <c r="B724" s="11"/>
      <c r="D724" s="35"/>
      <c r="E724" s="36"/>
      <c r="F724" s="37"/>
      <c r="G724" s="38"/>
      <c r="H724" s="53"/>
      <c r="I724" s="40"/>
      <c r="J724" s="41"/>
      <c r="K724" s="39"/>
      <c r="L724" s="39"/>
      <c r="M724" s="39"/>
      <c r="N724" s="39"/>
      <c r="O724" s="42"/>
      <c r="P724" s="43"/>
      <c r="Q724" s="2"/>
      <c r="R724" s="2"/>
    </row>
    <row r="725" spans="1:18" ht="15.75" customHeight="1" x14ac:dyDescent="0.3">
      <c r="A725" s="11"/>
      <c r="B725" s="11"/>
      <c r="D725" s="58" t="s">
        <v>4</v>
      </c>
      <c r="E725" s="55">
        <v>45754</v>
      </c>
      <c r="F725" s="37"/>
      <c r="G725" s="56">
        <v>0.95833333333333337</v>
      </c>
      <c r="H725" s="53"/>
      <c r="I725" s="40"/>
      <c r="J725" s="57" t="s">
        <v>7</v>
      </c>
      <c r="K725" s="48"/>
      <c r="L725" s="46"/>
      <c r="M725" s="46"/>
      <c r="N725" s="46"/>
      <c r="O725" s="51"/>
      <c r="P725" s="52"/>
      <c r="Q725" s="2"/>
      <c r="R725" s="2"/>
    </row>
    <row r="726" spans="1:18" ht="15.75" customHeight="1" x14ac:dyDescent="0.3">
      <c r="A726" s="11"/>
      <c r="B726" s="11"/>
      <c r="D726" s="58" t="s">
        <v>3</v>
      </c>
      <c r="E726" s="55">
        <v>45755</v>
      </c>
      <c r="F726" s="37"/>
      <c r="G726" s="56">
        <v>0.58333333333333337</v>
      </c>
      <c r="H726" s="53">
        <f t="shared" ref="H726" si="239">IF((E726=0),"0",IF((E726=E725+1),(((24-INT(G725))+INT(G726))-1),(INT(G726)-INT(G725)-1))+((1-((G725-INT(G725))/0.6))+((G726-INT(G726))/0.6)))+(F726)</f>
        <v>23.375</v>
      </c>
      <c r="I726" s="40"/>
      <c r="J726" s="57" t="s">
        <v>13</v>
      </c>
      <c r="K726" s="46">
        <v>30.2</v>
      </c>
      <c r="L726" s="46">
        <v>128.9</v>
      </c>
      <c r="M726" s="46">
        <f>IF(D726="eosp",L726/H726,"")</f>
        <v>5.514438502673797</v>
      </c>
      <c r="N726" s="46" t="s">
        <v>24</v>
      </c>
      <c r="O726" s="51">
        <v>0.39</v>
      </c>
      <c r="P726" s="52">
        <v>116.5</v>
      </c>
      <c r="Q726" s="2"/>
      <c r="R726" s="2"/>
    </row>
    <row r="727" spans="1:18" ht="15.75" customHeight="1" x14ac:dyDescent="0.3">
      <c r="A727" s="11"/>
      <c r="B727" s="11"/>
      <c r="D727" s="35"/>
      <c r="E727" s="36"/>
      <c r="F727" s="37"/>
      <c r="G727" s="38"/>
      <c r="H727" s="53"/>
      <c r="I727" s="40"/>
      <c r="J727" s="41"/>
      <c r="K727" s="39"/>
      <c r="L727" s="39"/>
      <c r="M727" s="39"/>
      <c r="N727" s="39"/>
      <c r="O727" s="42"/>
      <c r="P727" s="43"/>
      <c r="Q727" s="2"/>
      <c r="R727" s="2"/>
    </row>
    <row r="728" spans="1:18" ht="15.75" customHeight="1" x14ac:dyDescent="0.3">
      <c r="A728" s="11"/>
      <c r="B728" s="11"/>
      <c r="D728" s="54" t="s">
        <v>4</v>
      </c>
      <c r="E728" s="55">
        <v>45756</v>
      </c>
      <c r="F728" s="37"/>
      <c r="G728" s="56">
        <v>0.20833333333333334</v>
      </c>
      <c r="H728" s="53"/>
      <c r="I728" s="40"/>
      <c r="J728" s="57" t="s">
        <v>12</v>
      </c>
      <c r="K728" s="48"/>
      <c r="L728" s="46"/>
      <c r="M728" s="46"/>
      <c r="N728" s="46"/>
      <c r="O728" s="49"/>
      <c r="P728" s="50"/>
      <c r="Q728" s="18"/>
      <c r="R728" s="18"/>
    </row>
    <row r="729" spans="1:18" ht="15.75" customHeight="1" x14ac:dyDescent="0.3">
      <c r="A729" s="11"/>
      <c r="B729" s="11"/>
      <c r="D729" s="54" t="s">
        <v>3</v>
      </c>
      <c r="E729" s="55">
        <v>45756</v>
      </c>
      <c r="F729" s="37"/>
      <c r="G729" s="56">
        <v>0.79166666666666663</v>
      </c>
      <c r="H729" s="53">
        <f t="shared" ref="H729" si="240">IF((E729=0),"0",IF((E729=E728+1),(((24-INT(G728))+INT(G729))-1),(INT(G729)-INT(G728)-1))+((1-((G728-INT(G728))/0.6))+((G729-INT(G729))/0.6)))+(F729)</f>
        <v>0.9722222222222221</v>
      </c>
      <c r="I729" s="40"/>
      <c r="J729" s="57" t="s">
        <v>5</v>
      </c>
      <c r="K729" s="46">
        <v>26.2</v>
      </c>
      <c r="L729" s="46">
        <v>127</v>
      </c>
      <c r="M729" s="46">
        <f>IF(D729="eosp",L729/H729,"")</f>
        <v>130.62857142857143</v>
      </c>
      <c r="N729" s="46" t="s">
        <v>24</v>
      </c>
      <c r="O729" s="51">
        <v>0.38</v>
      </c>
      <c r="P729" s="52">
        <v>115.9</v>
      </c>
      <c r="Q729" s="16"/>
      <c r="R729" s="16"/>
    </row>
    <row r="730" spans="1:18" ht="15.75" customHeight="1" x14ac:dyDescent="0.3">
      <c r="A730" s="11"/>
      <c r="B730" s="11"/>
      <c r="D730" s="35"/>
      <c r="E730" s="36"/>
      <c r="F730" s="37"/>
      <c r="G730" s="38"/>
      <c r="H730" s="53"/>
      <c r="I730" s="40"/>
      <c r="J730" s="41"/>
      <c r="K730" s="39"/>
      <c r="L730" s="39"/>
      <c r="M730" s="39"/>
      <c r="N730" s="39"/>
      <c r="O730" s="42"/>
      <c r="P730" s="43"/>
      <c r="Q730" s="2"/>
      <c r="R730" s="2"/>
    </row>
    <row r="731" spans="1:18" ht="15.75" customHeight="1" x14ac:dyDescent="0.3">
      <c r="A731" s="11"/>
      <c r="B731" s="11"/>
      <c r="D731" s="58" t="s">
        <v>4</v>
      </c>
      <c r="E731" s="55">
        <v>45758</v>
      </c>
      <c r="F731" s="37"/>
      <c r="G731" s="56">
        <v>0.10416666666666667</v>
      </c>
      <c r="H731" s="53"/>
      <c r="I731" s="40"/>
      <c r="J731" s="57" t="s">
        <v>7</v>
      </c>
      <c r="K731" s="48"/>
      <c r="L731" s="46"/>
      <c r="M731" s="46"/>
      <c r="N731" s="46"/>
      <c r="O731" s="51"/>
      <c r="P731" s="52"/>
      <c r="Q731" s="2"/>
      <c r="R731" s="2"/>
    </row>
    <row r="732" spans="1:18" ht="15.75" customHeight="1" x14ac:dyDescent="0.3">
      <c r="A732" s="11"/>
      <c r="B732" s="11"/>
      <c r="D732" s="58" t="s">
        <v>3</v>
      </c>
      <c r="E732" s="55">
        <v>45758</v>
      </c>
      <c r="F732" s="37"/>
      <c r="G732" s="56">
        <v>0.70833333333333337</v>
      </c>
      <c r="H732" s="53">
        <f t="shared" ref="H732" si="241">IF((E732=0),"0",IF((E732=E731+1),(((24-INT(G731))+INT(G732))-1),(INT(G732)-INT(G731)-1))+((1-((G731-INT(G731))/0.6))+((G732-INT(G732))/0.6)))+(F732)</f>
        <v>1.0069444444444446</v>
      </c>
      <c r="I732" s="40"/>
      <c r="J732" s="57" t="s">
        <v>13</v>
      </c>
      <c r="K732" s="46">
        <v>28</v>
      </c>
      <c r="L732" s="46">
        <v>123</v>
      </c>
      <c r="M732" s="46">
        <f>IF(D732="eosp",L732/H732,"")</f>
        <v>122.15172413793101</v>
      </c>
      <c r="N732" s="46" t="s">
        <v>23</v>
      </c>
      <c r="O732" s="51">
        <v>0.31</v>
      </c>
      <c r="P732" s="52">
        <v>113</v>
      </c>
      <c r="Q732" s="2"/>
      <c r="R732" s="2"/>
    </row>
    <row r="733" spans="1:18" ht="15.75" customHeight="1" x14ac:dyDescent="0.3">
      <c r="A733" s="11"/>
      <c r="B733" s="11"/>
      <c r="D733" s="35"/>
      <c r="E733" s="36"/>
      <c r="F733" s="37"/>
      <c r="G733" s="38"/>
      <c r="H733" s="53"/>
      <c r="I733" s="40"/>
      <c r="J733" s="41"/>
      <c r="K733" s="39"/>
      <c r="L733" s="39"/>
      <c r="M733" s="39"/>
      <c r="N733" s="39"/>
      <c r="O733" s="42"/>
      <c r="P733" s="43"/>
      <c r="Q733" s="2"/>
      <c r="R733" s="2"/>
    </row>
    <row r="734" spans="1:18" ht="15.75" customHeight="1" x14ac:dyDescent="0.3">
      <c r="A734" s="11"/>
      <c r="B734" s="11"/>
      <c r="D734" s="54" t="s">
        <v>4</v>
      </c>
      <c r="E734" s="55">
        <v>45759</v>
      </c>
      <c r="F734" s="37"/>
      <c r="G734" s="56">
        <v>0.41666666666666669</v>
      </c>
      <c r="H734" s="53"/>
      <c r="I734" s="40"/>
      <c r="J734" s="57" t="s">
        <v>12</v>
      </c>
      <c r="K734" s="48"/>
      <c r="L734" s="46"/>
      <c r="M734" s="46"/>
      <c r="N734" s="46"/>
      <c r="O734" s="49"/>
      <c r="P734" s="50"/>
      <c r="Q734" s="18"/>
      <c r="R734" s="18"/>
    </row>
    <row r="735" spans="1:18" ht="15.75" customHeight="1" x14ac:dyDescent="0.3">
      <c r="A735" s="11"/>
      <c r="B735" s="11"/>
      <c r="D735" s="54" t="s">
        <v>3</v>
      </c>
      <c r="E735" s="55">
        <v>45759</v>
      </c>
      <c r="F735" s="37"/>
      <c r="G735" s="56">
        <v>0.9375</v>
      </c>
      <c r="H735" s="53">
        <f t="shared" ref="H735" si="242">IF((E735=0),"0",IF((E735=E734+1),(((24-INT(G734))+INT(G735))-1),(INT(G735)-INT(G734)-1))+((1-((G734-INT(G734))/0.6))+((G735-INT(G735))/0.6)))+(F735)</f>
        <v>0.86805555555555536</v>
      </c>
      <c r="I735" s="40"/>
      <c r="J735" s="57" t="s">
        <v>5</v>
      </c>
      <c r="K735" s="46">
        <v>17.7</v>
      </c>
      <c r="L735" s="46">
        <v>126.8</v>
      </c>
      <c r="M735" s="46">
        <f>IF(D735="eosp",L735/H735,"")</f>
        <v>146.07360000000003</v>
      </c>
      <c r="N735" s="46" t="s">
        <v>22</v>
      </c>
      <c r="O735" s="51">
        <v>0.38</v>
      </c>
      <c r="P735" s="52">
        <v>115.9</v>
      </c>
      <c r="Q735" s="16"/>
      <c r="R735" s="16"/>
    </row>
    <row r="736" spans="1:18" ht="15.75" customHeight="1" x14ac:dyDescent="0.3">
      <c r="A736" s="11"/>
      <c r="B736" s="11"/>
      <c r="D736" s="35"/>
      <c r="E736" s="36"/>
      <c r="F736" s="37"/>
      <c r="G736" s="38"/>
      <c r="H736" s="53"/>
      <c r="I736" s="40"/>
      <c r="J736" s="41"/>
      <c r="K736" s="39"/>
      <c r="L736" s="39"/>
      <c r="M736" s="39"/>
      <c r="N736" s="39"/>
      <c r="O736" s="42"/>
      <c r="P736" s="43"/>
      <c r="Q736" s="2"/>
      <c r="R736" s="2"/>
    </row>
    <row r="737" spans="1:18" ht="15.75" customHeight="1" x14ac:dyDescent="0.3">
      <c r="A737" s="11"/>
      <c r="B737" s="11"/>
      <c r="D737" s="58" t="s">
        <v>4</v>
      </c>
      <c r="E737" s="55">
        <v>45760</v>
      </c>
      <c r="F737" s="37"/>
      <c r="G737" s="56">
        <v>0.58333333333333337</v>
      </c>
      <c r="H737" s="53"/>
      <c r="I737" s="40"/>
      <c r="J737" s="57" t="s">
        <v>7</v>
      </c>
      <c r="K737" s="48"/>
      <c r="L737" s="46"/>
      <c r="M737" s="46"/>
      <c r="N737" s="46"/>
      <c r="O737" s="51"/>
      <c r="P737" s="52"/>
      <c r="Q737" s="2"/>
      <c r="R737" s="2"/>
    </row>
    <row r="738" spans="1:18" ht="15.75" customHeight="1" x14ac:dyDescent="0.3">
      <c r="A738" s="11"/>
      <c r="B738" s="11"/>
      <c r="D738" s="58" t="s">
        <v>3</v>
      </c>
      <c r="E738" s="55">
        <v>45761</v>
      </c>
      <c r="F738" s="37"/>
      <c r="G738" s="56">
        <v>0.14583333333333334</v>
      </c>
      <c r="H738" s="53">
        <f t="shared" ref="H738" si="243">IF((E738=0),"0",IF((E738=E737+1),(((24-INT(G737))+INT(G738))-1),(INT(G738)-INT(G737)-1))+((1-((G737-INT(G737))/0.6))+((G738-INT(G738))/0.6)))+(F738)</f>
        <v>23.270833333333332</v>
      </c>
      <c r="I738" s="40"/>
      <c r="J738" s="57" t="s">
        <v>13</v>
      </c>
      <c r="K738" s="46">
        <v>30.7</v>
      </c>
      <c r="L738" s="46">
        <v>115.2</v>
      </c>
      <c r="M738" s="46">
        <f>IF(D738="eosp",L738/H738,"")</f>
        <v>4.9504028648164731</v>
      </c>
      <c r="N738" s="46">
        <v>6</v>
      </c>
      <c r="O738" s="51">
        <v>0.38</v>
      </c>
      <c r="P738" s="52">
        <v>116.1</v>
      </c>
      <c r="Q738" s="2"/>
      <c r="R738" s="2"/>
    </row>
    <row r="739" spans="1:18" ht="15.75" customHeight="1" x14ac:dyDescent="0.3">
      <c r="A739" s="11"/>
      <c r="B739" s="11"/>
      <c r="D739" s="35"/>
      <c r="E739" s="36"/>
      <c r="F739" s="37"/>
      <c r="G739" s="38"/>
      <c r="H739" s="53"/>
      <c r="I739" s="40"/>
      <c r="J739" s="41"/>
      <c r="K739" s="39"/>
      <c r="L739" s="39"/>
      <c r="M739" s="39"/>
      <c r="N739" s="39"/>
      <c r="O739" s="42"/>
      <c r="P739" s="43"/>
      <c r="Q739" s="2"/>
      <c r="R739" s="2"/>
    </row>
    <row r="740" spans="1:18" ht="15.75" customHeight="1" x14ac:dyDescent="0.3">
      <c r="A740" s="11"/>
      <c r="B740" s="11"/>
      <c r="D740" s="54" t="s">
        <v>4</v>
      </c>
      <c r="E740" s="55">
        <v>45761</v>
      </c>
      <c r="F740" s="37"/>
      <c r="G740" s="56">
        <v>0.83333333333333337</v>
      </c>
      <c r="H740" s="53"/>
      <c r="I740" s="40"/>
      <c r="J740" s="57" t="s">
        <v>12</v>
      </c>
      <c r="K740" s="48"/>
      <c r="L740" s="46"/>
      <c r="M740" s="46"/>
      <c r="N740" s="46"/>
      <c r="O740" s="49"/>
      <c r="P740" s="50"/>
      <c r="Q740" s="18"/>
      <c r="R740" s="18"/>
    </row>
    <row r="741" spans="1:18" ht="15.75" customHeight="1" x14ac:dyDescent="0.3">
      <c r="A741" s="11"/>
      <c r="B741" s="11"/>
      <c r="D741" s="54" t="s">
        <v>3</v>
      </c>
      <c r="E741" s="55">
        <v>45762</v>
      </c>
      <c r="F741" s="37"/>
      <c r="G741" s="56">
        <v>0.375</v>
      </c>
      <c r="H741" s="53">
        <f t="shared" ref="H741" si="244">IF((E741=0),"0",IF((E741=E740+1),(((24-INT(G740))+INT(G741))-1),(INT(G741)-INT(G740)-1))+((1-((G740-INT(G740))/0.6))+((G741-INT(G741))/0.6)))+(F741)</f>
        <v>23.236111111111111</v>
      </c>
      <c r="I741" s="40"/>
      <c r="J741" s="57" t="s">
        <v>5</v>
      </c>
      <c r="K741" s="46">
        <v>21.3</v>
      </c>
      <c r="L741" s="46">
        <v>126</v>
      </c>
      <c r="M741" s="46">
        <f>IF(D741="eosp",L741/H741,"")</f>
        <v>5.4225941422594142</v>
      </c>
      <c r="N741" s="46" t="s">
        <v>21</v>
      </c>
      <c r="O741" s="51">
        <v>0.38</v>
      </c>
      <c r="P741" s="52">
        <v>116.1</v>
      </c>
      <c r="Q741" s="16"/>
      <c r="R741" s="16"/>
    </row>
    <row r="742" spans="1:18" ht="15.75" customHeight="1" x14ac:dyDescent="0.3">
      <c r="A742" s="11"/>
      <c r="B742" s="11"/>
      <c r="D742" s="21"/>
      <c r="E742" s="22"/>
      <c r="G742" s="23"/>
      <c r="H742" s="24"/>
      <c r="Q742" s="2"/>
      <c r="R742" s="2"/>
    </row>
    <row r="743" spans="1:18" ht="15.75" customHeight="1" x14ac:dyDescent="0.3">
      <c r="A743" s="11"/>
      <c r="B743" s="11"/>
      <c r="D743" s="21"/>
      <c r="E743" s="22"/>
      <c r="G743" s="23"/>
      <c r="H743" s="24"/>
      <c r="Q743" s="2"/>
      <c r="R743" s="2"/>
    </row>
    <row r="744" spans="1:18" ht="15.75" customHeight="1" x14ac:dyDescent="0.3">
      <c r="A744" s="11"/>
      <c r="B744" s="11"/>
      <c r="D744" s="21"/>
      <c r="E744" s="22"/>
      <c r="G744" s="23"/>
      <c r="H744" s="24"/>
      <c r="Q744" s="2"/>
      <c r="R744" s="2"/>
    </row>
    <row r="745" spans="1:18" ht="15.75" customHeight="1" x14ac:dyDescent="0.3">
      <c r="A745" s="11"/>
      <c r="B745" s="11"/>
      <c r="D745" s="21"/>
      <c r="E745" s="22"/>
      <c r="G745" s="23"/>
      <c r="H745" s="24"/>
      <c r="Q745" s="2"/>
      <c r="R745" s="2"/>
    </row>
    <row r="746" spans="1:18" ht="15.75" customHeight="1" x14ac:dyDescent="0.3">
      <c r="A746" s="11"/>
      <c r="B746" s="11"/>
      <c r="D746" s="21"/>
      <c r="E746" s="22"/>
      <c r="G746" s="23"/>
      <c r="H746" s="24"/>
      <c r="Q746" s="2"/>
      <c r="R746" s="2"/>
    </row>
    <row r="747" spans="1:18" ht="15.75" customHeight="1" x14ac:dyDescent="0.3">
      <c r="A747" s="11"/>
      <c r="B747" s="11"/>
      <c r="D747" s="21"/>
      <c r="E747" s="22"/>
      <c r="G747" s="23"/>
      <c r="H747" s="24"/>
      <c r="Q747" s="2"/>
      <c r="R747" s="2"/>
    </row>
    <row r="748" spans="1:18" ht="15.75" customHeight="1" x14ac:dyDescent="0.3">
      <c r="A748" s="11"/>
      <c r="B748" s="11"/>
      <c r="D748" s="21"/>
      <c r="E748" s="22"/>
      <c r="G748" s="23"/>
      <c r="H748" s="24"/>
      <c r="Q748" s="2"/>
      <c r="R748" s="2"/>
    </row>
    <row r="749" spans="1:18" ht="15.75" customHeight="1" x14ac:dyDescent="0.3">
      <c r="A749" s="11"/>
      <c r="B749" s="11"/>
      <c r="D749" s="21"/>
      <c r="E749" s="22"/>
      <c r="G749" s="23"/>
      <c r="H749" s="24"/>
      <c r="Q749" s="2"/>
      <c r="R749" s="2"/>
    </row>
    <row r="750" spans="1:18" ht="15.75" customHeight="1" x14ac:dyDescent="0.3">
      <c r="A750" s="11"/>
      <c r="B750" s="11"/>
      <c r="D750" s="21"/>
      <c r="E750" s="22"/>
      <c r="G750" s="23"/>
      <c r="H750" s="24"/>
      <c r="Q750" s="2"/>
      <c r="R750" s="2"/>
    </row>
    <row r="751" spans="1:18" ht="15.75" customHeight="1" x14ac:dyDescent="0.3">
      <c r="A751" s="11"/>
      <c r="B751" s="11"/>
      <c r="D751" s="21"/>
      <c r="E751" s="22"/>
      <c r="G751" s="23"/>
      <c r="H751" s="24"/>
      <c r="Q751" s="2"/>
      <c r="R751" s="2"/>
    </row>
    <row r="752" spans="1:18" ht="15.75" customHeight="1" x14ac:dyDescent="0.3">
      <c r="A752" s="11"/>
      <c r="B752" s="11"/>
      <c r="D752" s="21"/>
      <c r="E752" s="22"/>
      <c r="G752" s="23"/>
      <c r="H752" s="24"/>
      <c r="Q752" s="2"/>
      <c r="R752" s="2"/>
    </row>
    <row r="753" spans="1:18" ht="15.75" customHeight="1" x14ac:dyDescent="0.3">
      <c r="A753" s="11"/>
      <c r="B753" s="11"/>
      <c r="D753" s="21"/>
      <c r="E753" s="22"/>
      <c r="G753" s="23"/>
      <c r="H753" s="24"/>
      <c r="Q753" s="2"/>
      <c r="R753" s="2"/>
    </row>
    <row r="754" spans="1:18" ht="15.75" customHeight="1" x14ac:dyDescent="0.3">
      <c r="A754" s="11"/>
      <c r="B754" s="11"/>
      <c r="D754" s="21"/>
      <c r="E754" s="22"/>
      <c r="G754" s="23"/>
      <c r="H754" s="24"/>
      <c r="Q754" s="2"/>
      <c r="R754" s="2"/>
    </row>
    <row r="755" spans="1:18" ht="15.75" customHeight="1" x14ac:dyDescent="0.3">
      <c r="A755" s="11"/>
      <c r="B755" s="11"/>
      <c r="D755" s="21"/>
      <c r="E755" s="22"/>
      <c r="G755" s="23"/>
      <c r="H755" s="24"/>
      <c r="Q755" s="2"/>
      <c r="R755" s="2"/>
    </row>
    <row r="756" spans="1:18" ht="15.75" customHeight="1" x14ac:dyDescent="0.3">
      <c r="A756" s="11"/>
      <c r="B756" s="11"/>
      <c r="D756" s="21"/>
      <c r="E756" s="22"/>
      <c r="G756" s="23"/>
      <c r="H756" s="24"/>
      <c r="Q756" s="2"/>
      <c r="R756" s="2"/>
    </row>
    <row r="757" spans="1:18" ht="15.75" customHeight="1" x14ac:dyDescent="0.3">
      <c r="A757" s="11"/>
      <c r="B757" s="11"/>
      <c r="D757" s="21"/>
      <c r="E757" s="22"/>
      <c r="G757" s="23"/>
      <c r="H757" s="24"/>
      <c r="Q757" s="2"/>
      <c r="R757" s="2"/>
    </row>
    <row r="758" spans="1:18" ht="15.75" customHeight="1" x14ac:dyDescent="0.3">
      <c r="A758" s="11"/>
      <c r="B758" s="11"/>
      <c r="D758" s="21"/>
      <c r="E758" s="22"/>
      <c r="G758" s="23"/>
      <c r="H758" s="24"/>
      <c r="Q758" s="2"/>
      <c r="R758" s="2"/>
    </row>
    <row r="759" spans="1:18" ht="15.75" customHeight="1" x14ac:dyDescent="0.3">
      <c r="A759" s="11"/>
      <c r="B759" s="11"/>
      <c r="D759" s="21"/>
      <c r="E759" s="22"/>
      <c r="G759" s="23"/>
      <c r="H759" s="24"/>
      <c r="Q759" s="2"/>
      <c r="R759" s="2"/>
    </row>
    <row r="760" spans="1:18" ht="15.75" customHeight="1" x14ac:dyDescent="0.3">
      <c r="A760" s="11"/>
      <c r="B760" s="11"/>
      <c r="D760" s="21"/>
      <c r="E760" s="22"/>
      <c r="G760" s="23"/>
      <c r="H760" s="24"/>
      <c r="Q760" s="2"/>
      <c r="R760" s="2"/>
    </row>
    <row r="761" spans="1:18" ht="15.75" customHeight="1" x14ac:dyDescent="0.3">
      <c r="A761" s="11"/>
      <c r="B761" s="11"/>
      <c r="D761" s="21"/>
      <c r="E761" s="22"/>
      <c r="G761" s="23"/>
      <c r="H761" s="24"/>
      <c r="Q761" s="2"/>
      <c r="R761" s="2"/>
    </row>
    <row r="762" spans="1:18" ht="15.75" customHeight="1" x14ac:dyDescent="0.3">
      <c r="A762" s="11"/>
      <c r="B762" s="11"/>
      <c r="D762" s="21"/>
      <c r="E762" s="22"/>
      <c r="G762" s="23"/>
      <c r="H762" s="24"/>
      <c r="Q762" s="2"/>
      <c r="R762" s="2"/>
    </row>
    <row r="763" spans="1:18" ht="15.75" customHeight="1" x14ac:dyDescent="0.3">
      <c r="A763" s="11"/>
      <c r="B763" s="11"/>
      <c r="D763" s="21"/>
      <c r="E763" s="22"/>
      <c r="G763" s="23"/>
      <c r="H763" s="24"/>
      <c r="Q763" s="2"/>
      <c r="R763" s="2"/>
    </row>
    <row r="764" spans="1:18" ht="15.75" customHeight="1" x14ac:dyDescent="0.3">
      <c r="A764" s="11"/>
      <c r="B764" s="11"/>
      <c r="D764" s="21"/>
      <c r="E764" s="22"/>
      <c r="G764" s="23"/>
      <c r="H764" s="24"/>
      <c r="Q764" s="2"/>
      <c r="R764" s="2"/>
    </row>
    <row r="765" spans="1:18" ht="15.75" customHeight="1" x14ac:dyDescent="0.3">
      <c r="A765" s="11"/>
      <c r="B765" s="11"/>
      <c r="D765" s="21"/>
      <c r="E765" s="22"/>
      <c r="G765" s="23"/>
      <c r="H765" s="24"/>
      <c r="Q765" s="2"/>
      <c r="R765" s="2"/>
    </row>
    <row r="766" spans="1:18" ht="15.75" customHeight="1" x14ac:dyDescent="0.3">
      <c r="A766" s="11"/>
      <c r="B766" s="11"/>
      <c r="D766" s="21"/>
      <c r="E766" s="22"/>
      <c r="G766" s="23"/>
      <c r="H766" s="24"/>
      <c r="Q766" s="2"/>
      <c r="R766" s="2"/>
    </row>
    <row r="767" spans="1:18" ht="15.75" customHeight="1" x14ac:dyDescent="0.3">
      <c r="A767" s="11"/>
      <c r="B767" s="11"/>
      <c r="D767" s="21"/>
      <c r="E767" s="22"/>
      <c r="G767" s="23"/>
      <c r="H767" s="24"/>
      <c r="Q767" s="2"/>
      <c r="R767" s="2"/>
    </row>
    <row r="768" spans="1:18" ht="15.75" customHeight="1" x14ac:dyDescent="0.3">
      <c r="A768" s="11"/>
      <c r="B768" s="11"/>
      <c r="D768" s="21"/>
      <c r="E768" s="22"/>
      <c r="G768" s="23"/>
      <c r="H768" s="24"/>
      <c r="Q768" s="2"/>
      <c r="R768" s="2"/>
    </row>
    <row r="769" spans="1:18" ht="15.75" customHeight="1" x14ac:dyDescent="0.3">
      <c r="A769" s="11"/>
      <c r="B769" s="11"/>
      <c r="D769" s="21"/>
      <c r="E769" s="22"/>
      <c r="G769" s="23"/>
      <c r="H769" s="24"/>
      <c r="Q769" s="2"/>
      <c r="R769" s="2"/>
    </row>
    <row r="770" spans="1:18" ht="15.75" customHeight="1" x14ac:dyDescent="0.3">
      <c r="A770" s="11"/>
      <c r="B770" s="11"/>
      <c r="D770" s="21"/>
      <c r="E770" s="22"/>
      <c r="G770" s="23"/>
      <c r="H770" s="24"/>
      <c r="Q770" s="2"/>
      <c r="R770" s="2"/>
    </row>
    <row r="771" spans="1:18" ht="15.75" customHeight="1" x14ac:dyDescent="0.3">
      <c r="A771" s="11"/>
      <c r="B771" s="11"/>
      <c r="D771" s="21"/>
      <c r="E771" s="22"/>
      <c r="G771" s="23"/>
      <c r="H771" s="24"/>
      <c r="Q771" s="2"/>
      <c r="R771" s="2"/>
    </row>
    <row r="772" spans="1:18" ht="15.75" customHeight="1" x14ac:dyDescent="0.3">
      <c r="A772" s="11"/>
      <c r="B772" s="11"/>
      <c r="D772" s="21"/>
      <c r="E772" s="22"/>
      <c r="G772" s="23"/>
      <c r="H772" s="24"/>
      <c r="Q772" s="2"/>
      <c r="R772" s="2"/>
    </row>
    <row r="773" spans="1:18" ht="15.75" customHeight="1" x14ac:dyDescent="0.3">
      <c r="A773" s="11"/>
      <c r="B773" s="11"/>
      <c r="D773" s="21"/>
      <c r="E773" s="22"/>
      <c r="G773" s="23"/>
      <c r="H773" s="24"/>
      <c r="Q773" s="2"/>
      <c r="R773" s="2"/>
    </row>
    <row r="774" spans="1:18" ht="15.75" customHeight="1" x14ac:dyDescent="0.3">
      <c r="A774" s="11"/>
      <c r="B774" s="11"/>
      <c r="D774" s="21"/>
      <c r="E774" s="22"/>
      <c r="G774" s="23"/>
      <c r="H774" s="24"/>
      <c r="Q774" s="2"/>
      <c r="R774" s="2"/>
    </row>
    <row r="775" spans="1:18" ht="15.75" customHeight="1" x14ac:dyDescent="0.3">
      <c r="A775" s="11"/>
      <c r="B775" s="11"/>
      <c r="D775" s="21"/>
      <c r="E775" s="22"/>
      <c r="G775" s="23"/>
      <c r="H775" s="24"/>
      <c r="Q775" s="2"/>
      <c r="R775" s="2"/>
    </row>
    <row r="776" spans="1:18" ht="15.75" customHeight="1" x14ac:dyDescent="0.3">
      <c r="A776" s="11"/>
      <c r="B776" s="11"/>
      <c r="D776" s="21"/>
      <c r="E776" s="22"/>
      <c r="G776" s="23"/>
      <c r="H776" s="24"/>
      <c r="Q776" s="2"/>
      <c r="R776" s="2"/>
    </row>
    <row r="777" spans="1:18" ht="15.75" customHeight="1" x14ac:dyDescent="0.3">
      <c r="A777" s="11"/>
      <c r="B777" s="11"/>
      <c r="D777" s="21"/>
      <c r="E777" s="22"/>
      <c r="G777" s="23"/>
      <c r="H777" s="24"/>
      <c r="Q777" s="2"/>
      <c r="R777" s="2"/>
    </row>
    <row r="778" spans="1:18" ht="15.75" customHeight="1" x14ac:dyDescent="0.3">
      <c r="A778" s="11"/>
      <c r="B778" s="11"/>
      <c r="D778" s="21"/>
      <c r="E778" s="22"/>
      <c r="G778" s="23"/>
      <c r="H778" s="24"/>
      <c r="Q778" s="2"/>
      <c r="R778" s="2"/>
    </row>
    <row r="779" spans="1:18" ht="15.75" customHeight="1" x14ac:dyDescent="0.3">
      <c r="A779" s="11"/>
      <c r="B779" s="11"/>
      <c r="D779" s="21"/>
      <c r="E779" s="22"/>
      <c r="G779" s="23"/>
      <c r="H779" s="24"/>
      <c r="Q779" s="2"/>
      <c r="R779" s="2"/>
    </row>
    <row r="780" spans="1:18" ht="15.75" customHeight="1" x14ac:dyDescent="0.3">
      <c r="A780" s="11"/>
      <c r="B780" s="11"/>
      <c r="D780" s="21"/>
      <c r="E780" s="22"/>
      <c r="G780" s="23"/>
      <c r="H780" s="24"/>
      <c r="Q780" s="2"/>
      <c r="R780" s="2"/>
    </row>
    <row r="781" spans="1:18" ht="15.75" customHeight="1" x14ac:dyDescent="0.3">
      <c r="A781" s="11"/>
      <c r="B781" s="11"/>
      <c r="D781" s="21"/>
      <c r="E781" s="22"/>
      <c r="G781" s="23"/>
      <c r="H781" s="24"/>
      <c r="Q781" s="2"/>
      <c r="R781" s="2"/>
    </row>
    <row r="782" spans="1:18" ht="15.75" customHeight="1" x14ac:dyDescent="0.3">
      <c r="A782" s="11"/>
      <c r="B782" s="11"/>
      <c r="D782" s="21"/>
      <c r="E782" s="22"/>
      <c r="G782" s="23"/>
      <c r="H782" s="24"/>
      <c r="Q782" s="2"/>
      <c r="R782" s="2"/>
    </row>
    <row r="783" spans="1:18" ht="15.75" customHeight="1" x14ac:dyDescent="0.3">
      <c r="A783" s="11"/>
      <c r="B783" s="11"/>
      <c r="D783" s="21"/>
      <c r="E783" s="22"/>
      <c r="G783" s="23"/>
      <c r="H783" s="24"/>
      <c r="Q783" s="2"/>
      <c r="R783" s="2"/>
    </row>
    <row r="784" spans="1:18" ht="15.75" customHeight="1" x14ac:dyDescent="0.3">
      <c r="A784" s="11"/>
      <c r="B784" s="11"/>
      <c r="D784" s="21"/>
      <c r="E784" s="22"/>
      <c r="G784" s="23"/>
      <c r="H784" s="24"/>
      <c r="Q784" s="2"/>
      <c r="R784" s="2"/>
    </row>
    <row r="785" spans="1:18" ht="15.75" customHeight="1" x14ac:dyDescent="0.3">
      <c r="A785" s="11"/>
      <c r="B785" s="11"/>
      <c r="D785" s="21"/>
      <c r="E785" s="22"/>
      <c r="G785" s="23"/>
      <c r="H785" s="24"/>
      <c r="Q785" s="2"/>
      <c r="R785" s="2"/>
    </row>
    <row r="786" spans="1:18" ht="15.75" customHeight="1" x14ac:dyDescent="0.3">
      <c r="A786" s="11"/>
      <c r="B786" s="11"/>
      <c r="D786" s="21"/>
      <c r="E786" s="22"/>
      <c r="G786" s="23"/>
      <c r="H786" s="24"/>
      <c r="Q786" s="2"/>
      <c r="R786" s="2"/>
    </row>
    <row r="787" spans="1:18" ht="15.75" customHeight="1" x14ac:dyDescent="0.3">
      <c r="A787" s="11"/>
      <c r="B787" s="11"/>
      <c r="D787" s="21"/>
      <c r="E787" s="22"/>
      <c r="G787" s="23"/>
      <c r="H787" s="24"/>
      <c r="Q787" s="2"/>
      <c r="R787" s="2"/>
    </row>
    <row r="788" spans="1:18" ht="15.75" customHeight="1" x14ac:dyDescent="0.3">
      <c r="A788" s="11"/>
      <c r="B788" s="11"/>
      <c r="D788" s="21"/>
      <c r="E788" s="22"/>
      <c r="G788" s="23"/>
      <c r="H788" s="24"/>
      <c r="Q788" s="2"/>
      <c r="R788" s="2"/>
    </row>
    <row r="789" spans="1:18" ht="15.75" customHeight="1" x14ac:dyDescent="0.3">
      <c r="A789" s="11"/>
      <c r="B789" s="11"/>
      <c r="D789" s="21"/>
      <c r="E789" s="22"/>
      <c r="G789" s="23"/>
      <c r="H789" s="24"/>
      <c r="Q789" s="2"/>
      <c r="R789" s="2"/>
    </row>
    <row r="790" spans="1:18" ht="15.75" customHeight="1" x14ac:dyDescent="0.3">
      <c r="A790" s="11"/>
      <c r="B790" s="11"/>
      <c r="D790" s="21"/>
      <c r="E790" s="22"/>
      <c r="G790" s="23"/>
      <c r="H790" s="24"/>
      <c r="Q790" s="2"/>
      <c r="R790" s="2"/>
    </row>
    <row r="791" spans="1:18" ht="15.75" customHeight="1" x14ac:dyDescent="0.3">
      <c r="A791" s="11"/>
      <c r="B791" s="11"/>
      <c r="D791" s="21"/>
      <c r="E791" s="22"/>
      <c r="G791" s="23"/>
      <c r="H791" s="24"/>
      <c r="Q791" s="2"/>
      <c r="R791" s="2"/>
    </row>
    <row r="792" spans="1:18" ht="15.75" customHeight="1" x14ac:dyDescent="0.3">
      <c r="A792" s="11"/>
      <c r="B792" s="11"/>
      <c r="D792" s="21"/>
      <c r="E792" s="22"/>
      <c r="G792" s="23"/>
      <c r="H792" s="24"/>
      <c r="Q792" s="2"/>
      <c r="R792" s="2"/>
    </row>
    <row r="793" spans="1:18" ht="15.75" customHeight="1" x14ac:dyDescent="0.3">
      <c r="A793" s="11"/>
      <c r="B793" s="11"/>
      <c r="D793" s="21"/>
      <c r="E793" s="22"/>
      <c r="G793" s="23"/>
      <c r="H793" s="24"/>
      <c r="Q793" s="2"/>
      <c r="R793" s="2"/>
    </row>
    <row r="794" spans="1:18" ht="15.75" customHeight="1" x14ac:dyDescent="0.3">
      <c r="A794" s="11"/>
      <c r="B794" s="11"/>
      <c r="D794" s="21"/>
      <c r="E794" s="22"/>
      <c r="G794" s="23"/>
      <c r="H794" s="24"/>
      <c r="Q794" s="2"/>
      <c r="R794" s="2"/>
    </row>
    <row r="795" spans="1:18" ht="15.75" customHeight="1" x14ac:dyDescent="0.3">
      <c r="A795" s="11"/>
      <c r="B795" s="11"/>
      <c r="D795" s="21"/>
      <c r="E795" s="22"/>
      <c r="G795" s="23"/>
      <c r="H795" s="24"/>
      <c r="Q795" s="2"/>
      <c r="R795" s="2"/>
    </row>
    <row r="796" spans="1:18" ht="15.75" customHeight="1" x14ac:dyDescent="0.3">
      <c r="A796" s="11"/>
      <c r="B796" s="11"/>
      <c r="D796" s="21"/>
      <c r="E796" s="22"/>
      <c r="G796" s="23"/>
      <c r="H796" s="24"/>
      <c r="Q796" s="2"/>
      <c r="R796" s="2"/>
    </row>
    <row r="797" spans="1:18" ht="15.75" customHeight="1" x14ac:dyDescent="0.3">
      <c r="A797" s="11"/>
      <c r="B797" s="11"/>
      <c r="D797" s="21"/>
      <c r="E797" s="22"/>
      <c r="G797" s="23"/>
      <c r="H797" s="24"/>
      <c r="Q797" s="2"/>
      <c r="R797" s="2"/>
    </row>
    <row r="798" spans="1:18" ht="15.75" customHeight="1" x14ac:dyDescent="0.3">
      <c r="A798" s="11"/>
      <c r="B798" s="11"/>
      <c r="D798" s="21"/>
      <c r="E798" s="22"/>
      <c r="G798" s="23"/>
      <c r="H798" s="24"/>
      <c r="Q798" s="2"/>
      <c r="R798" s="2"/>
    </row>
    <row r="799" spans="1:18" ht="15.75" customHeight="1" x14ac:dyDescent="0.3">
      <c r="A799" s="11"/>
      <c r="B799" s="11"/>
      <c r="D799" s="21"/>
      <c r="E799" s="22"/>
      <c r="G799" s="23"/>
      <c r="H799" s="24"/>
      <c r="Q799" s="2"/>
      <c r="R799" s="2"/>
    </row>
    <row r="800" spans="1:18" ht="15.75" customHeight="1" x14ac:dyDescent="0.3">
      <c r="A800" s="11"/>
      <c r="B800" s="11"/>
      <c r="D800" s="21"/>
      <c r="E800" s="22"/>
      <c r="G800" s="23"/>
      <c r="H800" s="24"/>
      <c r="Q800" s="2"/>
      <c r="R800" s="2"/>
    </row>
    <row r="801" spans="1:18" ht="15.75" customHeight="1" x14ac:dyDescent="0.3">
      <c r="A801" s="11"/>
      <c r="B801" s="11"/>
      <c r="D801" s="21"/>
      <c r="E801" s="22"/>
      <c r="G801" s="23"/>
      <c r="H801" s="24"/>
      <c r="Q801" s="2"/>
      <c r="R801" s="2"/>
    </row>
    <row r="802" spans="1:18" ht="15.75" customHeight="1" x14ac:dyDescent="0.3">
      <c r="A802" s="11"/>
      <c r="B802" s="11"/>
      <c r="D802" s="21"/>
      <c r="E802" s="22"/>
      <c r="G802" s="23"/>
      <c r="H802" s="24"/>
      <c r="Q802" s="2"/>
      <c r="R802" s="2"/>
    </row>
    <row r="803" spans="1:18" ht="15.75" customHeight="1" x14ac:dyDescent="0.3">
      <c r="A803" s="11"/>
      <c r="B803" s="11"/>
      <c r="D803" s="21"/>
      <c r="E803" s="22"/>
      <c r="G803" s="23"/>
      <c r="H803" s="24"/>
      <c r="Q803" s="2"/>
      <c r="R803" s="2"/>
    </row>
    <row r="804" spans="1:18" ht="15.75" customHeight="1" x14ac:dyDescent="0.3">
      <c r="A804" s="11"/>
      <c r="B804" s="11"/>
      <c r="D804" s="21"/>
      <c r="E804" s="22"/>
      <c r="G804" s="23"/>
      <c r="H804" s="24"/>
      <c r="Q804" s="2"/>
      <c r="R804" s="2"/>
    </row>
    <row r="805" spans="1:18" ht="15.75" customHeight="1" x14ac:dyDescent="0.3">
      <c r="A805" s="11"/>
      <c r="B805" s="11"/>
      <c r="D805" s="21"/>
      <c r="E805" s="22"/>
      <c r="G805" s="23"/>
      <c r="H805" s="24"/>
      <c r="Q805" s="2"/>
      <c r="R805" s="2"/>
    </row>
    <row r="806" spans="1:18" ht="15.75" customHeight="1" x14ac:dyDescent="0.3">
      <c r="A806" s="11"/>
      <c r="B806" s="11"/>
      <c r="D806" s="21"/>
      <c r="E806" s="22"/>
      <c r="G806" s="23"/>
      <c r="H806" s="24"/>
      <c r="Q806" s="2"/>
      <c r="R806" s="2"/>
    </row>
    <row r="807" spans="1:18" ht="15.75" customHeight="1" x14ac:dyDescent="0.3">
      <c r="A807" s="11"/>
      <c r="B807" s="11"/>
      <c r="D807" s="21"/>
      <c r="E807" s="22"/>
      <c r="G807" s="23"/>
      <c r="H807" s="24"/>
      <c r="Q807" s="2"/>
      <c r="R807" s="2"/>
    </row>
    <row r="808" spans="1:18" ht="15.75" customHeight="1" x14ac:dyDescent="0.3">
      <c r="A808" s="11"/>
      <c r="B808" s="11"/>
      <c r="D808" s="21"/>
      <c r="E808" s="22"/>
      <c r="G808" s="23"/>
      <c r="H808" s="24"/>
      <c r="Q808" s="2"/>
      <c r="R808" s="2"/>
    </row>
    <row r="809" spans="1:18" ht="15.75" customHeight="1" x14ac:dyDescent="0.3">
      <c r="A809" s="11"/>
      <c r="B809" s="11"/>
      <c r="D809" s="21"/>
      <c r="E809" s="22"/>
      <c r="G809" s="23"/>
      <c r="H809" s="24"/>
      <c r="Q809" s="2"/>
      <c r="R809" s="2"/>
    </row>
    <row r="810" spans="1:18" ht="15.75" customHeight="1" x14ac:dyDescent="0.3">
      <c r="A810" s="11"/>
      <c r="B810" s="11"/>
      <c r="D810" s="21"/>
      <c r="E810" s="22"/>
      <c r="G810" s="23"/>
      <c r="H810" s="24"/>
      <c r="Q810" s="2"/>
      <c r="R810" s="2"/>
    </row>
    <row r="811" spans="1:18" ht="15.75" customHeight="1" x14ac:dyDescent="0.3">
      <c r="A811" s="11"/>
      <c r="B811" s="11"/>
      <c r="D811" s="21"/>
      <c r="E811" s="22"/>
      <c r="G811" s="23"/>
      <c r="H811" s="24"/>
      <c r="Q811" s="2"/>
      <c r="R811" s="2"/>
    </row>
    <row r="812" spans="1:18" ht="15.75" customHeight="1" x14ac:dyDescent="0.3">
      <c r="A812" s="11"/>
      <c r="B812" s="11"/>
      <c r="D812" s="21"/>
      <c r="E812" s="22"/>
      <c r="G812" s="23"/>
      <c r="H812" s="24"/>
      <c r="Q812" s="2"/>
      <c r="R812" s="2"/>
    </row>
    <row r="813" spans="1:18" ht="15.75" customHeight="1" x14ac:dyDescent="0.3">
      <c r="A813" s="11"/>
      <c r="B813" s="11"/>
      <c r="D813" s="21"/>
      <c r="E813" s="22"/>
      <c r="G813" s="23"/>
      <c r="H813" s="24"/>
      <c r="Q813" s="2"/>
      <c r="R813" s="2"/>
    </row>
    <row r="814" spans="1:18" ht="15.75" customHeight="1" x14ac:dyDescent="0.3">
      <c r="A814" s="11"/>
      <c r="B814" s="11"/>
      <c r="D814" s="21"/>
      <c r="E814" s="22"/>
      <c r="G814" s="23"/>
      <c r="H814" s="24"/>
      <c r="Q814" s="2"/>
      <c r="R814" s="2"/>
    </row>
    <row r="815" spans="1:18" ht="15.75" customHeight="1" x14ac:dyDescent="0.3">
      <c r="A815" s="11"/>
      <c r="B815" s="11"/>
      <c r="D815" s="21"/>
      <c r="E815" s="22"/>
      <c r="G815" s="23"/>
      <c r="H815" s="24"/>
      <c r="Q815" s="2"/>
      <c r="R815" s="2"/>
    </row>
    <row r="816" spans="1:18" ht="15.75" customHeight="1" x14ac:dyDescent="0.3">
      <c r="A816" s="11"/>
      <c r="B816" s="11"/>
      <c r="D816" s="21"/>
      <c r="E816" s="22"/>
      <c r="G816" s="23"/>
      <c r="H816" s="24"/>
      <c r="Q816" s="2"/>
      <c r="R816" s="2"/>
    </row>
    <row r="817" spans="1:18" ht="15.75" customHeight="1" x14ac:dyDescent="0.3">
      <c r="A817" s="11"/>
      <c r="B817" s="11"/>
      <c r="D817" s="21"/>
      <c r="E817" s="22"/>
      <c r="G817" s="23"/>
      <c r="H817" s="24"/>
      <c r="Q817" s="2"/>
      <c r="R817" s="2"/>
    </row>
    <row r="818" spans="1:18" ht="15.75" customHeight="1" x14ac:dyDescent="0.3">
      <c r="A818" s="11"/>
      <c r="B818" s="11"/>
      <c r="D818" s="21"/>
      <c r="E818" s="22"/>
      <c r="G818" s="23"/>
      <c r="H818" s="24"/>
      <c r="Q818" s="2"/>
      <c r="R818" s="2"/>
    </row>
    <row r="819" spans="1:18" ht="15.75" customHeight="1" x14ac:dyDescent="0.3">
      <c r="A819" s="11"/>
      <c r="B819" s="11"/>
      <c r="D819" s="21"/>
      <c r="E819" s="22"/>
      <c r="G819" s="23"/>
      <c r="H819" s="24"/>
      <c r="Q819" s="2"/>
      <c r="R819" s="2"/>
    </row>
    <row r="820" spans="1:18" ht="15.75" customHeight="1" x14ac:dyDescent="0.3">
      <c r="A820" s="11"/>
      <c r="B820" s="11"/>
      <c r="D820" s="21"/>
      <c r="E820" s="22"/>
      <c r="G820" s="23"/>
      <c r="H820" s="24"/>
      <c r="Q820" s="2"/>
      <c r="R820" s="2"/>
    </row>
    <row r="821" spans="1:18" ht="15.75" customHeight="1" x14ac:dyDescent="0.3">
      <c r="A821" s="11"/>
      <c r="B821" s="11"/>
      <c r="D821" s="21"/>
      <c r="E821" s="22"/>
      <c r="G821" s="23"/>
      <c r="H821" s="24"/>
      <c r="Q821" s="2"/>
      <c r="R821" s="2"/>
    </row>
    <row r="822" spans="1:18" ht="15.75" customHeight="1" x14ac:dyDescent="0.3">
      <c r="A822" s="11"/>
      <c r="B822" s="11"/>
      <c r="D822" s="21"/>
      <c r="E822" s="22"/>
      <c r="G822" s="23"/>
      <c r="H822" s="24"/>
      <c r="Q822" s="2"/>
      <c r="R822" s="2"/>
    </row>
    <row r="823" spans="1:18" ht="15.75" customHeight="1" x14ac:dyDescent="0.3">
      <c r="A823" s="11"/>
      <c r="B823" s="11"/>
      <c r="D823" s="21"/>
      <c r="E823" s="22"/>
      <c r="G823" s="23"/>
      <c r="H823" s="24"/>
      <c r="Q823" s="2"/>
      <c r="R823" s="2"/>
    </row>
    <row r="824" spans="1:18" ht="15.75" customHeight="1" x14ac:dyDescent="0.3">
      <c r="A824" s="11"/>
      <c r="B824" s="11"/>
      <c r="D824" s="21"/>
      <c r="E824" s="22"/>
      <c r="G824" s="23"/>
      <c r="H824" s="24"/>
      <c r="Q824" s="2"/>
      <c r="R824" s="2"/>
    </row>
    <row r="825" spans="1:18" ht="15.75" customHeight="1" x14ac:dyDescent="0.3">
      <c r="A825" s="11"/>
      <c r="B825" s="11"/>
      <c r="D825" s="21"/>
      <c r="E825" s="22"/>
      <c r="G825" s="23"/>
      <c r="H825" s="24"/>
      <c r="Q825" s="2"/>
      <c r="R825" s="2"/>
    </row>
    <row r="826" spans="1:18" ht="15.75" customHeight="1" x14ac:dyDescent="0.3">
      <c r="A826" s="11"/>
      <c r="B826" s="11"/>
      <c r="D826" s="21"/>
      <c r="E826" s="22"/>
      <c r="G826" s="23"/>
      <c r="H826" s="24"/>
      <c r="Q826" s="2"/>
      <c r="R826" s="2"/>
    </row>
    <row r="827" spans="1:18" ht="15.75" customHeight="1" x14ac:dyDescent="0.3">
      <c r="A827" s="11"/>
      <c r="B827" s="11"/>
      <c r="D827" s="21"/>
      <c r="E827" s="22"/>
      <c r="G827" s="23"/>
      <c r="H827" s="24"/>
      <c r="Q827" s="2"/>
      <c r="R827" s="2"/>
    </row>
    <row r="828" spans="1:18" ht="15.75" customHeight="1" x14ac:dyDescent="0.3">
      <c r="A828" s="11"/>
      <c r="B828" s="11"/>
      <c r="D828" s="21"/>
      <c r="E828" s="22"/>
      <c r="G828" s="23"/>
      <c r="H828" s="24"/>
      <c r="Q828" s="2"/>
      <c r="R828" s="2"/>
    </row>
    <row r="829" spans="1:18" ht="15.75" customHeight="1" x14ac:dyDescent="0.3">
      <c r="A829" s="11"/>
      <c r="B829" s="11"/>
      <c r="D829" s="21"/>
      <c r="E829" s="22"/>
      <c r="G829" s="23"/>
      <c r="H829" s="24"/>
      <c r="Q829" s="2"/>
      <c r="R829" s="2"/>
    </row>
    <row r="830" spans="1:18" ht="15.75" customHeight="1" x14ac:dyDescent="0.3">
      <c r="A830" s="11"/>
      <c r="B830" s="11"/>
      <c r="D830" s="21"/>
      <c r="E830" s="22"/>
      <c r="G830" s="23"/>
      <c r="H830" s="24"/>
      <c r="Q830" s="2"/>
      <c r="R830" s="2"/>
    </row>
    <row r="831" spans="1:18" ht="15.75" customHeight="1" x14ac:dyDescent="0.3">
      <c r="A831" s="11"/>
      <c r="B831" s="11"/>
      <c r="D831" s="21"/>
      <c r="E831" s="22"/>
      <c r="G831" s="23"/>
      <c r="H831" s="24"/>
      <c r="Q831" s="2"/>
      <c r="R831" s="2"/>
    </row>
    <row r="832" spans="1:18" ht="15.75" customHeight="1" x14ac:dyDescent="0.3">
      <c r="A832" s="11"/>
      <c r="B832" s="11"/>
      <c r="D832" s="21"/>
      <c r="E832" s="22"/>
      <c r="G832" s="23"/>
      <c r="H832" s="24"/>
      <c r="Q832" s="2"/>
      <c r="R832" s="2"/>
    </row>
    <row r="833" spans="1:18" ht="15.75" customHeight="1" x14ac:dyDescent="0.3">
      <c r="A833" s="11"/>
      <c r="B833" s="11"/>
      <c r="D833" s="21"/>
      <c r="E833" s="22"/>
      <c r="G833" s="23"/>
      <c r="H833" s="24"/>
      <c r="Q833" s="2"/>
      <c r="R833" s="2"/>
    </row>
    <row r="834" spans="1:18" ht="15.75" customHeight="1" x14ac:dyDescent="0.3">
      <c r="A834" s="11"/>
      <c r="B834" s="11"/>
      <c r="D834" s="21"/>
      <c r="E834" s="22"/>
      <c r="G834" s="23"/>
      <c r="H834" s="24"/>
      <c r="Q834" s="2"/>
      <c r="R834" s="2"/>
    </row>
    <row r="835" spans="1:18" ht="15.75" customHeight="1" x14ac:dyDescent="0.3">
      <c r="A835" s="11"/>
      <c r="B835" s="11"/>
      <c r="D835" s="21"/>
      <c r="E835" s="22"/>
      <c r="G835" s="23"/>
      <c r="H835" s="24"/>
      <c r="Q835" s="2"/>
      <c r="R835" s="2"/>
    </row>
    <row r="836" spans="1:18" ht="15.75" customHeight="1" x14ac:dyDescent="0.3">
      <c r="A836" s="11"/>
      <c r="B836" s="11"/>
      <c r="D836" s="21"/>
      <c r="E836" s="22"/>
      <c r="G836" s="23"/>
      <c r="H836" s="24"/>
      <c r="Q836" s="2"/>
      <c r="R836" s="2"/>
    </row>
    <row r="837" spans="1:18" ht="15.75" customHeight="1" x14ac:dyDescent="0.3">
      <c r="A837" s="11"/>
      <c r="B837" s="11"/>
      <c r="D837" s="21"/>
      <c r="E837" s="22"/>
      <c r="G837" s="23"/>
      <c r="H837" s="24"/>
      <c r="Q837" s="2"/>
      <c r="R837" s="2"/>
    </row>
    <row r="838" spans="1:18" ht="15.75" customHeight="1" x14ac:dyDescent="0.3">
      <c r="A838" s="11"/>
      <c r="B838" s="11"/>
      <c r="D838" s="21"/>
      <c r="E838" s="22"/>
      <c r="G838" s="23"/>
      <c r="H838" s="24"/>
      <c r="Q838" s="2"/>
      <c r="R838" s="2"/>
    </row>
    <row r="839" spans="1:18" ht="15.75" customHeight="1" x14ac:dyDescent="0.3">
      <c r="A839" s="11"/>
      <c r="B839" s="11"/>
      <c r="D839" s="21"/>
      <c r="E839" s="22"/>
      <c r="G839" s="23"/>
      <c r="H839" s="24"/>
      <c r="Q839" s="2"/>
      <c r="R839" s="2"/>
    </row>
    <row r="840" spans="1:18" ht="15.75" customHeight="1" x14ac:dyDescent="0.3">
      <c r="A840" s="11"/>
      <c r="B840" s="11"/>
      <c r="D840" s="21"/>
      <c r="E840" s="22"/>
      <c r="G840" s="23"/>
      <c r="H840" s="24"/>
      <c r="Q840" s="2"/>
      <c r="R840" s="2"/>
    </row>
    <row r="841" spans="1:18" ht="15.75" customHeight="1" x14ac:dyDescent="0.3">
      <c r="A841" s="11"/>
      <c r="B841" s="11"/>
      <c r="D841" s="21"/>
      <c r="E841" s="22"/>
      <c r="G841" s="23"/>
      <c r="H841" s="24"/>
      <c r="Q841" s="2"/>
      <c r="R841" s="2"/>
    </row>
    <row r="842" spans="1:18" ht="15.75" customHeight="1" x14ac:dyDescent="0.3">
      <c r="A842" s="11"/>
      <c r="B842" s="11"/>
      <c r="D842" s="21"/>
      <c r="E842" s="22"/>
      <c r="G842" s="23"/>
      <c r="H842" s="24"/>
      <c r="Q842" s="2"/>
      <c r="R842" s="2"/>
    </row>
    <row r="843" spans="1:18" ht="15.75" customHeight="1" x14ac:dyDescent="0.3">
      <c r="A843" s="11"/>
      <c r="B843" s="11"/>
      <c r="D843" s="21"/>
      <c r="E843" s="22"/>
      <c r="G843" s="23"/>
      <c r="H843" s="24"/>
      <c r="Q843" s="2"/>
      <c r="R843" s="2"/>
    </row>
    <row r="844" spans="1:18" ht="15.75" customHeight="1" x14ac:dyDescent="0.3">
      <c r="A844" s="11"/>
      <c r="B844" s="11"/>
      <c r="D844" s="21"/>
      <c r="E844" s="22"/>
      <c r="G844" s="23"/>
      <c r="H844" s="24"/>
      <c r="Q844" s="2"/>
      <c r="R844" s="2"/>
    </row>
    <row r="845" spans="1:18" ht="15.75" customHeight="1" x14ac:dyDescent="0.3">
      <c r="A845" s="11"/>
      <c r="B845" s="11"/>
      <c r="D845" s="21"/>
      <c r="E845" s="22"/>
      <c r="G845" s="23"/>
      <c r="H845" s="24"/>
      <c r="Q845" s="2"/>
      <c r="R845" s="2"/>
    </row>
    <row r="846" spans="1:18" ht="15.75" customHeight="1" x14ac:dyDescent="0.3">
      <c r="A846" s="11"/>
      <c r="B846" s="11"/>
      <c r="D846" s="21"/>
      <c r="E846" s="22"/>
      <c r="G846" s="23"/>
      <c r="H846" s="24"/>
      <c r="Q846" s="2"/>
      <c r="R846" s="2"/>
    </row>
    <row r="847" spans="1:18" ht="15.75" customHeight="1" x14ac:dyDescent="0.3">
      <c r="A847" s="11"/>
      <c r="B847" s="11"/>
      <c r="D847" s="21"/>
      <c r="E847" s="22"/>
      <c r="G847" s="23"/>
      <c r="H847" s="24"/>
      <c r="Q847" s="2"/>
      <c r="R847" s="2"/>
    </row>
    <row r="848" spans="1:18" ht="15.75" customHeight="1" x14ac:dyDescent="0.3">
      <c r="A848" s="11"/>
      <c r="B848" s="11"/>
      <c r="D848" s="21"/>
      <c r="E848" s="22"/>
      <c r="G848" s="23"/>
      <c r="H848" s="24"/>
      <c r="Q848" s="2"/>
      <c r="R848" s="2"/>
    </row>
    <row r="849" spans="1:18" ht="15.75" customHeight="1" x14ac:dyDescent="0.3">
      <c r="A849" s="11"/>
      <c r="B849" s="11"/>
      <c r="D849" s="21"/>
      <c r="E849" s="22"/>
      <c r="G849" s="23"/>
      <c r="H849" s="24"/>
      <c r="Q849" s="2"/>
      <c r="R849" s="2"/>
    </row>
    <row r="850" spans="1:18" ht="15.75" customHeight="1" x14ac:dyDescent="0.3">
      <c r="A850" s="11"/>
      <c r="B850" s="11"/>
      <c r="D850" s="21"/>
      <c r="E850" s="22"/>
      <c r="G850" s="23"/>
      <c r="H850" s="24"/>
      <c r="Q850" s="2"/>
      <c r="R850" s="2"/>
    </row>
    <row r="851" spans="1:18" ht="15.75" customHeight="1" x14ac:dyDescent="0.3">
      <c r="A851" s="11"/>
      <c r="B851" s="11"/>
      <c r="D851" s="21"/>
      <c r="E851" s="22"/>
      <c r="G851" s="23"/>
      <c r="H851" s="24"/>
      <c r="Q851" s="2"/>
      <c r="R851" s="2"/>
    </row>
    <row r="852" spans="1:18" ht="15.75" customHeight="1" x14ac:dyDescent="0.3">
      <c r="A852" s="11"/>
      <c r="B852" s="11"/>
      <c r="D852" s="21"/>
      <c r="E852" s="22"/>
      <c r="G852" s="23"/>
      <c r="H852" s="24"/>
      <c r="Q852" s="2"/>
      <c r="R852" s="2"/>
    </row>
    <row r="853" spans="1:18" ht="15.75" customHeight="1" x14ac:dyDescent="0.3">
      <c r="A853" s="11"/>
      <c r="B853" s="11"/>
      <c r="D853" s="21"/>
      <c r="E853" s="22"/>
      <c r="G853" s="23"/>
      <c r="H853" s="24"/>
      <c r="Q853" s="2"/>
      <c r="R853" s="2"/>
    </row>
    <row r="854" spans="1:18" ht="15.75" customHeight="1" x14ac:dyDescent="0.3">
      <c r="A854" s="11"/>
      <c r="B854" s="11"/>
      <c r="D854" s="21"/>
      <c r="E854" s="22"/>
      <c r="G854" s="23"/>
      <c r="H854" s="24"/>
      <c r="Q854" s="2"/>
      <c r="R854" s="2"/>
    </row>
    <row r="855" spans="1:18" ht="15.75" customHeight="1" x14ac:dyDescent="0.3">
      <c r="A855" s="11"/>
      <c r="B855" s="11"/>
      <c r="D855" s="21"/>
      <c r="E855" s="22"/>
      <c r="G855" s="23"/>
      <c r="H855" s="24"/>
      <c r="Q855" s="2"/>
      <c r="R855" s="2"/>
    </row>
    <row r="856" spans="1:18" ht="15.75" customHeight="1" x14ac:dyDescent="0.3">
      <c r="A856" s="11"/>
      <c r="B856" s="11"/>
      <c r="D856" s="21"/>
      <c r="E856" s="22"/>
      <c r="G856" s="23"/>
      <c r="H856" s="24"/>
      <c r="Q856" s="2"/>
      <c r="R856" s="2"/>
    </row>
    <row r="857" spans="1:18" ht="15.75" customHeight="1" x14ac:dyDescent="0.3">
      <c r="A857" s="11"/>
      <c r="B857" s="11"/>
      <c r="D857" s="21"/>
      <c r="E857" s="22"/>
      <c r="G857" s="23"/>
      <c r="H857" s="24"/>
      <c r="Q857" s="2"/>
      <c r="R857" s="2"/>
    </row>
    <row r="858" spans="1:18" ht="15.75" customHeight="1" x14ac:dyDescent="0.3">
      <c r="A858" s="11"/>
      <c r="B858" s="11"/>
      <c r="D858" s="21"/>
      <c r="E858" s="22"/>
      <c r="G858" s="23"/>
      <c r="H858" s="24"/>
      <c r="Q858" s="2"/>
      <c r="R858" s="2"/>
    </row>
    <row r="859" spans="1:18" ht="15.75" customHeight="1" x14ac:dyDescent="0.3">
      <c r="A859" s="11"/>
      <c r="B859" s="11"/>
      <c r="D859" s="21"/>
      <c r="E859" s="22"/>
      <c r="G859" s="23"/>
      <c r="H859" s="24"/>
      <c r="Q859" s="2"/>
      <c r="R859" s="2"/>
    </row>
    <row r="860" spans="1:18" ht="15.75" customHeight="1" x14ac:dyDescent="0.3">
      <c r="A860" s="11"/>
      <c r="B860" s="11"/>
      <c r="D860" s="21"/>
      <c r="E860" s="22"/>
      <c r="G860" s="23"/>
      <c r="H860" s="24"/>
      <c r="Q860" s="2"/>
      <c r="R860" s="2"/>
    </row>
    <row r="861" spans="1:18" ht="15.75" customHeight="1" x14ac:dyDescent="0.3">
      <c r="A861" s="11"/>
      <c r="B861" s="11"/>
      <c r="D861" s="21"/>
      <c r="E861" s="22"/>
      <c r="G861" s="23"/>
      <c r="H861" s="24"/>
      <c r="Q861" s="2"/>
      <c r="R861" s="2"/>
    </row>
    <row r="862" spans="1:18" ht="15.75" customHeight="1" x14ac:dyDescent="0.3">
      <c r="A862" s="11"/>
      <c r="B862" s="11"/>
      <c r="D862" s="21"/>
      <c r="E862" s="22"/>
      <c r="G862" s="23"/>
      <c r="H862" s="24"/>
      <c r="Q862" s="2"/>
      <c r="R862" s="2"/>
    </row>
    <row r="863" spans="1:18" ht="15.75" customHeight="1" x14ac:dyDescent="0.3">
      <c r="A863" s="11"/>
      <c r="B863" s="11"/>
      <c r="D863" s="21"/>
      <c r="E863" s="22"/>
      <c r="G863" s="23"/>
      <c r="H863" s="24"/>
      <c r="Q863" s="2"/>
      <c r="R863" s="2"/>
    </row>
    <row r="864" spans="1:18" ht="15.75" customHeight="1" x14ac:dyDescent="0.3">
      <c r="A864" s="11"/>
      <c r="B864" s="11"/>
      <c r="D864" s="21"/>
      <c r="E864" s="22"/>
      <c r="G864" s="23"/>
      <c r="H864" s="24"/>
      <c r="Q864" s="2"/>
      <c r="R864" s="2"/>
    </row>
    <row r="865" spans="1:18" ht="15.75" customHeight="1" x14ac:dyDescent="0.3">
      <c r="A865" s="11"/>
      <c r="B865" s="11"/>
      <c r="D865" s="21"/>
      <c r="E865" s="22"/>
      <c r="G865" s="23"/>
      <c r="H865" s="24"/>
      <c r="Q865" s="2"/>
      <c r="R865" s="2"/>
    </row>
    <row r="866" spans="1:18" ht="15.75" customHeight="1" x14ac:dyDescent="0.3">
      <c r="A866" s="11"/>
      <c r="B866" s="11"/>
      <c r="D866" s="21"/>
      <c r="E866" s="22"/>
      <c r="G866" s="23"/>
      <c r="H866" s="24"/>
      <c r="Q866" s="2"/>
      <c r="R866" s="2"/>
    </row>
    <row r="867" spans="1:18" ht="15.75" customHeight="1" x14ac:dyDescent="0.3">
      <c r="A867" s="11"/>
      <c r="B867" s="11"/>
      <c r="D867" s="21"/>
      <c r="E867" s="22"/>
      <c r="G867" s="23"/>
      <c r="H867" s="24"/>
      <c r="Q867" s="2"/>
      <c r="R867" s="2"/>
    </row>
    <row r="868" spans="1:18" ht="15.75" customHeight="1" x14ac:dyDescent="0.3">
      <c r="A868" s="11"/>
      <c r="B868" s="11"/>
      <c r="D868" s="21"/>
      <c r="E868" s="22"/>
      <c r="G868" s="23"/>
      <c r="H868" s="24"/>
      <c r="Q868" s="2"/>
      <c r="R868" s="2"/>
    </row>
    <row r="869" spans="1:18" ht="15.75" customHeight="1" x14ac:dyDescent="0.3">
      <c r="A869" s="11"/>
      <c r="B869" s="11"/>
      <c r="D869" s="21"/>
      <c r="E869" s="22"/>
      <c r="G869" s="23"/>
      <c r="H869" s="24"/>
      <c r="Q869" s="2"/>
      <c r="R869" s="2"/>
    </row>
    <row r="870" spans="1:18" ht="15.75" customHeight="1" x14ac:dyDescent="0.3">
      <c r="A870" s="11"/>
      <c r="B870" s="11"/>
      <c r="D870" s="21"/>
      <c r="E870" s="22"/>
      <c r="G870" s="23"/>
      <c r="H870" s="24"/>
      <c r="Q870" s="2"/>
      <c r="R870" s="2"/>
    </row>
    <row r="871" spans="1:18" ht="15.75" customHeight="1" x14ac:dyDescent="0.3">
      <c r="A871" s="11"/>
      <c r="B871" s="11"/>
      <c r="D871" s="21"/>
      <c r="E871" s="22"/>
      <c r="G871" s="23"/>
      <c r="H871" s="24"/>
      <c r="Q871" s="2"/>
      <c r="R871" s="2"/>
    </row>
    <row r="872" spans="1:18" ht="15.75" customHeight="1" x14ac:dyDescent="0.3">
      <c r="A872" s="11"/>
      <c r="B872" s="11"/>
      <c r="D872" s="21"/>
      <c r="E872" s="22"/>
      <c r="G872" s="23"/>
      <c r="H872" s="24"/>
      <c r="Q872" s="2"/>
      <c r="R872" s="2"/>
    </row>
    <row r="873" spans="1:18" ht="15.75" customHeight="1" x14ac:dyDescent="0.3">
      <c r="A873" s="11"/>
      <c r="B873" s="11"/>
      <c r="D873" s="21"/>
      <c r="E873" s="22"/>
      <c r="G873" s="23"/>
      <c r="H873" s="24"/>
      <c r="Q873" s="2"/>
      <c r="R873" s="2"/>
    </row>
    <row r="874" spans="1:18" ht="15.75" customHeight="1" x14ac:dyDescent="0.3">
      <c r="A874" s="11"/>
      <c r="B874" s="11"/>
      <c r="D874" s="21"/>
      <c r="E874" s="22"/>
      <c r="G874" s="23"/>
      <c r="H874" s="24"/>
      <c r="Q874" s="2"/>
      <c r="R874" s="2"/>
    </row>
    <row r="875" spans="1:18" ht="15.75" customHeight="1" x14ac:dyDescent="0.3">
      <c r="A875" s="11"/>
      <c r="B875" s="11"/>
      <c r="D875" s="21"/>
      <c r="E875" s="22"/>
      <c r="G875" s="23"/>
      <c r="H875" s="24"/>
      <c r="Q875" s="2"/>
      <c r="R875" s="2"/>
    </row>
    <row r="876" spans="1:18" ht="15.75" customHeight="1" x14ac:dyDescent="0.3">
      <c r="A876" s="11"/>
      <c r="B876" s="11"/>
      <c r="D876" s="21"/>
      <c r="E876" s="22"/>
      <c r="G876" s="23"/>
      <c r="H876" s="24"/>
      <c r="Q876" s="2"/>
      <c r="R876" s="2"/>
    </row>
    <row r="877" spans="1:18" ht="15.75" customHeight="1" x14ac:dyDescent="0.3">
      <c r="A877" s="11"/>
      <c r="B877" s="11"/>
      <c r="D877" s="21"/>
      <c r="E877" s="22"/>
      <c r="G877" s="23"/>
      <c r="H877" s="24"/>
      <c r="Q877" s="2"/>
      <c r="R877" s="2"/>
    </row>
    <row r="878" spans="1:18" ht="15.75" customHeight="1" x14ac:dyDescent="0.3">
      <c r="A878" s="11"/>
      <c r="B878" s="11"/>
      <c r="D878" s="21"/>
      <c r="E878" s="22"/>
      <c r="G878" s="23"/>
      <c r="H878" s="24"/>
      <c r="Q878" s="2"/>
      <c r="R878" s="2"/>
    </row>
    <row r="879" spans="1:18" ht="15.75" customHeight="1" x14ac:dyDescent="0.3">
      <c r="A879" s="11"/>
      <c r="B879" s="11"/>
      <c r="D879" s="21"/>
      <c r="E879" s="22"/>
      <c r="G879" s="23"/>
      <c r="H879" s="24"/>
      <c r="Q879" s="2"/>
      <c r="R879" s="2"/>
    </row>
    <row r="880" spans="1:18" ht="15.75" customHeight="1" x14ac:dyDescent="0.3">
      <c r="A880" s="11"/>
      <c r="B880" s="11"/>
      <c r="D880" s="21"/>
      <c r="E880" s="22"/>
      <c r="G880" s="23"/>
      <c r="H880" s="24"/>
      <c r="Q880" s="2"/>
      <c r="R880" s="2"/>
    </row>
    <row r="881" spans="1:18" ht="15.75" customHeight="1" x14ac:dyDescent="0.3">
      <c r="A881" s="11"/>
      <c r="B881" s="11"/>
      <c r="D881" s="21"/>
      <c r="E881" s="22"/>
      <c r="G881" s="23"/>
      <c r="H881" s="24"/>
      <c r="Q881" s="2"/>
      <c r="R881" s="2"/>
    </row>
    <row r="882" spans="1:18" ht="15.75" customHeight="1" x14ac:dyDescent="0.3">
      <c r="A882" s="11"/>
      <c r="B882" s="11"/>
      <c r="D882" s="21"/>
      <c r="E882" s="22"/>
      <c r="G882" s="23"/>
      <c r="H882" s="24"/>
      <c r="Q882" s="2"/>
      <c r="R882" s="2"/>
    </row>
    <row r="883" spans="1:18" ht="15.75" customHeight="1" x14ac:dyDescent="0.3">
      <c r="A883" s="11"/>
      <c r="B883" s="11"/>
      <c r="D883" s="21"/>
      <c r="E883" s="22"/>
      <c r="G883" s="23"/>
      <c r="H883" s="24"/>
      <c r="Q883" s="2"/>
      <c r="R883" s="2"/>
    </row>
    <row r="884" spans="1:18" ht="15.75" customHeight="1" x14ac:dyDescent="0.3">
      <c r="A884" s="11"/>
      <c r="B884" s="11"/>
      <c r="D884" s="21"/>
      <c r="E884" s="22"/>
      <c r="G884" s="23"/>
      <c r="H884" s="24"/>
      <c r="Q884" s="2"/>
      <c r="R884" s="2"/>
    </row>
    <row r="885" spans="1:18" ht="15.75" customHeight="1" x14ac:dyDescent="0.3">
      <c r="A885" s="11"/>
      <c r="B885" s="11"/>
      <c r="D885" s="21"/>
      <c r="E885" s="22"/>
      <c r="G885" s="23"/>
      <c r="H885" s="24"/>
      <c r="Q885" s="2"/>
      <c r="R885" s="2"/>
    </row>
    <row r="886" spans="1:18" ht="15.75" customHeight="1" x14ac:dyDescent="0.3">
      <c r="A886" s="11"/>
      <c r="B886" s="11"/>
      <c r="D886" s="21"/>
      <c r="E886" s="22"/>
      <c r="G886" s="23"/>
      <c r="H886" s="24"/>
      <c r="Q886" s="2"/>
      <c r="R886" s="2"/>
    </row>
    <row r="887" spans="1:18" ht="15.75" customHeight="1" x14ac:dyDescent="0.3">
      <c r="A887" s="11"/>
      <c r="B887" s="11"/>
      <c r="D887" s="21"/>
      <c r="E887" s="22"/>
      <c r="G887" s="23"/>
      <c r="H887" s="24"/>
      <c r="Q887" s="2"/>
      <c r="R887" s="2"/>
    </row>
    <row r="888" spans="1:18" ht="15.75" customHeight="1" x14ac:dyDescent="0.3">
      <c r="A888" s="11"/>
      <c r="B888" s="11"/>
      <c r="D888" s="21"/>
      <c r="E888" s="22"/>
      <c r="G888" s="23"/>
      <c r="H888" s="24"/>
      <c r="Q888" s="2"/>
      <c r="R888" s="2"/>
    </row>
    <row r="889" spans="1:18" ht="15.75" customHeight="1" x14ac:dyDescent="0.3">
      <c r="A889" s="11"/>
      <c r="B889" s="11"/>
      <c r="D889" s="21"/>
      <c r="E889" s="22"/>
      <c r="G889" s="23"/>
      <c r="H889" s="24"/>
      <c r="Q889" s="2"/>
      <c r="R889" s="2"/>
    </row>
    <row r="890" spans="1:18" ht="15.75" customHeight="1" x14ac:dyDescent="0.3">
      <c r="A890" s="11"/>
      <c r="B890" s="11"/>
      <c r="D890" s="21"/>
      <c r="E890" s="22"/>
      <c r="G890" s="23"/>
      <c r="H890" s="24"/>
      <c r="Q890" s="2"/>
      <c r="R890" s="2"/>
    </row>
    <row r="891" spans="1:18" ht="15.75" customHeight="1" x14ac:dyDescent="0.3">
      <c r="A891" s="11"/>
      <c r="B891" s="11"/>
      <c r="D891" s="21"/>
      <c r="E891" s="22"/>
      <c r="G891" s="23"/>
      <c r="H891" s="24"/>
      <c r="Q891" s="2"/>
      <c r="R891" s="2"/>
    </row>
    <row r="892" spans="1:18" ht="15.75" customHeight="1" x14ac:dyDescent="0.3">
      <c r="A892" s="11"/>
      <c r="B892" s="11"/>
      <c r="D892" s="21"/>
      <c r="E892" s="22"/>
      <c r="G892" s="23"/>
      <c r="H892" s="24"/>
      <c r="Q892" s="2"/>
      <c r="R892" s="2"/>
    </row>
    <row r="893" spans="1:18" ht="15.75" customHeight="1" x14ac:dyDescent="0.3">
      <c r="A893" s="11"/>
      <c r="B893" s="11"/>
      <c r="D893" s="21"/>
      <c r="E893" s="22"/>
      <c r="G893" s="23"/>
      <c r="H893" s="24"/>
      <c r="Q893" s="2"/>
      <c r="R893" s="2"/>
    </row>
    <row r="894" spans="1:18" ht="15.75" customHeight="1" x14ac:dyDescent="0.3">
      <c r="A894" s="11"/>
      <c r="B894" s="11"/>
      <c r="D894" s="21"/>
      <c r="E894" s="22"/>
      <c r="G894" s="23"/>
      <c r="H894" s="24"/>
      <c r="Q894" s="2"/>
      <c r="R894" s="2"/>
    </row>
    <row r="895" spans="1:18" ht="15.75" customHeight="1" x14ac:dyDescent="0.3">
      <c r="A895" s="11"/>
      <c r="B895" s="11"/>
      <c r="D895" s="21"/>
      <c r="E895" s="22"/>
      <c r="G895" s="23"/>
      <c r="H895" s="24"/>
      <c r="Q895" s="2"/>
      <c r="R895" s="2"/>
    </row>
    <row r="896" spans="1:18" ht="15.75" customHeight="1" x14ac:dyDescent="0.3">
      <c r="A896" s="11"/>
      <c r="B896" s="11"/>
      <c r="D896" s="21"/>
      <c r="E896" s="22"/>
      <c r="G896" s="23"/>
      <c r="H896" s="24"/>
      <c r="Q896" s="2"/>
      <c r="R896" s="2"/>
    </row>
    <row r="897" spans="1:18" ht="15.75" customHeight="1" x14ac:dyDescent="0.3">
      <c r="A897" s="11"/>
      <c r="B897" s="11"/>
      <c r="D897" s="21"/>
      <c r="E897" s="22"/>
      <c r="G897" s="23"/>
      <c r="H897" s="24"/>
      <c r="Q897" s="2"/>
      <c r="R897" s="2"/>
    </row>
    <row r="898" spans="1:18" ht="15.75" customHeight="1" x14ac:dyDescent="0.3">
      <c r="A898" s="11"/>
      <c r="B898" s="11"/>
      <c r="D898" s="21"/>
      <c r="E898" s="22"/>
      <c r="G898" s="23"/>
      <c r="H898" s="24"/>
      <c r="Q898" s="2"/>
      <c r="R898" s="2"/>
    </row>
    <row r="899" spans="1:18" ht="15.75" customHeight="1" x14ac:dyDescent="0.3">
      <c r="A899" s="11"/>
      <c r="B899" s="11"/>
      <c r="D899" s="21"/>
      <c r="E899" s="22"/>
      <c r="G899" s="23"/>
      <c r="H899" s="24"/>
      <c r="Q899" s="2"/>
      <c r="R899" s="2"/>
    </row>
    <row r="900" spans="1:18" ht="15.75" customHeight="1" x14ac:dyDescent="0.3">
      <c r="A900" s="11"/>
      <c r="B900" s="11"/>
      <c r="D900" s="21"/>
      <c r="E900" s="22"/>
      <c r="G900" s="23"/>
      <c r="H900" s="24"/>
      <c r="Q900" s="2"/>
      <c r="R900" s="2"/>
    </row>
    <row r="901" spans="1:18" ht="15.75" customHeight="1" x14ac:dyDescent="0.3">
      <c r="A901" s="11"/>
      <c r="B901" s="11"/>
      <c r="D901" s="21"/>
      <c r="E901" s="22"/>
      <c r="G901" s="23"/>
      <c r="H901" s="24"/>
      <c r="Q901" s="2"/>
      <c r="R901" s="2"/>
    </row>
    <row r="902" spans="1:18" ht="15.75" customHeight="1" x14ac:dyDescent="0.3">
      <c r="A902" s="11"/>
      <c r="B902" s="11"/>
      <c r="D902" s="21"/>
      <c r="E902" s="22"/>
      <c r="G902" s="23"/>
      <c r="H902" s="24"/>
      <c r="Q902" s="2"/>
      <c r="R902" s="2"/>
    </row>
    <row r="903" spans="1:18" ht="15.75" customHeight="1" x14ac:dyDescent="0.3">
      <c r="A903" s="11"/>
      <c r="B903" s="11"/>
      <c r="D903" s="21"/>
      <c r="E903" s="22"/>
      <c r="G903" s="23"/>
      <c r="H903" s="24"/>
      <c r="Q903" s="2"/>
      <c r="R903" s="2"/>
    </row>
    <row r="904" spans="1:18" ht="15.75" customHeight="1" x14ac:dyDescent="0.3">
      <c r="A904" s="11"/>
      <c r="B904" s="11"/>
      <c r="D904" s="21"/>
      <c r="E904" s="22"/>
      <c r="G904" s="23"/>
      <c r="H904" s="24"/>
      <c r="Q904" s="2"/>
      <c r="R904" s="2"/>
    </row>
    <row r="905" spans="1:18" ht="15.75" customHeight="1" x14ac:dyDescent="0.3">
      <c r="A905" s="11"/>
      <c r="B905" s="11"/>
      <c r="D905" s="21"/>
      <c r="E905" s="22"/>
      <c r="G905" s="23"/>
      <c r="H905" s="24"/>
      <c r="Q905" s="2"/>
      <c r="R905" s="2"/>
    </row>
    <row r="906" spans="1:18" ht="15.75" customHeight="1" x14ac:dyDescent="0.3">
      <c r="A906" s="11"/>
      <c r="B906" s="11"/>
      <c r="D906" s="21"/>
      <c r="E906" s="22"/>
      <c r="G906" s="23"/>
      <c r="H906" s="24"/>
      <c r="Q906" s="2"/>
      <c r="R906" s="2"/>
    </row>
    <row r="907" spans="1:18" ht="15.75" customHeight="1" x14ac:dyDescent="0.3">
      <c r="A907" s="11"/>
      <c r="B907" s="11"/>
      <c r="D907" s="21"/>
      <c r="E907" s="22"/>
      <c r="G907" s="23"/>
      <c r="H907" s="24"/>
      <c r="Q907" s="2"/>
      <c r="R907" s="2"/>
    </row>
    <row r="908" spans="1:18" ht="15.75" customHeight="1" x14ac:dyDescent="0.3">
      <c r="A908" s="11"/>
      <c r="B908" s="11"/>
      <c r="D908" s="21"/>
      <c r="E908" s="22"/>
      <c r="G908" s="23"/>
      <c r="H908" s="24"/>
      <c r="Q908" s="2"/>
      <c r="R908" s="2"/>
    </row>
    <row r="909" spans="1:18" ht="15.75" customHeight="1" x14ac:dyDescent="0.3">
      <c r="A909" s="11"/>
      <c r="B909" s="11"/>
      <c r="D909" s="21"/>
      <c r="E909" s="22"/>
      <c r="G909" s="23"/>
      <c r="H909" s="24"/>
      <c r="Q909" s="2"/>
      <c r="R909" s="2"/>
    </row>
    <row r="910" spans="1:18" ht="15.75" customHeight="1" x14ac:dyDescent="0.3">
      <c r="A910" s="11"/>
      <c r="B910" s="11"/>
      <c r="D910" s="21"/>
      <c r="E910" s="22"/>
      <c r="G910" s="23"/>
      <c r="H910" s="24"/>
      <c r="Q910" s="2"/>
      <c r="R910" s="2"/>
    </row>
    <row r="911" spans="1:18" ht="15.75" customHeight="1" x14ac:dyDescent="0.3">
      <c r="A911" s="11"/>
      <c r="B911" s="11"/>
      <c r="D911" s="21"/>
      <c r="E911" s="22"/>
      <c r="G911" s="23"/>
      <c r="H911" s="24"/>
      <c r="Q911" s="2"/>
      <c r="R911" s="2"/>
    </row>
    <row r="912" spans="1:18" ht="15.75" customHeight="1" x14ac:dyDescent="0.3">
      <c r="A912" s="11"/>
      <c r="B912" s="11"/>
      <c r="D912" s="21"/>
      <c r="E912" s="22"/>
      <c r="G912" s="23"/>
      <c r="H912" s="24"/>
      <c r="Q912" s="2"/>
      <c r="R912" s="2"/>
    </row>
    <row r="913" spans="1:18" ht="15.75" customHeight="1" x14ac:dyDescent="0.3">
      <c r="A913" s="11"/>
      <c r="B913" s="11"/>
      <c r="D913" s="21"/>
      <c r="E913" s="22"/>
      <c r="G913" s="23"/>
      <c r="H913" s="24"/>
      <c r="Q913" s="2"/>
      <c r="R913" s="2"/>
    </row>
    <row r="914" spans="1:18" ht="15.75" customHeight="1" x14ac:dyDescent="0.3">
      <c r="A914" s="11"/>
      <c r="B914" s="11"/>
      <c r="D914" s="21"/>
      <c r="E914" s="22"/>
      <c r="G914" s="23"/>
      <c r="H914" s="24"/>
      <c r="Q914" s="2"/>
      <c r="R914" s="2"/>
    </row>
    <row r="915" spans="1:18" ht="15.75" customHeight="1" x14ac:dyDescent="0.3">
      <c r="A915" s="11"/>
      <c r="B915" s="11"/>
      <c r="D915" s="21"/>
      <c r="E915" s="22"/>
      <c r="G915" s="23"/>
      <c r="H915" s="24"/>
      <c r="Q915" s="2"/>
      <c r="R915" s="2"/>
    </row>
    <row r="916" spans="1:18" ht="15.75" customHeight="1" x14ac:dyDescent="0.3">
      <c r="A916" s="11"/>
      <c r="B916" s="11"/>
      <c r="D916" s="21"/>
      <c r="E916" s="22"/>
      <c r="G916" s="23"/>
      <c r="H916" s="24"/>
      <c r="Q916" s="2"/>
      <c r="R916" s="2"/>
    </row>
    <row r="917" spans="1:18" ht="15.75" customHeight="1" x14ac:dyDescent="0.3">
      <c r="A917" s="11"/>
      <c r="B917" s="11"/>
      <c r="D917" s="21"/>
      <c r="E917" s="22"/>
      <c r="G917" s="23"/>
      <c r="H917" s="24"/>
      <c r="Q917" s="2"/>
      <c r="R917" s="2"/>
    </row>
    <row r="918" spans="1:18" ht="15.75" customHeight="1" x14ac:dyDescent="0.3">
      <c r="A918" s="11"/>
      <c r="B918" s="11"/>
      <c r="D918" s="21"/>
      <c r="E918" s="22"/>
      <c r="G918" s="23"/>
      <c r="H918" s="24"/>
      <c r="Q918" s="2"/>
      <c r="R918" s="2"/>
    </row>
    <row r="919" spans="1:18" ht="15.75" customHeight="1" x14ac:dyDescent="0.3">
      <c r="A919" s="11"/>
      <c r="B919" s="11"/>
      <c r="D919" s="21"/>
      <c r="E919" s="22"/>
      <c r="G919" s="23"/>
      <c r="H919" s="24"/>
      <c r="Q919" s="2"/>
      <c r="R919" s="2"/>
    </row>
    <row r="920" spans="1:18" ht="15.75" customHeight="1" x14ac:dyDescent="0.3">
      <c r="A920" s="11"/>
      <c r="B920" s="11"/>
      <c r="D920" s="21"/>
      <c r="E920" s="22"/>
      <c r="G920" s="23"/>
      <c r="H920" s="24"/>
      <c r="Q920" s="2"/>
      <c r="R920" s="2"/>
    </row>
    <row r="921" spans="1:18" ht="15.75" customHeight="1" x14ac:dyDescent="0.3">
      <c r="A921" s="11"/>
      <c r="B921" s="11"/>
      <c r="D921" s="21"/>
      <c r="E921" s="22"/>
      <c r="G921" s="23"/>
      <c r="H921" s="24"/>
      <c r="Q921" s="2"/>
      <c r="R921" s="2"/>
    </row>
    <row r="922" spans="1:18" ht="15.75" customHeight="1" x14ac:dyDescent="0.3">
      <c r="A922" s="11"/>
      <c r="B922" s="11"/>
      <c r="D922" s="21"/>
      <c r="E922" s="22"/>
      <c r="G922" s="23"/>
      <c r="H922" s="24"/>
      <c r="Q922" s="2"/>
      <c r="R922" s="2"/>
    </row>
    <row r="923" spans="1:18" ht="15.75" customHeight="1" x14ac:dyDescent="0.3">
      <c r="A923" s="11"/>
      <c r="B923" s="11"/>
      <c r="D923" s="21"/>
      <c r="E923" s="22"/>
      <c r="G923" s="23"/>
      <c r="H923" s="24"/>
      <c r="Q923" s="2"/>
      <c r="R923" s="2"/>
    </row>
    <row r="924" spans="1:18" ht="15.75" customHeight="1" x14ac:dyDescent="0.3">
      <c r="A924" s="11"/>
      <c r="B924" s="11"/>
      <c r="D924" s="21"/>
      <c r="E924" s="22"/>
      <c r="G924" s="23"/>
      <c r="H924" s="24"/>
      <c r="Q924" s="2"/>
      <c r="R924" s="2"/>
    </row>
    <row r="925" spans="1:18" ht="15.75" customHeight="1" x14ac:dyDescent="0.3">
      <c r="A925" s="11"/>
      <c r="B925" s="11"/>
      <c r="D925" s="21"/>
      <c r="E925" s="22"/>
      <c r="G925" s="23"/>
      <c r="H925" s="24"/>
      <c r="Q925" s="2"/>
      <c r="R925" s="2"/>
    </row>
    <row r="926" spans="1:18" ht="15.75" customHeight="1" x14ac:dyDescent="0.3">
      <c r="A926" s="11"/>
      <c r="B926" s="11"/>
      <c r="D926" s="21"/>
      <c r="E926" s="22"/>
      <c r="G926" s="23"/>
      <c r="H926" s="24"/>
      <c r="Q926" s="2"/>
      <c r="R926" s="2"/>
    </row>
    <row r="927" spans="1:18" ht="15.75" customHeight="1" x14ac:dyDescent="0.3">
      <c r="A927" s="11"/>
      <c r="B927" s="11"/>
      <c r="D927" s="21"/>
      <c r="E927" s="22"/>
      <c r="G927" s="23"/>
      <c r="H927" s="24"/>
      <c r="Q927" s="2"/>
      <c r="R927" s="2"/>
    </row>
    <row r="928" spans="1:18" ht="15.75" customHeight="1" x14ac:dyDescent="0.3">
      <c r="A928" s="11"/>
      <c r="B928" s="11"/>
      <c r="D928" s="21"/>
      <c r="E928" s="22"/>
      <c r="G928" s="23"/>
      <c r="H928" s="24"/>
      <c r="Q928" s="2"/>
      <c r="R928" s="2"/>
    </row>
    <row r="929" spans="1:18" ht="15.75" customHeight="1" x14ac:dyDescent="0.3">
      <c r="A929" s="11"/>
      <c r="B929" s="11"/>
      <c r="D929" s="21"/>
      <c r="E929" s="22"/>
      <c r="G929" s="23"/>
      <c r="H929" s="24"/>
      <c r="Q929" s="2"/>
      <c r="R929" s="2"/>
    </row>
    <row r="930" spans="1:18" ht="15.75" customHeight="1" x14ac:dyDescent="0.3">
      <c r="A930" s="11"/>
      <c r="B930" s="11"/>
      <c r="D930" s="21"/>
      <c r="E930" s="22"/>
      <c r="G930" s="23"/>
      <c r="H930" s="24"/>
      <c r="Q930" s="2"/>
      <c r="R930" s="2"/>
    </row>
    <row r="931" spans="1:18" ht="15.75" customHeight="1" x14ac:dyDescent="0.3">
      <c r="A931" s="11"/>
      <c r="B931" s="11"/>
      <c r="D931" s="21"/>
      <c r="E931" s="22"/>
      <c r="G931" s="23"/>
      <c r="H931" s="24"/>
      <c r="Q931" s="2"/>
      <c r="R931" s="2"/>
    </row>
    <row r="932" spans="1:18" ht="15.75" customHeight="1" x14ac:dyDescent="0.3">
      <c r="A932" s="11"/>
      <c r="B932" s="11"/>
      <c r="D932" s="21"/>
      <c r="E932" s="22"/>
      <c r="G932" s="23"/>
      <c r="H932" s="24"/>
      <c r="Q932" s="2"/>
      <c r="R932" s="2"/>
    </row>
    <row r="933" spans="1:18" ht="15.75" customHeight="1" x14ac:dyDescent="0.3">
      <c r="A933" s="11"/>
      <c r="B933" s="11"/>
      <c r="D933" s="21"/>
      <c r="E933" s="22"/>
      <c r="G933" s="23"/>
      <c r="H933" s="24"/>
      <c r="Q933" s="2"/>
      <c r="R933" s="2"/>
    </row>
    <row r="934" spans="1:18" ht="15.75" customHeight="1" x14ac:dyDescent="0.3">
      <c r="A934" s="11"/>
      <c r="B934" s="11"/>
      <c r="D934" s="21"/>
      <c r="E934" s="22"/>
      <c r="G934" s="23"/>
      <c r="H934" s="24"/>
      <c r="Q934" s="2"/>
      <c r="R934" s="2"/>
    </row>
    <row r="935" spans="1:18" ht="15.75" customHeight="1" x14ac:dyDescent="0.3">
      <c r="A935" s="11"/>
      <c r="B935" s="11"/>
      <c r="D935" s="21"/>
      <c r="E935" s="22"/>
      <c r="G935" s="23"/>
      <c r="H935" s="24"/>
      <c r="Q935" s="2"/>
      <c r="R935" s="2"/>
    </row>
    <row r="936" spans="1:18" ht="15.75" customHeight="1" x14ac:dyDescent="0.3">
      <c r="A936" s="11"/>
      <c r="B936" s="11"/>
      <c r="D936" s="21"/>
      <c r="E936" s="22"/>
      <c r="G936" s="23"/>
      <c r="H936" s="24"/>
      <c r="Q936" s="2"/>
      <c r="R936" s="2"/>
    </row>
    <row r="937" spans="1:18" ht="15.75" customHeight="1" x14ac:dyDescent="0.3">
      <c r="A937" s="11"/>
      <c r="B937" s="11"/>
      <c r="D937" s="21"/>
      <c r="E937" s="22"/>
      <c r="G937" s="23"/>
      <c r="H937" s="24"/>
      <c r="Q937" s="2"/>
      <c r="R937" s="2"/>
    </row>
    <row r="938" spans="1:18" ht="15.75" customHeight="1" x14ac:dyDescent="0.3">
      <c r="A938" s="11"/>
      <c r="B938" s="11"/>
      <c r="D938" s="21"/>
      <c r="E938" s="22"/>
      <c r="G938" s="23"/>
      <c r="H938" s="24"/>
      <c r="Q938" s="2"/>
      <c r="R938" s="2"/>
    </row>
    <row r="939" spans="1:18" ht="15.75" customHeight="1" x14ac:dyDescent="0.3">
      <c r="A939" s="11"/>
      <c r="B939" s="11"/>
      <c r="D939" s="21"/>
      <c r="E939" s="22"/>
      <c r="G939" s="23"/>
      <c r="H939" s="24"/>
      <c r="Q939" s="2"/>
      <c r="R939" s="2"/>
    </row>
    <row r="940" spans="1:18" ht="15.75" customHeight="1" x14ac:dyDescent="0.3">
      <c r="A940" s="11"/>
      <c r="B940" s="11"/>
      <c r="D940" s="21"/>
      <c r="E940" s="22"/>
      <c r="G940" s="23"/>
      <c r="H940" s="24"/>
      <c r="Q940" s="2"/>
      <c r="R940" s="2"/>
    </row>
    <row r="941" spans="1:18" ht="15.75" customHeight="1" x14ac:dyDescent="0.3">
      <c r="A941" s="11"/>
      <c r="B941" s="11"/>
      <c r="D941" s="21"/>
      <c r="E941" s="22"/>
      <c r="G941" s="23"/>
      <c r="H941" s="24"/>
      <c r="Q941" s="2"/>
      <c r="R941" s="2"/>
    </row>
    <row r="942" spans="1:18" ht="15.75" customHeight="1" x14ac:dyDescent="0.3">
      <c r="A942" s="11"/>
      <c r="B942" s="11"/>
      <c r="D942" s="21"/>
      <c r="E942" s="22"/>
      <c r="G942" s="23"/>
      <c r="H942" s="24"/>
      <c r="Q942" s="2"/>
      <c r="R942" s="2"/>
    </row>
    <row r="943" spans="1:18" ht="15.75" customHeight="1" x14ac:dyDescent="0.3">
      <c r="A943" s="11"/>
      <c r="B943" s="11"/>
      <c r="D943" s="21"/>
      <c r="E943" s="22"/>
      <c r="G943" s="23"/>
      <c r="H943" s="24"/>
      <c r="Q943" s="2"/>
      <c r="R943" s="2"/>
    </row>
    <row r="944" spans="1:18" ht="15.75" customHeight="1" x14ac:dyDescent="0.3">
      <c r="A944" s="11"/>
      <c r="B944" s="11"/>
      <c r="D944" s="21"/>
      <c r="E944" s="22"/>
      <c r="G944" s="23"/>
      <c r="H944" s="24"/>
      <c r="Q944" s="2"/>
      <c r="R944" s="2"/>
    </row>
    <row r="945" spans="1:18" ht="15.75" customHeight="1" x14ac:dyDescent="0.3">
      <c r="A945" s="11"/>
      <c r="B945" s="11"/>
      <c r="D945" s="21"/>
      <c r="E945" s="22"/>
      <c r="G945" s="23"/>
      <c r="H945" s="24"/>
      <c r="Q945" s="2"/>
      <c r="R945" s="2"/>
    </row>
    <row r="946" spans="1:18" ht="15.75" customHeight="1" x14ac:dyDescent="0.3">
      <c r="A946" s="11"/>
      <c r="B946" s="11"/>
      <c r="D946" s="21"/>
      <c r="E946" s="22"/>
      <c r="G946" s="23"/>
      <c r="H946" s="24"/>
      <c r="Q946" s="2"/>
      <c r="R946" s="2"/>
    </row>
    <row r="947" spans="1:18" ht="15.75" customHeight="1" x14ac:dyDescent="0.3">
      <c r="A947" s="11"/>
      <c r="B947" s="11"/>
      <c r="D947" s="21"/>
      <c r="E947" s="22"/>
      <c r="G947" s="23"/>
      <c r="H947" s="24"/>
      <c r="Q947" s="2"/>
      <c r="R947" s="2"/>
    </row>
    <row r="948" spans="1:18" ht="15.75" customHeight="1" x14ac:dyDescent="0.3">
      <c r="A948" s="11"/>
      <c r="B948" s="11"/>
      <c r="D948" s="21"/>
      <c r="E948" s="22"/>
      <c r="G948" s="23"/>
      <c r="H948" s="24"/>
      <c r="Q948" s="2"/>
      <c r="R948" s="2"/>
    </row>
    <row r="949" spans="1:18" ht="15.75" customHeight="1" x14ac:dyDescent="0.3">
      <c r="A949" s="11"/>
      <c r="B949" s="11"/>
      <c r="D949" s="21"/>
      <c r="E949" s="22"/>
      <c r="G949" s="23"/>
      <c r="H949" s="24"/>
      <c r="Q949" s="2"/>
      <c r="R949" s="2"/>
    </row>
    <row r="950" spans="1:18" ht="15.75" customHeight="1" x14ac:dyDescent="0.3">
      <c r="A950" s="11"/>
      <c r="B950" s="11"/>
      <c r="D950" s="21"/>
      <c r="E950" s="22"/>
      <c r="G950" s="23"/>
      <c r="H950" s="24"/>
      <c r="Q950" s="2"/>
      <c r="R950" s="2"/>
    </row>
    <row r="951" spans="1:18" ht="15.75" customHeight="1" x14ac:dyDescent="0.3">
      <c r="A951" s="11"/>
      <c r="B951" s="11"/>
      <c r="D951" s="21"/>
      <c r="E951" s="22"/>
      <c r="G951" s="23"/>
      <c r="H951" s="24"/>
      <c r="Q951" s="2"/>
      <c r="R951" s="2"/>
    </row>
    <row r="952" spans="1:18" ht="15.75" customHeight="1" x14ac:dyDescent="0.3">
      <c r="A952" s="11"/>
      <c r="B952" s="11"/>
      <c r="D952" s="21"/>
      <c r="E952" s="22"/>
      <c r="G952" s="23"/>
      <c r="H952" s="24"/>
      <c r="Q952" s="2"/>
      <c r="R952" s="2"/>
    </row>
    <row r="953" spans="1:18" ht="15.75" customHeight="1" x14ac:dyDescent="0.3">
      <c r="A953" s="11"/>
      <c r="B953" s="11"/>
      <c r="D953" s="21"/>
      <c r="E953" s="22"/>
      <c r="G953" s="23"/>
      <c r="H953" s="24"/>
      <c r="Q953" s="2"/>
      <c r="R953" s="2"/>
    </row>
    <row r="954" spans="1:18" ht="15.75" customHeight="1" x14ac:dyDescent="0.3">
      <c r="A954" s="11"/>
      <c r="B954" s="11"/>
      <c r="D954" s="21"/>
      <c r="E954" s="22"/>
      <c r="G954" s="23"/>
      <c r="H954" s="24"/>
      <c r="Q954" s="2"/>
      <c r="R954" s="2"/>
    </row>
    <row r="955" spans="1:18" ht="15.75" customHeight="1" x14ac:dyDescent="0.3">
      <c r="A955" s="11"/>
      <c r="B955" s="11"/>
      <c r="D955" s="21"/>
      <c r="E955" s="22"/>
      <c r="G955" s="23"/>
      <c r="H955" s="24"/>
      <c r="Q955" s="2"/>
      <c r="R955" s="2"/>
    </row>
    <row r="956" spans="1:18" ht="15.75" customHeight="1" x14ac:dyDescent="0.3">
      <c r="A956" s="11"/>
      <c r="B956" s="11"/>
      <c r="D956" s="21"/>
      <c r="E956" s="22"/>
      <c r="G956" s="23"/>
      <c r="H956" s="24"/>
      <c r="Q956" s="2"/>
      <c r="R956" s="2"/>
    </row>
    <row r="957" spans="1:18" ht="15.75" customHeight="1" x14ac:dyDescent="0.3">
      <c r="A957" s="11"/>
      <c r="B957" s="11"/>
      <c r="D957" s="21"/>
      <c r="E957" s="22"/>
      <c r="G957" s="23"/>
      <c r="H957" s="24"/>
      <c r="Q957" s="2"/>
      <c r="R957" s="2"/>
    </row>
    <row r="958" spans="1:18" ht="15.75" customHeight="1" x14ac:dyDescent="0.3">
      <c r="A958" s="11"/>
      <c r="B958" s="11"/>
      <c r="D958" s="21"/>
      <c r="E958" s="22"/>
      <c r="G958" s="23"/>
      <c r="H958" s="24"/>
      <c r="Q958" s="2"/>
      <c r="R958" s="2"/>
    </row>
    <row r="959" spans="1:18" ht="15.75" customHeight="1" x14ac:dyDescent="0.3">
      <c r="A959" s="11"/>
      <c r="B959" s="11"/>
      <c r="D959" s="21"/>
      <c r="E959" s="22"/>
      <c r="G959" s="23"/>
      <c r="H959" s="24"/>
      <c r="Q959" s="2"/>
      <c r="R959" s="2"/>
    </row>
    <row r="960" spans="1:18" ht="15.75" customHeight="1" x14ac:dyDescent="0.3">
      <c r="A960" s="11"/>
      <c r="B960" s="11"/>
      <c r="D960" s="21"/>
      <c r="E960" s="22"/>
      <c r="G960" s="23"/>
      <c r="H960" s="24"/>
      <c r="Q960" s="2"/>
      <c r="R960" s="2"/>
    </row>
    <row r="961" spans="1:18" ht="15.75" customHeight="1" x14ac:dyDescent="0.3">
      <c r="A961" s="11"/>
      <c r="B961" s="11"/>
      <c r="D961" s="21"/>
      <c r="E961" s="22"/>
      <c r="G961" s="23"/>
      <c r="H961" s="24"/>
      <c r="Q961" s="2"/>
      <c r="R961" s="2"/>
    </row>
    <row r="962" spans="1:18" ht="15.75" customHeight="1" x14ac:dyDescent="0.3">
      <c r="A962" s="11"/>
      <c r="B962" s="11"/>
      <c r="D962" s="21"/>
      <c r="E962" s="22"/>
      <c r="G962" s="23"/>
      <c r="H962" s="24"/>
      <c r="Q962" s="2"/>
      <c r="R962" s="2"/>
    </row>
    <row r="963" spans="1:18" ht="15.75" customHeight="1" x14ac:dyDescent="0.3">
      <c r="A963" s="11"/>
      <c r="B963" s="11"/>
      <c r="D963" s="21"/>
      <c r="E963" s="22"/>
      <c r="G963" s="23"/>
      <c r="H963" s="24"/>
      <c r="Q963" s="2"/>
      <c r="R963" s="2"/>
    </row>
    <row r="964" spans="1:18" ht="15.75" customHeight="1" x14ac:dyDescent="0.3">
      <c r="A964" s="11"/>
      <c r="B964" s="11"/>
      <c r="D964" s="21"/>
      <c r="E964" s="22"/>
      <c r="G964" s="23"/>
      <c r="H964" s="24"/>
      <c r="Q964" s="2"/>
      <c r="R964" s="2"/>
    </row>
    <row r="965" spans="1:18" ht="15.75" customHeight="1" x14ac:dyDescent="0.3">
      <c r="A965" s="11"/>
      <c r="B965" s="11"/>
      <c r="D965" s="21"/>
      <c r="E965" s="22"/>
      <c r="G965" s="23"/>
      <c r="H965" s="24"/>
      <c r="Q965" s="2"/>
      <c r="R965" s="2"/>
    </row>
    <row r="966" spans="1:18" ht="15.75" customHeight="1" x14ac:dyDescent="0.3">
      <c r="A966" s="11"/>
      <c r="B966" s="11"/>
      <c r="D966" s="21"/>
      <c r="E966" s="22"/>
      <c r="G966" s="23"/>
      <c r="H966" s="24"/>
      <c r="Q966" s="2"/>
      <c r="R966" s="2"/>
    </row>
    <row r="967" spans="1:18" ht="15.75" customHeight="1" x14ac:dyDescent="0.3">
      <c r="A967" s="11"/>
      <c r="B967" s="11"/>
      <c r="D967" s="21"/>
      <c r="E967" s="22"/>
      <c r="G967" s="23"/>
      <c r="H967" s="24"/>
      <c r="Q967" s="2"/>
      <c r="R967" s="2"/>
    </row>
    <row r="968" spans="1:18" ht="15.75" customHeight="1" x14ac:dyDescent="0.3">
      <c r="A968" s="11"/>
      <c r="B968" s="11"/>
      <c r="D968" s="21"/>
      <c r="E968" s="22"/>
      <c r="G968" s="23"/>
      <c r="H968" s="24"/>
      <c r="Q968" s="2"/>
      <c r="R968" s="2"/>
    </row>
    <row r="969" spans="1:18" ht="15.75" customHeight="1" x14ac:dyDescent="0.3">
      <c r="A969" s="11"/>
      <c r="B969" s="11"/>
      <c r="D969" s="21"/>
      <c r="E969" s="22"/>
      <c r="G969" s="23"/>
      <c r="H969" s="24"/>
      <c r="Q969" s="2"/>
      <c r="R969" s="2"/>
    </row>
    <row r="970" spans="1:18" ht="15.75" customHeight="1" x14ac:dyDescent="0.3">
      <c r="A970" s="11"/>
      <c r="B970" s="11"/>
      <c r="D970" s="21"/>
      <c r="E970" s="22"/>
      <c r="G970" s="23"/>
      <c r="H970" s="24"/>
      <c r="Q970" s="2"/>
      <c r="R970" s="2"/>
    </row>
    <row r="971" spans="1:18" ht="15.75" customHeight="1" x14ac:dyDescent="0.3">
      <c r="A971" s="11"/>
      <c r="B971" s="11"/>
      <c r="D971" s="21"/>
      <c r="E971" s="22"/>
      <c r="G971" s="23"/>
      <c r="H971" s="24"/>
      <c r="Q971" s="2"/>
      <c r="R971" s="2"/>
    </row>
    <row r="972" spans="1:18" ht="15.75" customHeight="1" x14ac:dyDescent="0.3">
      <c r="A972" s="11"/>
      <c r="B972" s="11"/>
      <c r="D972" s="21"/>
      <c r="E972" s="22"/>
      <c r="G972" s="23"/>
      <c r="H972" s="24"/>
      <c r="Q972" s="2"/>
      <c r="R972" s="2"/>
    </row>
    <row r="973" spans="1:18" ht="15.75" customHeight="1" x14ac:dyDescent="0.3">
      <c r="A973" s="11"/>
      <c r="B973" s="11"/>
      <c r="D973" s="21"/>
      <c r="E973" s="22"/>
      <c r="G973" s="23"/>
      <c r="H973" s="24"/>
      <c r="Q973" s="2"/>
      <c r="R973" s="2"/>
    </row>
    <row r="974" spans="1:18" ht="15.75" customHeight="1" x14ac:dyDescent="0.3">
      <c r="A974" s="11"/>
      <c r="B974" s="11"/>
      <c r="D974" s="21"/>
      <c r="E974" s="22"/>
      <c r="G974" s="23"/>
      <c r="H974" s="24"/>
      <c r="Q974" s="2"/>
      <c r="R974" s="2"/>
    </row>
    <row r="975" spans="1:18" ht="15.75" customHeight="1" x14ac:dyDescent="0.3">
      <c r="A975" s="11"/>
      <c r="B975" s="11"/>
      <c r="D975" s="21"/>
      <c r="E975" s="22"/>
      <c r="G975" s="23"/>
      <c r="H975" s="24"/>
      <c r="Q975" s="2"/>
      <c r="R975" s="2"/>
    </row>
    <row r="976" spans="1:18" ht="15.75" customHeight="1" x14ac:dyDescent="0.3">
      <c r="A976" s="11"/>
      <c r="B976" s="11"/>
      <c r="D976" s="21"/>
      <c r="E976" s="22"/>
      <c r="G976" s="23"/>
      <c r="H976" s="24"/>
      <c r="Q976" s="2"/>
      <c r="R976" s="2"/>
    </row>
    <row r="977" spans="1:18" ht="15.75" customHeight="1" x14ac:dyDescent="0.3">
      <c r="A977" s="11"/>
      <c r="B977" s="11"/>
      <c r="D977" s="21"/>
      <c r="E977" s="22"/>
      <c r="G977" s="23"/>
      <c r="H977" s="24"/>
      <c r="Q977" s="2"/>
      <c r="R977" s="2"/>
    </row>
    <row r="978" spans="1:18" ht="15.75" customHeight="1" x14ac:dyDescent="0.3">
      <c r="A978" s="11"/>
      <c r="B978" s="11"/>
      <c r="D978" s="21"/>
      <c r="E978" s="22"/>
      <c r="G978" s="23"/>
      <c r="H978" s="24"/>
      <c r="Q978" s="2"/>
      <c r="R978" s="2"/>
    </row>
    <row r="979" spans="1:18" ht="15.75" customHeight="1" x14ac:dyDescent="0.3">
      <c r="A979" s="11"/>
      <c r="B979" s="11"/>
      <c r="D979" s="21"/>
      <c r="E979" s="22"/>
      <c r="G979" s="23"/>
      <c r="H979" s="24"/>
      <c r="Q979" s="2"/>
      <c r="R979" s="2"/>
    </row>
    <row r="980" spans="1:18" ht="15.75" customHeight="1" x14ac:dyDescent="0.3">
      <c r="A980" s="11"/>
      <c r="B980" s="11"/>
      <c r="D980" s="21"/>
      <c r="E980" s="22"/>
      <c r="G980" s="23"/>
      <c r="H980" s="24"/>
      <c r="Q980" s="2"/>
      <c r="R980" s="2"/>
    </row>
    <row r="981" spans="1:18" ht="15.75" customHeight="1" x14ac:dyDescent="0.3">
      <c r="A981" s="11"/>
      <c r="B981" s="11"/>
      <c r="D981" s="21"/>
      <c r="E981" s="22"/>
      <c r="G981" s="23"/>
      <c r="H981" s="24"/>
      <c r="Q981" s="2"/>
      <c r="R981" s="2"/>
    </row>
    <row r="982" spans="1:18" ht="15.75" customHeight="1" x14ac:dyDescent="0.3">
      <c r="A982" s="11"/>
      <c r="B982" s="11"/>
      <c r="D982" s="21"/>
      <c r="E982" s="22"/>
      <c r="G982" s="23"/>
      <c r="H982" s="24"/>
      <c r="Q982" s="2"/>
      <c r="R982" s="2"/>
    </row>
    <row r="983" spans="1:18" ht="15.75" customHeight="1" x14ac:dyDescent="0.3">
      <c r="A983" s="11"/>
      <c r="B983" s="11"/>
      <c r="D983" s="21"/>
      <c r="E983" s="22"/>
      <c r="G983" s="23"/>
      <c r="H983" s="24"/>
      <c r="Q983" s="2"/>
      <c r="R983" s="2"/>
    </row>
    <row r="984" spans="1:18" ht="15.75" customHeight="1" x14ac:dyDescent="0.3">
      <c r="A984" s="11"/>
      <c r="B984" s="11"/>
      <c r="D984" s="21"/>
      <c r="E984" s="22"/>
      <c r="G984" s="23"/>
      <c r="H984" s="24"/>
      <c r="Q984" s="2"/>
      <c r="R984" s="2"/>
    </row>
    <row r="985" spans="1:18" ht="15.75" customHeight="1" x14ac:dyDescent="0.3">
      <c r="A985" s="11"/>
      <c r="B985" s="11"/>
      <c r="D985" s="21"/>
      <c r="E985" s="22"/>
      <c r="G985" s="23"/>
      <c r="H985" s="24"/>
      <c r="Q985" s="2"/>
      <c r="R985" s="2"/>
    </row>
    <row r="986" spans="1:18" ht="15.75" customHeight="1" x14ac:dyDescent="0.3">
      <c r="A986" s="11"/>
      <c r="B986" s="11"/>
      <c r="D986" s="21"/>
      <c r="E986" s="22"/>
      <c r="G986" s="23"/>
      <c r="H986" s="24"/>
      <c r="Q986" s="2"/>
      <c r="R986" s="2"/>
    </row>
    <row r="987" spans="1:18" ht="15.75" customHeight="1" x14ac:dyDescent="0.3">
      <c r="A987" s="11"/>
      <c r="B987" s="11"/>
      <c r="D987" s="21"/>
      <c r="E987" s="22"/>
      <c r="G987" s="23"/>
      <c r="H987" s="24"/>
      <c r="Q987" s="2"/>
      <c r="R987" s="2"/>
    </row>
    <row r="988" spans="1:18" ht="15.75" customHeight="1" x14ac:dyDescent="0.3">
      <c r="A988" s="11"/>
      <c r="B988" s="11"/>
      <c r="D988" s="21"/>
      <c r="E988" s="22"/>
      <c r="G988" s="23"/>
      <c r="H988" s="24"/>
      <c r="Q988" s="2"/>
      <c r="R988" s="2"/>
    </row>
    <row r="989" spans="1:18" ht="15.75" customHeight="1" x14ac:dyDescent="0.3">
      <c r="A989" s="11"/>
      <c r="B989" s="11"/>
      <c r="D989" s="21"/>
      <c r="E989" s="22"/>
      <c r="G989" s="23"/>
      <c r="H989" s="24"/>
      <c r="Q989" s="2"/>
      <c r="R989" s="2"/>
    </row>
    <row r="990" spans="1:18" ht="15.75" customHeight="1" x14ac:dyDescent="0.3">
      <c r="A990" s="11"/>
      <c r="B990" s="11"/>
      <c r="D990" s="21"/>
      <c r="E990" s="22"/>
      <c r="G990" s="23"/>
      <c r="H990" s="24"/>
      <c r="Q990" s="2"/>
      <c r="R990" s="2"/>
    </row>
    <row r="991" spans="1:18" ht="15.75" customHeight="1" x14ac:dyDescent="0.3">
      <c r="A991" s="11"/>
      <c r="B991" s="11"/>
      <c r="D991" s="21"/>
      <c r="E991" s="22"/>
      <c r="G991" s="23"/>
      <c r="H991" s="24"/>
      <c r="Q991" s="2"/>
      <c r="R991" s="2"/>
    </row>
    <row r="992" spans="1:18" ht="15.75" customHeight="1" x14ac:dyDescent="0.3">
      <c r="A992" s="11"/>
      <c r="B992" s="11"/>
      <c r="D992" s="21"/>
      <c r="E992" s="22"/>
      <c r="G992" s="23"/>
      <c r="H992" s="24"/>
      <c r="Q992" s="2"/>
      <c r="R992" s="2"/>
    </row>
    <row r="993" spans="1:18" ht="15.75" customHeight="1" x14ac:dyDescent="0.3">
      <c r="A993" s="11"/>
      <c r="B993" s="11"/>
      <c r="D993" s="21"/>
      <c r="E993" s="22"/>
      <c r="G993" s="23"/>
      <c r="H993" s="24"/>
      <c r="Q993" s="2"/>
      <c r="R993" s="2"/>
    </row>
    <row r="994" spans="1:18" ht="15.75" customHeight="1" x14ac:dyDescent="0.3">
      <c r="A994" s="11"/>
      <c r="B994" s="11"/>
      <c r="D994" s="21"/>
      <c r="E994" s="22"/>
      <c r="G994" s="23"/>
      <c r="H994" s="24"/>
      <c r="Q994" s="2"/>
      <c r="R994" s="2"/>
    </row>
    <row r="995" spans="1:18" ht="15.75" customHeight="1" x14ac:dyDescent="0.3">
      <c r="A995" s="11"/>
      <c r="B995" s="11"/>
      <c r="D995" s="21"/>
      <c r="E995" s="22"/>
      <c r="G995" s="23"/>
      <c r="H995" s="24"/>
      <c r="Q995" s="2"/>
      <c r="R995" s="2"/>
    </row>
    <row r="996" spans="1:18" ht="15.75" customHeight="1" x14ac:dyDescent="0.3">
      <c r="A996" s="11"/>
      <c r="B996" s="11"/>
      <c r="D996" s="21"/>
      <c r="E996" s="22"/>
      <c r="G996" s="23"/>
      <c r="H996" s="24"/>
      <c r="Q996" s="2"/>
      <c r="R996" s="2"/>
    </row>
    <row r="997" spans="1:18" ht="15.75" customHeight="1" x14ac:dyDescent="0.3">
      <c r="A997" s="11"/>
      <c r="B997" s="11"/>
      <c r="D997" s="21"/>
      <c r="E997" s="22"/>
      <c r="G997" s="23"/>
      <c r="H997" s="24"/>
      <c r="Q997" s="2"/>
      <c r="R997" s="2"/>
    </row>
    <row r="998" spans="1:18" ht="15.75" customHeight="1" x14ac:dyDescent="0.3">
      <c r="A998" s="11"/>
      <c r="B998" s="11"/>
      <c r="D998" s="21"/>
      <c r="E998" s="22"/>
      <c r="G998" s="23"/>
      <c r="H998" s="24"/>
      <c r="Q998" s="2"/>
      <c r="R998" s="2"/>
    </row>
    <row r="999" spans="1:18" ht="15.75" customHeight="1" x14ac:dyDescent="0.3">
      <c r="A999" s="11"/>
      <c r="B999" s="11"/>
      <c r="D999" s="21"/>
      <c r="E999" s="22"/>
      <c r="G999" s="23"/>
      <c r="H999" s="24"/>
      <c r="Q999" s="2"/>
      <c r="R999" s="2"/>
    </row>
    <row r="1000" spans="1:18" ht="15.75" customHeight="1" x14ac:dyDescent="0.3">
      <c r="A1000" s="11"/>
      <c r="B1000" s="11"/>
      <c r="D1000" s="21"/>
      <c r="E1000" s="22"/>
      <c r="G1000" s="23"/>
      <c r="H1000" s="24"/>
      <c r="Q1000" s="2"/>
      <c r="R1000" s="2"/>
    </row>
    <row r="1001" spans="1:18" ht="15.75" customHeight="1" x14ac:dyDescent="0.3">
      <c r="A1001" s="11"/>
      <c r="B1001" s="11"/>
      <c r="D1001" s="21"/>
      <c r="E1001" s="22"/>
      <c r="G1001" s="23"/>
      <c r="H1001" s="24"/>
      <c r="Q1001" s="2"/>
      <c r="R1001" s="2"/>
    </row>
    <row r="1002" spans="1:18" ht="15.75" customHeight="1" x14ac:dyDescent="0.3">
      <c r="A1002" s="11"/>
      <c r="B1002" s="11"/>
      <c r="D1002" s="21"/>
      <c r="E1002" s="22"/>
      <c r="G1002" s="23"/>
      <c r="H1002" s="24"/>
      <c r="Q1002" s="2"/>
      <c r="R1002" s="2"/>
    </row>
    <row r="1003" spans="1:18" ht="15.75" customHeight="1" x14ac:dyDescent="0.3">
      <c r="A1003" s="11"/>
      <c r="B1003" s="11"/>
      <c r="D1003" s="21"/>
      <c r="E1003" s="22"/>
      <c r="G1003" s="23"/>
      <c r="H1003" s="24"/>
      <c r="Q1003" s="2"/>
      <c r="R1003" s="2"/>
    </row>
    <row r="1004" spans="1:18" ht="15.75" customHeight="1" x14ac:dyDescent="0.3">
      <c r="A1004" s="11"/>
      <c r="B1004" s="11"/>
      <c r="D1004" s="21"/>
      <c r="E1004" s="22"/>
      <c r="G1004" s="23"/>
      <c r="H1004" s="24"/>
      <c r="Q1004" s="2"/>
      <c r="R1004" s="2"/>
    </row>
    <row r="1005" spans="1:18" ht="15.75" customHeight="1" x14ac:dyDescent="0.3">
      <c r="A1005" s="11"/>
      <c r="B1005" s="11"/>
      <c r="D1005" s="21"/>
      <c r="E1005" s="22"/>
      <c r="G1005" s="23"/>
      <c r="H1005" s="24"/>
      <c r="Q1005" s="2"/>
      <c r="R1005" s="2"/>
    </row>
    <row r="1006" spans="1:18" ht="15.75" customHeight="1" x14ac:dyDescent="0.3">
      <c r="A1006" s="11"/>
      <c r="B1006" s="11"/>
      <c r="D1006" s="21"/>
      <c r="E1006" s="22"/>
      <c r="G1006" s="23"/>
      <c r="H1006" s="24"/>
      <c r="Q1006" s="2"/>
      <c r="R1006" s="2"/>
    </row>
    <row r="1007" spans="1:18" ht="15.75" customHeight="1" x14ac:dyDescent="0.3">
      <c r="A1007" s="11"/>
      <c r="B1007" s="11"/>
      <c r="D1007" s="21"/>
      <c r="E1007" s="22"/>
      <c r="G1007" s="23"/>
      <c r="H1007" s="24"/>
      <c r="Q1007" s="2"/>
      <c r="R1007" s="2"/>
    </row>
    <row r="1008" spans="1:18" ht="15.75" customHeight="1" x14ac:dyDescent="0.3">
      <c r="A1008" s="11"/>
      <c r="B1008" s="11"/>
      <c r="D1008" s="21"/>
      <c r="E1008" s="22"/>
      <c r="G1008" s="23"/>
      <c r="H1008" s="24"/>
      <c r="Q1008" s="2"/>
      <c r="R1008" s="2"/>
    </row>
    <row r="1009" spans="1:18" ht="15.75" customHeight="1" x14ac:dyDescent="0.3">
      <c r="A1009" s="11"/>
      <c r="B1009" s="11"/>
      <c r="D1009" s="21"/>
      <c r="E1009" s="22"/>
      <c r="G1009" s="23"/>
      <c r="H1009" s="24"/>
      <c r="Q1009" s="2"/>
      <c r="R1009" s="2"/>
    </row>
    <row r="1010" spans="1:18" ht="15.75" customHeight="1" x14ac:dyDescent="0.3">
      <c r="A1010" s="11"/>
      <c r="B1010" s="11"/>
      <c r="D1010" s="21"/>
      <c r="E1010" s="22"/>
      <c r="G1010" s="23"/>
      <c r="H1010" s="24"/>
      <c r="Q1010" s="2"/>
      <c r="R1010" s="2"/>
    </row>
    <row r="1011" spans="1:18" ht="15.75" customHeight="1" x14ac:dyDescent="0.3">
      <c r="A1011" s="11"/>
      <c r="B1011" s="11"/>
      <c r="D1011" s="21"/>
      <c r="E1011" s="22"/>
      <c r="G1011" s="23"/>
      <c r="H1011" s="24"/>
      <c r="Q1011" s="2"/>
      <c r="R1011" s="2"/>
    </row>
    <row r="1012" spans="1:18" ht="15.75" customHeight="1" x14ac:dyDescent="0.3">
      <c r="A1012" s="11"/>
      <c r="B1012" s="11"/>
      <c r="D1012" s="21"/>
      <c r="E1012" s="22"/>
      <c r="G1012" s="23"/>
      <c r="H1012" s="24"/>
      <c r="Q1012" s="2"/>
      <c r="R1012" s="2"/>
    </row>
    <row r="1013" spans="1:18" ht="15.75" customHeight="1" x14ac:dyDescent="0.3">
      <c r="A1013" s="11"/>
      <c r="B1013" s="11"/>
      <c r="D1013" s="21"/>
      <c r="E1013" s="22"/>
      <c r="G1013" s="23"/>
      <c r="H1013" s="24"/>
      <c r="Q1013" s="2"/>
      <c r="R1013" s="2"/>
    </row>
    <row r="1014" spans="1:18" ht="15.75" customHeight="1" x14ac:dyDescent="0.3">
      <c r="A1014" s="11"/>
      <c r="B1014" s="11"/>
      <c r="D1014" s="21"/>
      <c r="E1014" s="22"/>
      <c r="G1014" s="23"/>
      <c r="H1014" s="24"/>
      <c r="Q1014" s="2"/>
      <c r="R1014" s="2"/>
    </row>
    <row r="1015" spans="1:18" ht="15.75" customHeight="1" x14ac:dyDescent="0.3">
      <c r="A1015" s="11"/>
      <c r="B1015" s="11"/>
      <c r="D1015" s="21"/>
      <c r="E1015" s="22"/>
      <c r="G1015" s="23"/>
      <c r="H1015" s="24"/>
      <c r="Q1015" s="2"/>
      <c r="R1015" s="2"/>
    </row>
    <row r="1016" spans="1:18" ht="15.75" customHeight="1" x14ac:dyDescent="0.3">
      <c r="A1016" s="11"/>
      <c r="B1016" s="11"/>
      <c r="D1016" s="21"/>
      <c r="E1016" s="22"/>
      <c r="G1016" s="23"/>
      <c r="H1016" s="24"/>
      <c r="Q1016" s="2"/>
      <c r="R1016" s="2"/>
    </row>
    <row r="1017" spans="1:18" ht="15.75" customHeight="1" x14ac:dyDescent="0.3">
      <c r="A1017" s="11"/>
      <c r="B1017" s="11"/>
      <c r="D1017" s="21"/>
      <c r="E1017" s="22"/>
      <c r="G1017" s="23"/>
      <c r="H1017" s="24"/>
      <c r="Q1017" s="2"/>
      <c r="R1017" s="2"/>
    </row>
    <row r="1018" spans="1:18" ht="15.75" customHeight="1" x14ac:dyDescent="0.3">
      <c r="A1018" s="11"/>
      <c r="B1018" s="11"/>
      <c r="D1018" s="21"/>
      <c r="E1018" s="22"/>
      <c r="G1018" s="23"/>
      <c r="H1018" s="24"/>
      <c r="Q1018" s="2"/>
      <c r="R1018" s="2"/>
    </row>
    <row r="1019" spans="1:18" ht="15.75" customHeight="1" x14ac:dyDescent="0.3">
      <c r="A1019" s="11"/>
      <c r="B1019" s="11"/>
      <c r="D1019" s="21"/>
      <c r="E1019" s="22"/>
      <c r="G1019" s="23"/>
      <c r="H1019" s="24"/>
      <c r="Q1019" s="2"/>
      <c r="R1019" s="2"/>
    </row>
    <row r="1020" spans="1:18" ht="15.75" customHeight="1" x14ac:dyDescent="0.3">
      <c r="A1020" s="11"/>
      <c r="B1020" s="11"/>
      <c r="D1020" s="21"/>
      <c r="E1020" s="22"/>
      <c r="G1020" s="23"/>
      <c r="H1020" s="24"/>
      <c r="Q1020" s="2"/>
      <c r="R1020" s="2"/>
    </row>
    <row r="1021" spans="1:18" ht="15.75" customHeight="1" x14ac:dyDescent="0.3">
      <c r="A1021" s="11"/>
      <c r="B1021" s="11"/>
      <c r="D1021" s="21"/>
      <c r="E1021" s="22"/>
      <c r="G1021" s="23"/>
      <c r="H1021" s="24"/>
      <c r="Q1021" s="2"/>
      <c r="R1021" s="2"/>
    </row>
    <row r="1022" spans="1:18" ht="15.75" customHeight="1" x14ac:dyDescent="0.3">
      <c r="A1022" s="11"/>
      <c r="B1022" s="11"/>
      <c r="D1022" s="21"/>
      <c r="E1022" s="22"/>
      <c r="G1022" s="23"/>
      <c r="H1022" s="24"/>
      <c r="Q1022" s="2"/>
      <c r="R1022" s="2"/>
    </row>
    <row r="1023" spans="1:18" ht="15.75" customHeight="1" x14ac:dyDescent="0.3">
      <c r="A1023" s="11"/>
      <c r="B1023" s="11"/>
      <c r="D1023" s="21"/>
      <c r="E1023" s="22"/>
      <c r="G1023" s="23"/>
      <c r="H1023" s="24"/>
      <c r="Q1023" s="2"/>
      <c r="R1023" s="2"/>
    </row>
    <row r="1024" spans="1:18" ht="15.75" customHeight="1" x14ac:dyDescent="0.3">
      <c r="A1024" s="11"/>
      <c r="B1024" s="11"/>
      <c r="D1024" s="21"/>
      <c r="E1024" s="22"/>
      <c r="G1024" s="23"/>
      <c r="H1024" s="24"/>
      <c r="Q1024" s="2"/>
      <c r="R1024" s="2"/>
    </row>
    <row r="1025" spans="1:18" ht="15.75" customHeight="1" x14ac:dyDescent="0.3">
      <c r="A1025" s="11"/>
      <c r="B1025" s="11"/>
      <c r="D1025" s="21"/>
      <c r="E1025" s="22"/>
      <c r="G1025" s="23"/>
      <c r="H1025" s="24"/>
      <c r="Q1025" s="2"/>
      <c r="R1025" s="2"/>
    </row>
    <row r="1026" spans="1:18" ht="15.75" customHeight="1" x14ac:dyDescent="0.3">
      <c r="A1026" s="11"/>
      <c r="B1026" s="11"/>
      <c r="D1026" s="21"/>
      <c r="E1026" s="22"/>
      <c r="G1026" s="23"/>
      <c r="H1026" s="24"/>
      <c r="Q1026" s="2"/>
      <c r="R1026" s="2"/>
    </row>
    <row r="1027" spans="1:18" ht="15.75" customHeight="1" x14ac:dyDescent="0.3">
      <c r="A1027" s="11"/>
      <c r="B1027" s="11"/>
      <c r="D1027" s="21"/>
      <c r="E1027" s="22"/>
      <c r="G1027" s="23"/>
      <c r="H1027" s="24"/>
      <c r="Q1027" s="2"/>
      <c r="R1027" s="2"/>
    </row>
    <row r="1028" spans="1:18" ht="15.75" customHeight="1" x14ac:dyDescent="0.3">
      <c r="A1028" s="11"/>
      <c r="B1028" s="11"/>
      <c r="D1028" s="21"/>
      <c r="E1028" s="22"/>
      <c r="G1028" s="23"/>
      <c r="H1028" s="24"/>
      <c r="Q1028" s="2"/>
      <c r="R1028" s="2"/>
    </row>
    <row r="1029" spans="1:18" ht="15.75" customHeight="1" x14ac:dyDescent="0.3">
      <c r="A1029" s="11"/>
      <c r="B1029" s="11"/>
      <c r="D1029" s="21"/>
      <c r="E1029" s="22"/>
      <c r="G1029" s="23"/>
      <c r="H1029" s="24"/>
      <c r="Q1029" s="2"/>
      <c r="R1029" s="2"/>
    </row>
    <row r="1030" spans="1:18" ht="15.75" customHeight="1" x14ac:dyDescent="0.3">
      <c r="A1030" s="11"/>
      <c r="B1030" s="11"/>
      <c r="D1030" s="21"/>
      <c r="E1030" s="22"/>
      <c r="G1030" s="23"/>
      <c r="H1030" s="24"/>
      <c r="Q1030" s="2"/>
      <c r="R1030" s="2"/>
    </row>
    <row r="1031" spans="1:18" ht="15.75" customHeight="1" x14ac:dyDescent="0.3">
      <c r="A1031" s="11"/>
      <c r="B1031" s="11"/>
      <c r="D1031" s="21"/>
      <c r="E1031" s="22"/>
      <c r="G1031" s="23"/>
      <c r="H1031" s="24"/>
      <c r="Q1031" s="2"/>
      <c r="R1031" s="2"/>
    </row>
    <row r="1032" spans="1:18" ht="15.75" customHeight="1" x14ac:dyDescent="0.3">
      <c r="A1032" s="11"/>
      <c r="B1032" s="11"/>
      <c r="D1032" s="21"/>
      <c r="E1032" s="22"/>
      <c r="G1032" s="23"/>
      <c r="H1032" s="24"/>
      <c r="Q1032" s="2"/>
      <c r="R1032" s="2"/>
    </row>
    <row r="1033" spans="1:18" ht="15.75" customHeight="1" x14ac:dyDescent="0.3">
      <c r="A1033" s="11"/>
      <c r="B1033" s="11"/>
      <c r="D1033" s="21"/>
      <c r="E1033" s="22"/>
      <c r="G1033" s="23"/>
      <c r="H1033" s="24"/>
      <c r="Q1033" s="2"/>
      <c r="R1033" s="2"/>
    </row>
    <row r="1034" spans="1:18" ht="15.75" customHeight="1" x14ac:dyDescent="0.3">
      <c r="A1034" s="11"/>
      <c r="B1034" s="11"/>
      <c r="D1034" s="21"/>
      <c r="E1034" s="22"/>
      <c r="G1034" s="23"/>
      <c r="H1034" s="24"/>
      <c r="Q1034" s="2"/>
      <c r="R1034" s="2"/>
    </row>
    <row r="1035" spans="1:18" ht="15.75" customHeight="1" x14ac:dyDescent="0.3">
      <c r="A1035" s="11"/>
      <c r="B1035" s="11"/>
      <c r="D1035" s="21"/>
      <c r="E1035" s="22"/>
      <c r="G1035" s="23"/>
      <c r="H1035" s="24"/>
      <c r="Q1035" s="2"/>
      <c r="R1035" s="2"/>
    </row>
    <row r="1036" spans="1:18" ht="15.75" customHeight="1" x14ac:dyDescent="0.3">
      <c r="A1036" s="11"/>
      <c r="B1036" s="11"/>
      <c r="D1036" s="21"/>
      <c r="E1036" s="22"/>
      <c r="G1036" s="23"/>
      <c r="H1036" s="24"/>
      <c r="Q1036" s="2"/>
      <c r="R1036" s="2"/>
    </row>
    <row r="1037" spans="1:18" ht="15.75" customHeight="1" x14ac:dyDescent="0.3">
      <c r="A1037" s="11"/>
      <c r="B1037" s="11"/>
      <c r="D1037" s="21"/>
      <c r="E1037" s="22"/>
      <c r="G1037" s="23"/>
      <c r="H1037" s="24"/>
      <c r="Q1037" s="2"/>
      <c r="R1037" s="2"/>
    </row>
    <row r="1038" spans="1:18" ht="15.75" customHeight="1" x14ac:dyDescent="0.3">
      <c r="A1038" s="11"/>
      <c r="B1038" s="11"/>
      <c r="D1038" s="21"/>
      <c r="E1038" s="22"/>
      <c r="G1038" s="23"/>
      <c r="H1038" s="24"/>
      <c r="Q1038" s="2"/>
      <c r="R1038" s="2"/>
    </row>
    <row r="1039" spans="1:18" ht="15.75" customHeight="1" x14ac:dyDescent="0.3">
      <c r="A1039" s="11"/>
      <c r="B1039" s="11"/>
      <c r="D1039" s="21"/>
      <c r="E1039" s="22"/>
      <c r="G1039" s="23"/>
      <c r="H1039" s="24"/>
      <c r="Q1039" s="2"/>
      <c r="R1039" s="2"/>
    </row>
    <row r="1040" spans="1:18" ht="15.75" customHeight="1" x14ac:dyDescent="0.3">
      <c r="A1040" s="11"/>
      <c r="B1040" s="11"/>
      <c r="D1040" s="21"/>
      <c r="E1040" s="22"/>
      <c r="G1040" s="23"/>
      <c r="H1040" s="24"/>
      <c r="Q1040" s="2"/>
      <c r="R1040" s="2"/>
    </row>
    <row r="1041" spans="1:18" ht="15.75" customHeight="1" x14ac:dyDescent="0.3">
      <c r="A1041" s="11"/>
      <c r="B1041" s="11"/>
      <c r="D1041" s="21"/>
      <c r="E1041" s="22"/>
      <c r="G1041" s="23"/>
      <c r="H1041" s="24"/>
      <c r="Q1041" s="2"/>
      <c r="R1041" s="2"/>
    </row>
    <row r="1042" spans="1:18" ht="15.75" customHeight="1" x14ac:dyDescent="0.3">
      <c r="A1042" s="11"/>
      <c r="B1042" s="11"/>
      <c r="D1042" s="21"/>
      <c r="E1042" s="22"/>
      <c r="G1042" s="23"/>
      <c r="H1042" s="24"/>
      <c r="Q1042" s="2"/>
      <c r="R1042" s="2"/>
    </row>
    <row r="1043" spans="1:18" ht="15.75" customHeight="1" x14ac:dyDescent="0.3">
      <c r="A1043" s="11"/>
      <c r="B1043" s="11"/>
      <c r="D1043" s="21"/>
      <c r="E1043" s="22"/>
      <c r="G1043" s="23"/>
      <c r="H1043" s="24"/>
      <c r="Q1043" s="2"/>
      <c r="R1043" s="2"/>
    </row>
    <row r="1044" spans="1:18" ht="15.75" customHeight="1" x14ac:dyDescent="0.3">
      <c r="A1044" s="11"/>
      <c r="B1044" s="11"/>
      <c r="D1044" s="21"/>
      <c r="E1044" s="22"/>
      <c r="G1044" s="23"/>
      <c r="H1044" s="24"/>
      <c r="Q1044" s="2"/>
      <c r="R1044" s="2"/>
    </row>
    <row r="1045" spans="1:18" ht="15.75" customHeight="1" x14ac:dyDescent="0.3">
      <c r="A1045" s="11"/>
      <c r="B1045" s="11"/>
      <c r="D1045" s="21"/>
      <c r="E1045" s="22"/>
      <c r="G1045" s="23"/>
      <c r="H1045" s="24"/>
      <c r="Q1045" s="2"/>
      <c r="R1045" s="2"/>
    </row>
    <row r="1046" spans="1:18" ht="15.75" customHeight="1" x14ac:dyDescent="0.3">
      <c r="A1046" s="11"/>
      <c r="B1046" s="11"/>
      <c r="D1046" s="21"/>
      <c r="E1046" s="22"/>
      <c r="G1046" s="23"/>
      <c r="H1046" s="24"/>
      <c r="Q1046" s="2"/>
      <c r="R1046" s="2"/>
    </row>
    <row r="1047" spans="1:18" ht="15.75" customHeight="1" x14ac:dyDescent="0.3">
      <c r="A1047" s="11"/>
      <c r="B1047" s="11"/>
      <c r="D1047" s="21"/>
      <c r="E1047" s="22"/>
      <c r="G1047" s="23"/>
      <c r="H1047" s="24"/>
      <c r="Q1047" s="2"/>
      <c r="R1047" s="2"/>
    </row>
    <row r="1048" spans="1:18" ht="15.75" customHeight="1" x14ac:dyDescent="0.3">
      <c r="A1048" s="11"/>
      <c r="B1048" s="11"/>
      <c r="D1048" s="21"/>
      <c r="E1048" s="22"/>
      <c r="G1048" s="23"/>
      <c r="H1048" s="24"/>
      <c r="Q1048" s="2"/>
      <c r="R1048" s="2"/>
    </row>
    <row r="1049" spans="1:18" ht="15.75" customHeight="1" x14ac:dyDescent="0.3">
      <c r="A1049" s="11"/>
      <c r="B1049" s="11"/>
      <c r="D1049" s="21"/>
      <c r="E1049" s="22"/>
      <c r="G1049" s="23"/>
      <c r="H1049" s="24"/>
      <c r="Q1049" s="2"/>
      <c r="R1049" s="2"/>
    </row>
    <row r="1050" spans="1:18" ht="15.75" customHeight="1" x14ac:dyDescent="0.3">
      <c r="A1050" s="11"/>
      <c r="B1050" s="11"/>
      <c r="D1050" s="21"/>
      <c r="E1050" s="22"/>
      <c r="G1050" s="23"/>
      <c r="H1050" s="24"/>
      <c r="Q1050" s="2"/>
      <c r="R1050" s="2"/>
    </row>
    <row r="1051" spans="1:18" ht="15.75" customHeight="1" x14ac:dyDescent="0.3">
      <c r="A1051" s="11"/>
      <c r="B1051" s="11"/>
      <c r="D1051" s="21"/>
      <c r="E1051" s="22"/>
      <c r="G1051" s="23"/>
      <c r="H1051" s="24"/>
      <c r="Q1051" s="2"/>
      <c r="R1051" s="2"/>
    </row>
    <row r="1052" spans="1:18" ht="15.75" customHeight="1" x14ac:dyDescent="0.3">
      <c r="A1052" s="11"/>
      <c r="B1052" s="11"/>
      <c r="D1052" s="21"/>
      <c r="E1052" s="22"/>
      <c r="G1052" s="23"/>
      <c r="H1052" s="24"/>
      <c r="Q1052" s="2"/>
      <c r="R1052" s="2"/>
    </row>
    <row r="1053" spans="1:18" ht="15.75" customHeight="1" x14ac:dyDescent="0.3">
      <c r="A1053" s="11"/>
      <c r="B1053" s="11"/>
      <c r="D1053" s="21"/>
      <c r="E1053" s="22"/>
      <c r="G1053" s="23"/>
      <c r="H1053" s="24"/>
      <c r="Q1053" s="2"/>
      <c r="R1053" s="2"/>
    </row>
    <row r="1054" spans="1:18" ht="15.75" customHeight="1" x14ac:dyDescent="0.3">
      <c r="A1054" s="11"/>
      <c r="B1054" s="11"/>
      <c r="D1054" s="21"/>
      <c r="E1054" s="22"/>
      <c r="G1054" s="23"/>
      <c r="H1054" s="24"/>
      <c r="Q1054" s="2"/>
      <c r="R1054" s="2"/>
    </row>
    <row r="1055" spans="1:18" ht="15.75" customHeight="1" x14ac:dyDescent="0.3">
      <c r="A1055" s="11"/>
      <c r="B1055" s="11"/>
      <c r="D1055" s="21"/>
      <c r="E1055" s="22"/>
      <c r="G1055" s="23"/>
      <c r="H1055" s="24"/>
      <c r="Q1055" s="2"/>
      <c r="R1055" s="2"/>
    </row>
    <row r="1056" spans="1:18" ht="15.75" customHeight="1" x14ac:dyDescent="0.3">
      <c r="A1056" s="11"/>
      <c r="B1056" s="11"/>
      <c r="D1056" s="21"/>
      <c r="E1056" s="22"/>
      <c r="G1056" s="23"/>
      <c r="H1056" s="24"/>
      <c r="Q1056" s="2"/>
      <c r="R1056" s="2"/>
    </row>
    <row r="1057" spans="1:18" ht="15.75" customHeight="1" x14ac:dyDescent="0.3">
      <c r="A1057" s="11"/>
      <c r="B1057" s="11"/>
      <c r="D1057" s="21"/>
      <c r="E1057" s="22"/>
      <c r="G1057" s="23"/>
      <c r="H1057" s="24"/>
      <c r="Q1057" s="2"/>
      <c r="R1057" s="2"/>
    </row>
    <row r="1058" spans="1:18" ht="15.75" customHeight="1" x14ac:dyDescent="0.3">
      <c r="A1058" s="11"/>
      <c r="B1058" s="11"/>
      <c r="D1058" s="21"/>
      <c r="E1058" s="22"/>
      <c r="G1058" s="23"/>
      <c r="H1058" s="24"/>
      <c r="Q1058" s="2"/>
      <c r="R1058" s="2"/>
    </row>
    <row r="1059" spans="1:18" ht="15.75" customHeight="1" x14ac:dyDescent="0.3">
      <c r="A1059" s="11"/>
      <c r="B1059" s="11"/>
      <c r="D1059" s="21"/>
      <c r="E1059" s="22"/>
      <c r="G1059" s="23"/>
      <c r="H1059" s="24"/>
      <c r="Q1059" s="2"/>
      <c r="R1059" s="2"/>
    </row>
    <row r="1060" spans="1:18" ht="15.75" customHeight="1" x14ac:dyDescent="0.3">
      <c r="A1060" s="11"/>
      <c r="B1060" s="11"/>
      <c r="D1060" s="21"/>
      <c r="E1060" s="22"/>
      <c r="G1060" s="23"/>
      <c r="H1060" s="24"/>
      <c r="Q1060" s="2"/>
      <c r="R1060" s="2"/>
    </row>
    <row r="1061" spans="1:18" ht="15.75" customHeight="1" x14ac:dyDescent="0.3">
      <c r="A1061" s="11"/>
      <c r="B1061" s="11"/>
      <c r="D1061" s="21"/>
      <c r="E1061" s="22"/>
      <c r="G1061" s="23"/>
      <c r="H1061" s="24"/>
      <c r="Q1061" s="2"/>
      <c r="R1061" s="2"/>
    </row>
    <row r="1062" spans="1:18" ht="15.75" customHeight="1" x14ac:dyDescent="0.3">
      <c r="A1062" s="11"/>
      <c r="B1062" s="11"/>
      <c r="D1062" s="21"/>
      <c r="E1062" s="22"/>
      <c r="G1062" s="23"/>
      <c r="H1062" s="24"/>
      <c r="Q1062" s="2"/>
      <c r="R1062" s="2"/>
    </row>
    <row r="1063" spans="1:18" ht="15.75" customHeight="1" x14ac:dyDescent="0.3">
      <c r="A1063" s="11"/>
      <c r="B1063" s="11"/>
      <c r="D1063" s="21"/>
      <c r="E1063" s="22"/>
      <c r="G1063" s="23"/>
      <c r="H1063" s="24"/>
      <c r="Q1063" s="2"/>
      <c r="R1063" s="2"/>
    </row>
    <row r="1064" spans="1:18" ht="15.75" customHeight="1" x14ac:dyDescent="0.3">
      <c r="A1064" s="11"/>
      <c r="B1064" s="11"/>
      <c r="D1064" s="21"/>
      <c r="E1064" s="22"/>
      <c r="G1064" s="23"/>
      <c r="H1064" s="24"/>
      <c r="Q1064" s="2"/>
      <c r="R1064" s="2"/>
    </row>
    <row r="1065" spans="1:18" ht="15.75" customHeight="1" x14ac:dyDescent="0.3">
      <c r="A1065" s="11"/>
      <c r="B1065" s="11"/>
      <c r="D1065" s="21"/>
      <c r="E1065" s="22"/>
      <c r="G1065" s="23"/>
      <c r="H1065" s="24"/>
      <c r="Q1065" s="2"/>
      <c r="R1065" s="2"/>
    </row>
    <row r="1066" spans="1:18" ht="15.75" customHeight="1" x14ac:dyDescent="0.3">
      <c r="A1066" s="11"/>
      <c r="B1066" s="11"/>
      <c r="D1066" s="21"/>
      <c r="E1066" s="22"/>
      <c r="G1066" s="23"/>
      <c r="H1066" s="24"/>
      <c r="Q1066" s="2"/>
      <c r="R1066" s="2"/>
    </row>
    <row r="1067" spans="1:18" ht="15.75" customHeight="1" x14ac:dyDescent="0.3">
      <c r="A1067" s="11"/>
      <c r="B1067" s="11"/>
      <c r="D1067" s="21"/>
      <c r="E1067" s="22"/>
      <c r="G1067" s="23"/>
      <c r="H1067" s="24"/>
      <c r="Q1067" s="2"/>
      <c r="R1067" s="2"/>
    </row>
    <row r="1068" spans="1:18" ht="15.75" customHeight="1" x14ac:dyDescent="0.3">
      <c r="A1068" s="11"/>
      <c r="B1068" s="11"/>
      <c r="D1068" s="21"/>
      <c r="E1068" s="22"/>
      <c r="G1068" s="23"/>
      <c r="H1068" s="24"/>
      <c r="Q1068" s="2"/>
      <c r="R1068" s="2"/>
    </row>
    <row r="1069" spans="1:18" ht="15.75" customHeight="1" x14ac:dyDescent="0.3">
      <c r="A1069" s="11"/>
      <c r="B1069" s="11"/>
      <c r="D1069" s="21"/>
      <c r="E1069" s="22"/>
      <c r="G1069" s="23"/>
      <c r="H1069" s="24"/>
      <c r="Q1069" s="2"/>
      <c r="R1069" s="2"/>
    </row>
    <row r="1070" spans="1:18" ht="15.75" customHeight="1" x14ac:dyDescent="0.3">
      <c r="A1070" s="11"/>
      <c r="B1070" s="11"/>
      <c r="D1070" s="21"/>
      <c r="E1070" s="22"/>
      <c r="G1070" s="23"/>
      <c r="H1070" s="24"/>
      <c r="Q1070" s="2"/>
      <c r="R1070" s="2"/>
    </row>
    <row r="1071" spans="1:18" ht="15.75" customHeight="1" x14ac:dyDescent="0.3">
      <c r="A1071" s="11"/>
      <c r="B1071" s="11"/>
      <c r="D1071" s="21"/>
      <c r="E1071" s="22"/>
      <c r="G1071" s="23"/>
      <c r="H1071" s="24"/>
      <c r="Q1071" s="2"/>
      <c r="R1071" s="2"/>
    </row>
    <row r="1072" spans="1:18" ht="15.75" customHeight="1" x14ac:dyDescent="0.3">
      <c r="A1072" s="11"/>
      <c r="B1072" s="11"/>
      <c r="D1072" s="21"/>
      <c r="E1072" s="22"/>
      <c r="G1072" s="23"/>
      <c r="H1072" s="24"/>
      <c r="Q1072" s="2"/>
      <c r="R1072" s="2"/>
    </row>
    <row r="1073" spans="1:18" ht="15.75" customHeight="1" x14ac:dyDescent="0.3">
      <c r="A1073" s="11"/>
      <c r="B1073" s="11"/>
      <c r="D1073" s="21"/>
      <c r="E1073" s="22"/>
      <c r="G1073" s="23"/>
      <c r="H1073" s="24"/>
      <c r="Q1073" s="2"/>
      <c r="R1073" s="2"/>
    </row>
    <row r="1074" spans="1:18" ht="15.75" customHeight="1" x14ac:dyDescent="0.3">
      <c r="A1074" s="11"/>
      <c r="B1074" s="11"/>
      <c r="D1074" s="21"/>
      <c r="E1074" s="22"/>
      <c r="G1074" s="23"/>
      <c r="H1074" s="24"/>
      <c r="Q1074" s="2"/>
      <c r="R1074" s="2"/>
    </row>
    <row r="1075" spans="1:18" ht="15.75" customHeight="1" x14ac:dyDescent="0.3">
      <c r="A1075" s="11"/>
      <c r="B1075" s="11"/>
      <c r="D1075" s="21"/>
      <c r="E1075" s="22"/>
      <c r="G1075" s="23"/>
      <c r="H1075" s="24"/>
      <c r="Q1075" s="2"/>
      <c r="R1075" s="2"/>
    </row>
    <row r="1076" spans="1:18" ht="15.75" customHeight="1" x14ac:dyDescent="0.3">
      <c r="A1076" s="11"/>
      <c r="B1076" s="11"/>
      <c r="D1076" s="21"/>
      <c r="E1076" s="22"/>
      <c r="G1076" s="23"/>
      <c r="H1076" s="24"/>
      <c r="Q1076" s="2"/>
      <c r="R1076" s="2"/>
    </row>
    <row r="1077" spans="1:18" ht="15.75" customHeight="1" x14ac:dyDescent="0.3">
      <c r="A1077" s="11"/>
      <c r="B1077" s="11"/>
      <c r="D1077" s="21"/>
      <c r="E1077" s="22"/>
      <c r="G1077" s="23"/>
      <c r="H1077" s="24"/>
      <c r="Q1077" s="2"/>
      <c r="R1077" s="2"/>
    </row>
    <row r="1078" spans="1:18" ht="15.75" customHeight="1" x14ac:dyDescent="0.3">
      <c r="A1078" s="11"/>
      <c r="B1078" s="11"/>
      <c r="D1078" s="21"/>
      <c r="E1078" s="22"/>
      <c r="G1078" s="23"/>
      <c r="H1078" s="24"/>
      <c r="Q1078" s="2"/>
      <c r="R1078" s="2"/>
    </row>
    <row r="1079" spans="1:18" ht="15.75" customHeight="1" x14ac:dyDescent="0.3">
      <c r="A1079" s="11"/>
      <c r="B1079" s="11"/>
      <c r="D1079" s="21"/>
      <c r="E1079" s="22"/>
      <c r="G1079" s="23"/>
      <c r="H1079" s="24"/>
      <c r="Q1079" s="2"/>
      <c r="R1079" s="2"/>
    </row>
    <row r="1080" spans="1:18" ht="15.75" customHeight="1" x14ac:dyDescent="0.3">
      <c r="A1080" s="11"/>
      <c r="B1080" s="11"/>
      <c r="D1080" s="21"/>
      <c r="E1080" s="22"/>
      <c r="G1080" s="23"/>
      <c r="H1080" s="24"/>
      <c r="Q1080" s="2"/>
      <c r="R1080" s="2"/>
    </row>
    <row r="1081" spans="1:18" ht="15.75" customHeight="1" x14ac:dyDescent="0.3">
      <c r="A1081" s="11"/>
      <c r="B1081" s="11"/>
      <c r="D1081" s="21"/>
      <c r="E1081" s="22"/>
      <c r="G1081" s="23"/>
      <c r="H1081" s="24"/>
      <c r="Q1081" s="2"/>
      <c r="R1081" s="2"/>
    </row>
    <row r="1082" spans="1:18" ht="15.75" customHeight="1" x14ac:dyDescent="0.3">
      <c r="A1082" s="11"/>
      <c r="B1082" s="11"/>
      <c r="D1082" s="21"/>
      <c r="E1082" s="22"/>
      <c r="G1082" s="23"/>
      <c r="H1082" s="24"/>
      <c r="Q1082" s="2"/>
      <c r="R1082" s="2"/>
    </row>
    <row r="1083" spans="1:18" ht="15.75" customHeight="1" x14ac:dyDescent="0.3">
      <c r="A1083" s="11"/>
      <c r="B1083" s="11"/>
      <c r="D1083" s="21"/>
      <c r="E1083" s="22"/>
      <c r="G1083" s="23"/>
      <c r="H1083" s="24"/>
      <c r="Q1083" s="2"/>
      <c r="R1083" s="2"/>
    </row>
    <row r="1084" spans="1:18" ht="15.75" customHeight="1" x14ac:dyDescent="0.3">
      <c r="A1084" s="11"/>
      <c r="B1084" s="11"/>
      <c r="D1084" s="21"/>
      <c r="E1084" s="22"/>
      <c r="G1084" s="23"/>
      <c r="H1084" s="24"/>
      <c r="Q1084" s="2"/>
      <c r="R1084" s="2"/>
    </row>
    <row r="1085" spans="1:18" ht="15.75" customHeight="1" x14ac:dyDescent="0.3">
      <c r="A1085" s="11"/>
      <c r="B1085" s="11"/>
      <c r="D1085" s="21"/>
      <c r="E1085" s="22"/>
      <c r="G1085" s="23"/>
      <c r="H1085" s="24"/>
      <c r="Q1085" s="2"/>
      <c r="R1085" s="2"/>
    </row>
    <row r="1086" spans="1:18" ht="15.75" customHeight="1" x14ac:dyDescent="0.3">
      <c r="A1086" s="11"/>
      <c r="B1086" s="11"/>
      <c r="D1086" s="21"/>
      <c r="E1086" s="22"/>
      <c r="G1086" s="23"/>
      <c r="H1086" s="24"/>
      <c r="Q1086" s="2"/>
      <c r="R1086" s="2"/>
    </row>
    <row r="1087" spans="1:18" ht="15.75" customHeight="1" x14ac:dyDescent="0.3">
      <c r="A1087" s="11"/>
      <c r="B1087" s="11"/>
      <c r="D1087" s="21"/>
      <c r="E1087" s="22"/>
      <c r="G1087" s="23"/>
      <c r="H1087" s="24"/>
      <c r="Q1087" s="2"/>
      <c r="R1087" s="2"/>
    </row>
    <row r="1088" spans="1:18" ht="15.75" customHeight="1" x14ac:dyDescent="0.3">
      <c r="A1088" s="11"/>
      <c r="B1088" s="11"/>
      <c r="D1088" s="21"/>
      <c r="E1088" s="22"/>
      <c r="G1088" s="23"/>
      <c r="H1088" s="24"/>
      <c r="Q1088" s="2"/>
      <c r="R1088" s="2"/>
    </row>
    <row r="1089" spans="1:18" ht="15.75" customHeight="1" x14ac:dyDescent="0.3">
      <c r="A1089" s="11"/>
      <c r="B1089" s="11"/>
      <c r="D1089" s="21"/>
      <c r="E1089" s="22"/>
      <c r="G1089" s="23"/>
      <c r="H1089" s="24"/>
      <c r="Q1089" s="2"/>
      <c r="R1089" s="2"/>
    </row>
    <row r="1090" spans="1:18" ht="15.75" customHeight="1" x14ac:dyDescent="0.3">
      <c r="A1090" s="11"/>
      <c r="B1090" s="11"/>
      <c r="D1090" s="21"/>
      <c r="E1090" s="22"/>
      <c r="G1090" s="23"/>
      <c r="H1090" s="24"/>
      <c r="Q1090" s="2"/>
      <c r="R1090" s="2"/>
    </row>
    <row r="1091" spans="1:18" ht="15.75" customHeight="1" x14ac:dyDescent="0.3">
      <c r="A1091" s="11"/>
      <c r="B1091" s="11"/>
      <c r="D1091" s="21"/>
      <c r="E1091" s="22"/>
      <c r="G1091" s="23"/>
      <c r="H1091" s="24"/>
      <c r="Q1091" s="2"/>
      <c r="R1091" s="2"/>
    </row>
    <row r="1092" spans="1:18" ht="15.75" customHeight="1" x14ac:dyDescent="0.3">
      <c r="A1092" s="11"/>
      <c r="B1092" s="11"/>
      <c r="D1092" s="21"/>
      <c r="E1092" s="22"/>
      <c r="G1092" s="23"/>
      <c r="H1092" s="24"/>
      <c r="Q1092" s="2"/>
      <c r="R1092" s="2"/>
    </row>
    <row r="1093" spans="1:18" ht="15.75" customHeight="1" x14ac:dyDescent="0.3">
      <c r="A1093" s="11"/>
      <c r="B1093" s="11"/>
      <c r="D1093" s="21"/>
      <c r="E1093" s="22"/>
      <c r="G1093" s="23"/>
      <c r="H1093" s="24"/>
      <c r="Q1093" s="2"/>
      <c r="R1093" s="2"/>
    </row>
    <row r="1094" spans="1:18" ht="15.75" customHeight="1" x14ac:dyDescent="0.3">
      <c r="A1094" s="11"/>
      <c r="B1094" s="11"/>
      <c r="D1094" s="21"/>
      <c r="E1094" s="22"/>
      <c r="G1094" s="23"/>
      <c r="H1094" s="24"/>
      <c r="Q1094" s="2"/>
      <c r="R1094" s="2"/>
    </row>
    <row r="1095" spans="1:18" ht="15.75" customHeight="1" x14ac:dyDescent="0.3">
      <c r="A1095" s="11"/>
      <c r="B1095" s="11"/>
      <c r="D1095" s="21"/>
      <c r="E1095" s="22"/>
      <c r="G1095" s="23"/>
      <c r="H1095" s="24"/>
      <c r="Q1095" s="2"/>
      <c r="R1095" s="2"/>
    </row>
    <row r="1096" spans="1:18" ht="15.75" customHeight="1" x14ac:dyDescent="0.3">
      <c r="A1096" s="11"/>
      <c r="B1096" s="11"/>
      <c r="D1096" s="21"/>
      <c r="E1096" s="22"/>
      <c r="G1096" s="23"/>
      <c r="H1096" s="24"/>
      <c r="Q1096" s="2"/>
      <c r="R1096" s="2"/>
    </row>
    <row r="1097" spans="1:18" ht="15.75" customHeight="1" x14ac:dyDescent="0.3">
      <c r="A1097" s="11"/>
      <c r="B1097" s="11"/>
      <c r="D1097" s="21"/>
      <c r="E1097" s="22"/>
      <c r="G1097" s="23"/>
      <c r="H1097" s="24"/>
      <c r="Q1097" s="2"/>
      <c r="R1097" s="2"/>
    </row>
    <row r="1098" spans="1:18" ht="15.75" customHeight="1" x14ac:dyDescent="0.3">
      <c r="A1098" s="11"/>
      <c r="B1098" s="11"/>
      <c r="D1098" s="21"/>
      <c r="E1098" s="22"/>
      <c r="G1098" s="23"/>
      <c r="H1098" s="24"/>
      <c r="Q1098" s="2"/>
      <c r="R1098" s="2"/>
    </row>
    <row r="1099" spans="1:18" ht="15.75" customHeight="1" x14ac:dyDescent="0.3">
      <c r="A1099" s="11"/>
      <c r="B1099" s="11"/>
      <c r="D1099" s="21"/>
      <c r="E1099" s="22"/>
      <c r="G1099" s="23"/>
      <c r="H1099" s="24"/>
      <c r="Q1099" s="2"/>
      <c r="R1099" s="2"/>
    </row>
    <row r="1100" spans="1:18" ht="15.75" customHeight="1" x14ac:dyDescent="0.3">
      <c r="A1100" s="11"/>
      <c r="B1100" s="11"/>
      <c r="D1100" s="21"/>
      <c r="E1100" s="22"/>
      <c r="G1100" s="23"/>
      <c r="H1100" s="24"/>
      <c r="Q1100" s="2"/>
      <c r="R1100" s="2"/>
    </row>
    <row r="1101" spans="1:18" ht="15.75" customHeight="1" x14ac:dyDescent="0.3">
      <c r="A1101" s="11"/>
      <c r="B1101" s="11"/>
      <c r="D1101" s="21"/>
      <c r="E1101" s="22"/>
      <c r="G1101" s="23"/>
      <c r="H1101" s="24"/>
      <c r="Q1101" s="2"/>
      <c r="R1101" s="2"/>
    </row>
    <row r="1102" spans="1:18" ht="15.75" customHeight="1" x14ac:dyDescent="0.3">
      <c r="A1102" s="11"/>
      <c r="B1102" s="11"/>
      <c r="D1102" s="21"/>
      <c r="E1102" s="22"/>
      <c r="G1102" s="23"/>
      <c r="H1102" s="24"/>
      <c r="Q1102" s="2"/>
      <c r="R1102" s="2"/>
    </row>
    <row r="1103" spans="1:18" ht="15.75" customHeight="1" x14ac:dyDescent="0.3">
      <c r="A1103" s="11"/>
      <c r="B1103" s="11"/>
      <c r="D1103" s="21"/>
      <c r="E1103" s="22"/>
      <c r="G1103" s="23"/>
      <c r="H1103" s="24"/>
      <c r="Q1103" s="2"/>
      <c r="R1103" s="2"/>
    </row>
    <row r="1104" spans="1:18" ht="15.75" customHeight="1" x14ac:dyDescent="0.3">
      <c r="A1104" s="11"/>
      <c r="B1104" s="11"/>
      <c r="D1104" s="21"/>
      <c r="E1104" s="22"/>
      <c r="G1104" s="23"/>
      <c r="H1104" s="24"/>
      <c r="Q1104" s="2"/>
      <c r="R1104" s="2"/>
    </row>
    <row r="1105" spans="1:18" ht="15.75" customHeight="1" x14ac:dyDescent="0.3">
      <c r="A1105" s="11"/>
      <c r="B1105" s="11"/>
      <c r="D1105" s="21"/>
      <c r="E1105" s="22"/>
      <c r="G1105" s="23"/>
      <c r="H1105" s="24"/>
      <c r="Q1105" s="2"/>
      <c r="R1105" s="2"/>
    </row>
    <row r="1106" spans="1:18" ht="15.75" customHeight="1" x14ac:dyDescent="0.3">
      <c r="A1106" s="11"/>
      <c r="B1106" s="11"/>
      <c r="D1106" s="21"/>
      <c r="E1106" s="22"/>
      <c r="G1106" s="23"/>
      <c r="H1106" s="24"/>
      <c r="Q1106" s="2"/>
      <c r="R1106" s="2"/>
    </row>
    <row r="1107" spans="1:18" ht="15.75" customHeight="1" x14ac:dyDescent="0.3">
      <c r="A1107" s="11"/>
      <c r="B1107" s="11"/>
      <c r="D1107" s="21"/>
      <c r="E1107" s="22"/>
      <c r="G1107" s="23"/>
      <c r="H1107" s="24"/>
      <c r="Q1107" s="2"/>
      <c r="R1107" s="2"/>
    </row>
    <row r="1108" spans="1:18" ht="15.75" customHeight="1" x14ac:dyDescent="0.3">
      <c r="A1108" s="11"/>
      <c r="B1108" s="11"/>
      <c r="D1108" s="21"/>
      <c r="E1108" s="22"/>
      <c r="G1108" s="23"/>
      <c r="H1108" s="24"/>
      <c r="Q1108" s="2"/>
      <c r="R1108" s="2"/>
    </row>
    <row r="1109" spans="1:18" ht="15.75" customHeight="1" x14ac:dyDescent="0.3">
      <c r="A1109" s="11"/>
      <c r="B1109" s="11"/>
      <c r="D1109" s="21"/>
      <c r="E1109" s="22"/>
      <c r="G1109" s="23"/>
      <c r="H1109" s="24"/>
      <c r="Q1109" s="2"/>
      <c r="R1109" s="2"/>
    </row>
    <row r="1110" spans="1:18" ht="15.75" customHeight="1" x14ac:dyDescent="0.3">
      <c r="A1110" s="11"/>
      <c r="B1110" s="11"/>
      <c r="D1110" s="21"/>
      <c r="E1110" s="22"/>
      <c r="G1110" s="23"/>
      <c r="H1110" s="24"/>
      <c r="Q1110" s="2"/>
      <c r="R1110" s="2"/>
    </row>
    <row r="1111" spans="1:18" ht="15.75" customHeight="1" x14ac:dyDescent="0.3">
      <c r="A1111" s="11"/>
      <c r="B1111" s="11"/>
      <c r="D1111" s="21"/>
      <c r="E1111" s="22"/>
      <c r="G1111" s="23"/>
      <c r="H1111" s="24"/>
      <c r="Q1111" s="2"/>
      <c r="R1111" s="2"/>
    </row>
    <row r="1112" spans="1:18" ht="15.75" customHeight="1" x14ac:dyDescent="0.3">
      <c r="A1112" s="11"/>
      <c r="B1112" s="11"/>
      <c r="D1112" s="21"/>
      <c r="E1112" s="22"/>
      <c r="G1112" s="23"/>
      <c r="H1112" s="24"/>
      <c r="Q1112" s="2"/>
      <c r="R1112" s="2"/>
    </row>
    <row r="1113" spans="1:18" ht="15.75" customHeight="1" x14ac:dyDescent="0.3">
      <c r="A1113" s="11"/>
      <c r="B1113" s="11"/>
      <c r="D1113" s="21"/>
      <c r="E1113" s="22"/>
      <c r="G1113" s="23"/>
      <c r="H1113" s="24"/>
      <c r="Q1113" s="2"/>
      <c r="R1113" s="2"/>
    </row>
    <row r="1114" spans="1:18" ht="15.75" customHeight="1" x14ac:dyDescent="0.3">
      <c r="A1114" s="11"/>
      <c r="B1114" s="11"/>
      <c r="D1114" s="21"/>
      <c r="E1114" s="22"/>
      <c r="G1114" s="23"/>
      <c r="H1114" s="24"/>
      <c r="Q1114" s="2"/>
      <c r="R1114" s="2"/>
    </row>
    <row r="1115" spans="1:18" ht="15.75" customHeight="1" x14ac:dyDescent="0.3">
      <c r="A1115" s="11"/>
      <c r="B1115" s="11"/>
      <c r="D1115" s="21"/>
      <c r="E1115" s="22"/>
      <c r="G1115" s="23"/>
      <c r="H1115" s="24"/>
      <c r="Q1115" s="2"/>
      <c r="R1115" s="2"/>
    </row>
    <row r="1116" spans="1:18" ht="15.75" customHeight="1" x14ac:dyDescent="0.3">
      <c r="A1116" s="11"/>
      <c r="B1116" s="11"/>
      <c r="D1116" s="21"/>
      <c r="E1116" s="22"/>
      <c r="G1116" s="23"/>
      <c r="H1116" s="24"/>
      <c r="Q1116" s="2"/>
      <c r="R1116" s="2"/>
    </row>
    <row r="1117" spans="1:18" ht="15.75" customHeight="1" x14ac:dyDescent="0.3">
      <c r="A1117" s="11"/>
      <c r="B1117" s="11"/>
      <c r="D1117" s="21"/>
      <c r="E1117" s="22"/>
      <c r="G1117" s="23"/>
      <c r="H1117" s="24"/>
      <c r="Q1117" s="2"/>
      <c r="R1117" s="2"/>
    </row>
    <row r="1118" spans="1:18" ht="15.75" customHeight="1" x14ac:dyDescent="0.3">
      <c r="A1118" s="11"/>
      <c r="B1118" s="11"/>
      <c r="D1118" s="21"/>
      <c r="E1118" s="22"/>
      <c r="G1118" s="23"/>
      <c r="H1118" s="24"/>
      <c r="Q1118" s="2"/>
      <c r="R1118" s="2"/>
    </row>
    <row r="1119" spans="1:18" ht="15.75" customHeight="1" x14ac:dyDescent="0.3">
      <c r="A1119" s="11"/>
      <c r="B1119" s="11"/>
      <c r="D1119" s="21"/>
      <c r="E1119" s="22"/>
      <c r="G1119" s="23"/>
      <c r="H1119" s="24"/>
      <c r="Q1119" s="2"/>
      <c r="R1119" s="2"/>
    </row>
    <row r="1120" spans="1:18" ht="15.75" customHeight="1" x14ac:dyDescent="0.3">
      <c r="A1120" s="11"/>
      <c r="B1120" s="11"/>
      <c r="D1120" s="21"/>
      <c r="E1120" s="22"/>
      <c r="G1120" s="23"/>
      <c r="H1120" s="24"/>
      <c r="Q1120" s="2"/>
      <c r="R1120" s="2"/>
    </row>
    <row r="1121" spans="1:18" ht="15.75" customHeight="1" x14ac:dyDescent="0.3">
      <c r="A1121" s="11"/>
      <c r="B1121" s="11"/>
      <c r="D1121" s="21"/>
      <c r="E1121" s="22"/>
      <c r="G1121" s="23"/>
      <c r="H1121" s="24"/>
      <c r="Q1121" s="2"/>
      <c r="R1121" s="2"/>
    </row>
    <row r="1122" spans="1:18" ht="15.75" customHeight="1" x14ac:dyDescent="0.3">
      <c r="A1122" s="11"/>
      <c r="B1122" s="11"/>
      <c r="D1122" s="21"/>
      <c r="E1122" s="22"/>
      <c r="G1122" s="23"/>
      <c r="H1122" s="24"/>
      <c r="Q1122" s="2"/>
      <c r="R1122" s="2"/>
    </row>
    <row r="1123" spans="1:18" ht="15.75" customHeight="1" x14ac:dyDescent="0.3">
      <c r="A1123" s="11"/>
      <c r="B1123" s="11"/>
      <c r="D1123" s="21"/>
      <c r="E1123" s="22"/>
      <c r="G1123" s="23"/>
      <c r="H1123" s="24"/>
      <c r="Q1123" s="2"/>
      <c r="R1123" s="2"/>
    </row>
    <row r="1124" spans="1:18" ht="15.75" customHeight="1" x14ac:dyDescent="0.3">
      <c r="A1124" s="11"/>
      <c r="B1124" s="11"/>
      <c r="D1124" s="21"/>
      <c r="E1124" s="22"/>
      <c r="G1124" s="23"/>
      <c r="H1124" s="24"/>
      <c r="Q1124" s="2"/>
      <c r="R1124" s="2"/>
    </row>
    <row r="1125" spans="1:18" ht="15.75" customHeight="1" x14ac:dyDescent="0.3">
      <c r="A1125" s="11"/>
      <c r="B1125" s="11"/>
      <c r="D1125" s="21"/>
      <c r="E1125" s="22"/>
      <c r="G1125" s="23"/>
      <c r="H1125" s="24"/>
      <c r="Q1125" s="2"/>
      <c r="R1125" s="2"/>
    </row>
    <row r="1126" spans="1:18" ht="15.75" customHeight="1" x14ac:dyDescent="0.3">
      <c r="A1126" s="11"/>
      <c r="B1126" s="11"/>
      <c r="D1126" s="21"/>
      <c r="E1126" s="22"/>
      <c r="G1126" s="23"/>
      <c r="H1126" s="24"/>
      <c r="Q1126" s="2"/>
      <c r="R1126" s="2"/>
    </row>
    <row r="1127" spans="1:18" ht="15.75" customHeight="1" x14ac:dyDescent="0.3">
      <c r="A1127" s="11"/>
      <c r="B1127" s="11"/>
      <c r="D1127" s="21"/>
      <c r="E1127" s="22"/>
      <c r="G1127" s="23"/>
      <c r="H1127" s="24"/>
      <c r="Q1127" s="2"/>
      <c r="R1127" s="2"/>
    </row>
    <row r="1128" spans="1:18" ht="15.75" customHeight="1" x14ac:dyDescent="0.3">
      <c r="A1128" s="11"/>
      <c r="B1128" s="11"/>
      <c r="D1128" s="21"/>
      <c r="E1128" s="22"/>
      <c r="G1128" s="23"/>
      <c r="H1128" s="24"/>
      <c r="Q1128" s="2"/>
      <c r="R1128" s="2"/>
    </row>
    <row r="1129" spans="1:18" ht="15.75" customHeight="1" x14ac:dyDescent="0.3">
      <c r="A1129" s="11"/>
      <c r="B1129" s="11"/>
      <c r="D1129" s="21"/>
      <c r="E1129" s="22"/>
      <c r="G1129" s="23"/>
      <c r="H1129" s="24"/>
      <c r="Q1129" s="2"/>
      <c r="R1129" s="2"/>
    </row>
    <row r="1130" spans="1:18" ht="15.75" customHeight="1" x14ac:dyDescent="0.3">
      <c r="A1130" s="11"/>
      <c r="B1130" s="11"/>
      <c r="D1130" s="21"/>
      <c r="E1130" s="22"/>
      <c r="G1130" s="23"/>
      <c r="H1130" s="24"/>
      <c r="Q1130" s="2"/>
      <c r="R1130" s="2"/>
    </row>
    <row r="1131" spans="1:18" ht="15.75" customHeight="1" x14ac:dyDescent="0.3">
      <c r="A1131" s="11"/>
      <c r="B1131" s="11"/>
      <c r="D1131" s="21"/>
      <c r="E1131" s="22"/>
      <c r="G1131" s="23"/>
      <c r="H1131" s="24"/>
      <c r="Q1131" s="2"/>
      <c r="R1131" s="2"/>
    </row>
    <row r="1132" spans="1:18" ht="15.75" customHeight="1" x14ac:dyDescent="0.3">
      <c r="A1132" s="11"/>
      <c r="B1132" s="11"/>
      <c r="D1132" s="21"/>
      <c r="E1132" s="22"/>
      <c r="G1132" s="23"/>
      <c r="H1132" s="24"/>
      <c r="Q1132" s="2"/>
      <c r="R1132" s="2"/>
    </row>
    <row r="1133" spans="1:18" ht="15.75" customHeight="1" x14ac:dyDescent="0.3">
      <c r="A1133" s="11"/>
      <c r="B1133" s="11"/>
      <c r="D1133" s="21"/>
      <c r="E1133" s="22"/>
      <c r="G1133" s="23"/>
      <c r="H1133" s="24"/>
      <c r="Q1133" s="2"/>
      <c r="R1133" s="2"/>
    </row>
    <row r="1134" spans="1:18" ht="15.75" customHeight="1" x14ac:dyDescent="0.3">
      <c r="A1134" s="11"/>
      <c r="B1134" s="11"/>
      <c r="D1134" s="21"/>
      <c r="E1134" s="22"/>
      <c r="G1134" s="23"/>
      <c r="H1134" s="24"/>
      <c r="Q1134" s="2"/>
      <c r="R1134" s="2"/>
    </row>
    <row r="1135" spans="1:18" ht="15.75" customHeight="1" x14ac:dyDescent="0.3">
      <c r="A1135" s="11"/>
      <c r="B1135" s="11"/>
      <c r="D1135" s="21"/>
      <c r="E1135" s="22"/>
      <c r="G1135" s="23"/>
      <c r="H1135" s="24"/>
      <c r="Q1135" s="2"/>
      <c r="R1135" s="2"/>
    </row>
    <row r="1136" spans="1:18" ht="15.75" customHeight="1" x14ac:dyDescent="0.3">
      <c r="A1136" s="11"/>
      <c r="B1136" s="11"/>
      <c r="D1136" s="21"/>
      <c r="E1136" s="22"/>
      <c r="G1136" s="23"/>
      <c r="H1136" s="24"/>
      <c r="Q1136" s="2"/>
      <c r="R1136" s="2"/>
    </row>
    <row r="1137" spans="1:18" ht="15.75" customHeight="1" x14ac:dyDescent="0.3">
      <c r="A1137" s="11"/>
      <c r="B1137" s="11"/>
      <c r="D1137" s="21"/>
      <c r="E1137" s="22"/>
      <c r="G1137" s="23"/>
      <c r="H1137" s="24"/>
      <c r="Q1137" s="2"/>
      <c r="R1137" s="2"/>
    </row>
    <row r="1138" spans="1:18" ht="15.75" customHeight="1" x14ac:dyDescent="0.3">
      <c r="A1138" s="11"/>
      <c r="B1138" s="11"/>
      <c r="D1138" s="21"/>
      <c r="E1138" s="22"/>
      <c r="G1138" s="23"/>
      <c r="H1138" s="24"/>
      <c r="Q1138" s="2"/>
      <c r="R1138" s="2"/>
    </row>
    <row r="1139" spans="1:18" ht="15.75" customHeight="1" x14ac:dyDescent="0.3">
      <c r="A1139" s="11"/>
      <c r="B1139" s="11"/>
      <c r="D1139" s="21"/>
      <c r="E1139" s="22"/>
      <c r="G1139" s="23"/>
      <c r="H1139" s="24"/>
      <c r="Q1139" s="2"/>
      <c r="R1139" s="2"/>
    </row>
    <row r="1140" spans="1:18" ht="15.75" customHeight="1" x14ac:dyDescent="0.3">
      <c r="A1140" s="11"/>
      <c r="B1140" s="11"/>
      <c r="D1140" s="21"/>
      <c r="E1140" s="22"/>
      <c r="G1140" s="23"/>
      <c r="H1140" s="24"/>
      <c r="Q1140" s="2"/>
      <c r="R1140" s="2"/>
    </row>
    <row r="1141" spans="1:18" ht="15.75" customHeight="1" x14ac:dyDescent="0.3">
      <c r="A1141" s="11"/>
      <c r="B1141" s="11"/>
      <c r="D1141" s="21"/>
      <c r="E1141" s="22"/>
      <c r="G1141" s="23"/>
      <c r="H1141" s="24"/>
      <c r="Q1141" s="2"/>
      <c r="R1141" s="2"/>
    </row>
    <row r="1142" spans="1:18" ht="15.75" customHeight="1" x14ac:dyDescent="0.3">
      <c r="A1142" s="11"/>
      <c r="B1142" s="11"/>
      <c r="D1142" s="21"/>
      <c r="E1142" s="22"/>
      <c r="G1142" s="23"/>
      <c r="H1142" s="24"/>
      <c r="Q1142" s="2"/>
      <c r="R1142" s="2"/>
    </row>
    <row r="1143" spans="1:18" ht="15.75" customHeight="1" x14ac:dyDescent="0.3">
      <c r="A1143" s="11"/>
      <c r="B1143" s="11"/>
      <c r="D1143" s="21"/>
      <c r="E1143" s="22"/>
      <c r="G1143" s="23"/>
      <c r="H1143" s="24"/>
      <c r="Q1143" s="2"/>
      <c r="R1143" s="2"/>
    </row>
    <row r="1144" spans="1:18" ht="15.75" customHeight="1" x14ac:dyDescent="0.3">
      <c r="A1144" s="11"/>
      <c r="B1144" s="11"/>
      <c r="D1144" s="21"/>
      <c r="E1144" s="22"/>
      <c r="G1144" s="23"/>
      <c r="H1144" s="24"/>
      <c r="Q1144" s="2"/>
      <c r="R1144" s="2"/>
    </row>
    <row r="1145" spans="1:18" ht="15.75" customHeight="1" x14ac:dyDescent="0.3">
      <c r="A1145" s="11"/>
      <c r="B1145" s="11"/>
      <c r="D1145" s="21"/>
      <c r="E1145" s="22"/>
      <c r="G1145" s="23"/>
      <c r="H1145" s="24"/>
      <c r="Q1145" s="2"/>
      <c r="R1145" s="2"/>
    </row>
    <row r="1146" spans="1:18" ht="15.75" customHeight="1" x14ac:dyDescent="0.3">
      <c r="A1146" s="11"/>
      <c r="B1146" s="11"/>
      <c r="D1146" s="21"/>
      <c r="E1146" s="22"/>
      <c r="G1146" s="23"/>
      <c r="H1146" s="24"/>
      <c r="Q1146" s="2"/>
      <c r="R1146" s="2"/>
    </row>
    <row r="1147" spans="1:18" ht="15.75" customHeight="1" x14ac:dyDescent="0.3">
      <c r="A1147" s="11"/>
      <c r="B1147" s="11"/>
      <c r="D1147" s="21"/>
      <c r="E1147" s="22"/>
      <c r="G1147" s="23"/>
      <c r="H1147" s="24"/>
      <c r="Q1147" s="2"/>
      <c r="R1147" s="2"/>
    </row>
    <row r="1148" spans="1:18" ht="15.75" customHeight="1" x14ac:dyDescent="0.3">
      <c r="A1148" s="11"/>
      <c r="B1148" s="11"/>
      <c r="D1148" s="21"/>
      <c r="E1148" s="22"/>
      <c r="G1148" s="23"/>
      <c r="H1148" s="24"/>
      <c r="Q1148" s="2"/>
      <c r="R1148" s="2"/>
    </row>
    <row r="1149" spans="1:18" ht="15.75" customHeight="1" x14ac:dyDescent="0.3">
      <c r="A1149" s="11"/>
      <c r="B1149" s="11"/>
      <c r="D1149" s="21"/>
      <c r="E1149" s="22"/>
      <c r="G1149" s="23"/>
      <c r="H1149" s="24"/>
      <c r="Q1149" s="2"/>
      <c r="R1149" s="2"/>
    </row>
    <row r="1150" spans="1:18" ht="15.75" customHeight="1" x14ac:dyDescent="0.3">
      <c r="A1150" s="11"/>
      <c r="B1150" s="11"/>
      <c r="D1150" s="21"/>
      <c r="E1150" s="22"/>
      <c r="G1150" s="23"/>
      <c r="H1150" s="24"/>
      <c r="Q1150" s="2"/>
      <c r="R1150" s="2"/>
    </row>
    <row r="1151" spans="1:18" ht="15.75" customHeight="1" x14ac:dyDescent="0.3">
      <c r="A1151" s="11"/>
      <c r="B1151" s="11"/>
      <c r="D1151" s="21"/>
      <c r="E1151" s="22"/>
      <c r="G1151" s="23"/>
      <c r="H1151" s="24"/>
      <c r="Q1151" s="2"/>
      <c r="R1151" s="2"/>
    </row>
    <row r="1152" spans="1:18" ht="15.75" customHeight="1" x14ac:dyDescent="0.3">
      <c r="A1152" s="11"/>
      <c r="B1152" s="11"/>
      <c r="D1152" s="21"/>
      <c r="E1152" s="22"/>
      <c r="G1152" s="23"/>
      <c r="H1152" s="24"/>
      <c r="Q1152" s="2"/>
      <c r="R1152" s="2"/>
    </row>
    <row r="1153" spans="1:18" ht="15.75" customHeight="1" x14ac:dyDescent="0.3">
      <c r="A1153" s="11"/>
      <c r="B1153" s="11"/>
      <c r="D1153" s="21"/>
      <c r="E1153" s="22"/>
      <c r="G1153" s="23"/>
      <c r="H1153" s="24"/>
      <c r="Q1153" s="2"/>
      <c r="R1153" s="2"/>
    </row>
    <row r="1154" spans="1:18" ht="15.75" customHeight="1" x14ac:dyDescent="0.3">
      <c r="A1154" s="11"/>
      <c r="B1154" s="11"/>
      <c r="D1154" s="21"/>
      <c r="E1154" s="22"/>
      <c r="G1154" s="23"/>
      <c r="H1154" s="24"/>
      <c r="Q1154" s="2"/>
      <c r="R1154" s="2"/>
    </row>
    <row r="1155" spans="1:18" ht="15.75" customHeight="1" x14ac:dyDescent="0.3">
      <c r="A1155" s="11"/>
      <c r="B1155" s="11"/>
      <c r="D1155" s="21"/>
      <c r="E1155" s="22"/>
      <c r="G1155" s="23"/>
      <c r="H1155" s="24"/>
      <c r="Q1155" s="2"/>
      <c r="R1155" s="2"/>
    </row>
    <row r="1156" spans="1:18" ht="15.75" customHeight="1" x14ac:dyDescent="0.3">
      <c r="A1156" s="11"/>
      <c r="B1156" s="11"/>
      <c r="D1156" s="21"/>
      <c r="E1156" s="22"/>
      <c r="G1156" s="23"/>
      <c r="H1156" s="24"/>
      <c r="Q1156" s="2"/>
      <c r="R1156" s="2"/>
    </row>
    <row r="1157" spans="1:18" ht="15.75" customHeight="1" x14ac:dyDescent="0.3">
      <c r="A1157" s="11"/>
      <c r="B1157" s="11"/>
      <c r="D1157" s="21"/>
      <c r="E1157" s="22"/>
      <c r="G1157" s="23"/>
      <c r="H1157" s="24"/>
      <c r="Q1157" s="2"/>
      <c r="R1157" s="2"/>
    </row>
    <row r="1158" spans="1:18" ht="15.75" customHeight="1" x14ac:dyDescent="0.3">
      <c r="A1158" s="11"/>
      <c r="B1158" s="11"/>
      <c r="D1158" s="21"/>
      <c r="E1158" s="22"/>
      <c r="G1158" s="23"/>
      <c r="H1158" s="24"/>
      <c r="Q1158" s="2"/>
      <c r="R1158" s="2"/>
    </row>
    <row r="1159" spans="1:18" ht="15.75" customHeight="1" x14ac:dyDescent="0.3">
      <c r="A1159" s="11"/>
      <c r="B1159" s="11"/>
      <c r="D1159" s="21"/>
      <c r="E1159" s="22"/>
      <c r="G1159" s="23"/>
      <c r="H1159" s="24"/>
      <c r="Q1159" s="2"/>
      <c r="R1159" s="2"/>
    </row>
    <row r="1160" spans="1:18" ht="15.75" customHeight="1" x14ac:dyDescent="0.3">
      <c r="A1160" s="11"/>
      <c r="B1160" s="11"/>
      <c r="D1160" s="21"/>
      <c r="E1160" s="22"/>
      <c r="G1160" s="23"/>
      <c r="H1160" s="24"/>
      <c r="Q1160" s="2"/>
      <c r="R1160" s="2"/>
    </row>
    <row r="1161" spans="1:18" ht="15.75" customHeight="1" x14ac:dyDescent="0.3">
      <c r="A1161" s="11"/>
      <c r="B1161" s="11"/>
      <c r="D1161" s="21"/>
      <c r="E1161" s="22"/>
      <c r="G1161" s="23"/>
      <c r="H1161" s="24"/>
      <c r="Q1161" s="2"/>
      <c r="R1161" s="2"/>
    </row>
    <row r="1162" spans="1:18" ht="15.75" customHeight="1" x14ac:dyDescent="0.3">
      <c r="A1162" s="11"/>
      <c r="B1162" s="11"/>
      <c r="D1162" s="21"/>
      <c r="E1162" s="22"/>
      <c r="G1162" s="23"/>
      <c r="H1162" s="24"/>
      <c r="Q1162" s="2"/>
      <c r="R1162" s="2"/>
    </row>
    <row r="1163" spans="1:18" ht="15.75" customHeight="1" x14ac:dyDescent="0.3">
      <c r="A1163" s="11"/>
      <c r="B1163" s="11"/>
      <c r="D1163" s="21"/>
      <c r="E1163" s="22"/>
      <c r="G1163" s="23"/>
      <c r="H1163" s="24"/>
      <c r="Q1163" s="2"/>
      <c r="R1163" s="2"/>
    </row>
    <row r="1164" spans="1:18" ht="15.75" customHeight="1" x14ac:dyDescent="0.3">
      <c r="A1164" s="11"/>
      <c r="B1164" s="11"/>
      <c r="D1164" s="21"/>
      <c r="E1164" s="22"/>
      <c r="G1164" s="23"/>
      <c r="H1164" s="24"/>
      <c r="Q1164" s="2"/>
      <c r="R1164" s="2"/>
    </row>
    <row r="1165" spans="1:18" ht="15.75" customHeight="1" x14ac:dyDescent="0.3">
      <c r="A1165" s="11"/>
      <c r="B1165" s="11"/>
      <c r="D1165" s="21"/>
      <c r="E1165" s="22"/>
      <c r="G1165" s="23"/>
      <c r="H1165" s="24"/>
      <c r="Q1165" s="2"/>
      <c r="R1165" s="2"/>
    </row>
    <row r="1166" spans="1:18" ht="15.75" customHeight="1" x14ac:dyDescent="0.3">
      <c r="A1166" s="11"/>
      <c r="B1166" s="11"/>
      <c r="D1166" s="21"/>
      <c r="E1166" s="22"/>
      <c r="G1166" s="23"/>
      <c r="H1166" s="24"/>
      <c r="Q1166" s="2"/>
      <c r="R1166" s="2"/>
    </row>
    <row r="1167" spans="1:18" ht="15.75" customHeight="1" x14ac:dyDescent="0.3">
      <c r="A1167" s="11"/>
      <c r="B1167" s="11"/>
      <c r="D1167" s="21"/>
      <c r="E1167" s="22"/>
      <c r="G1167" s="23"/>
      <c r="H1167" s="24"/>
      <c r="Q1167" s="2"/>
      <c r="R1167" s="2"/>
    </row>
    <row r="1168" spans="1:18" ht="15.75" customHeight="1" x14ac:dyDescent="0.3">
      <c r="A1168" s="11"/>
      <c r="B1168" s="11"/>
      <c r="D1168" s="21"/>
      <c r="E1168" s="22"/>
      <c r="G1168" s="23"/>
      <c r="H1168" s="24"/>
      <c r="Q1168" s="2"/>
      <c r="R1168" s="2"/>
    </row>
    <row r="1169" spans="1:18" ht="15.75" customHeight="1" x14ac:dyDescent="0.3">
      <c r="A1169" s="11"/>
      <c r="B1169" s="11"/>
      <c r="D1169" s="21"/>
      <c r="E1169" s="22"/>
      <c r="G1169" s="23"/>
      <c r="H1169" s="24"/>
      <c r="Q1169" s="2"/>
      <c r="R1169" s="2"/>
    </row>
    <row r="1170" spans="1:18" ht="15.75" customHeight="1" x14ac:dyDescent="0.3">
      <c r="A1170" s="11"/>
      <c r="B1170" s="11"/>
      <c r="D1170" s="21"/>
      <c r="E1170" s="22"/>
      <c r="G1170" s="23"/>
      <c r="H1170" s="24"/>
      <c r="Q1170" s="2"/>
      <c r="R1170" s="2"/>
    </row>
    <row r="1171" spans="1:18" ht="15.75" customHeight="1" x14ac:dyDescent="0.3">
      <c r="A1171" s="11"/>
      <c r="B1171" s="11"/>
      <c r="D1171" s="21"/>
      <c r="E1171" s="22"/>
      <c r="G1171" s="23"/>
      <c r="H1171" s="24"/>
      <c r="Q1171" s="2"/>
      <c r="R1171" s="2"/>
    </row>
    <row r="1172" spans="1:18" ht="15.75" customHeight="1" x14ac:dyDescent="0.3">
      <c r="A1172" s="11"/>
      <c r="B1172" s="11"/>
      <c r="D1172" s="21"/>
      <c r="E1172" s="22"/>
      <c r="G1172" s="23"/>
      <c r="H1172" s="24"/>
      <c r="Q1172" s="2"/>
      <c r="R1172" s="2"/>
    </row>
    <row r="1173" spans="1:18" ht="15.75" customHeight="1" x14ac:dyDescent="0.3">
      <c r="A1173" s="11"/>
      <c r="B1173" s="11"/>
      <c r="D1173" s="21"/>
      <c r="E1173" s="22"/>
      <c r="G1173" s="23"/>
      <c r="H1173" s="24"/>
      <c r="Q1173" s="2"/>
      <c r="R1173" s="2"/>
    </row>
    <row r="1174" spans="1:18" ht="15.75" customHeight="1" x14ac:dyDescent="0.3">
      <c r="A1174" s="11"/>
      <c r="B1174" s="11"/>
      <c r="D1174" s="21"/>
      <c r="E1174" s="22"/>
      <c r="G1174" s="23"/>
      <c r="H1174" s="24"/>
      <c r="Q1174" s="2"/>
      <c r="R1174" s="2"/>
    </row>
    <row r="1175" spans="1:18" ht="15.75" customHeight="1" x14ac:dyDescent="0.3">
      <c r="A1175" s="11"/>
      <c r="B1175" s="11"/>
      <c r="D1175" s="21"/>
      <c r="E1175" s="22"/>
      <c r="G1175" s="23"/>
      <c r="H1175" s="24"/>
      <c r="Q1175" s="2"/>
      <c r="R1175" s="2"/>
    </row>
    <row r="1176" spans="1:18" ht="15.75" customHeight="1" x14ac:dyDescent="0.3">
      <c r="A1176" s="11"/>
      <c r="B1176" s="11"/>
      <c r="D1176" s="21"/>
      <c r="E1176" s="22"/>
      <c r="G1176" s="23"/>
      <c r="H1176" s="24"/>
      <c r="Q1176" s="2"/>
      <c r="R1176" s="2"/>
    </row>
    <row r="1177" spans="1:18" ht="15.75" customHeight="1" x14ac:dyDescent="0.3">
      <c r="A1177" s="11"/>
      <c r="B1177" s="11"/>
      <c r="D1177" s="21"/>
      <c r="E1177" s="22"/>
      <c r="G1177" s="23"/>
      <c r="H1177" s="24"/>
      <c r="Q1177" s="2"/>
      <c r="R1177" s="2"/>
    </row>
    <row r="1178" spans="1:18" ht="15.75" customHeight="1" x14ac:dyDescent="0.3">
      <c r="A1178" s="11"/>
      <c r="B1178" s="11"/>
      <c r="D1178" s="21"/>
      <c r="E1178" s="22"/>
      <c r="G1178" s="23"/>
      <c r="H1178" s="24"/>
      <c r="Q1178" s="2"/>
      <c r="R1178" s="2"/>
    </row>
    <row r="1179" spans="1:18" ht="15.75" customHeight="1" x14ac:dyDescent="0.3">
      <c r="A1179" s="11"/>
      <c r="B1179" s="11"/>
      <c r="D1179" s="21"/>
      <c r="E1179" s="22"/>
      <c r="G1179" s="23"/>
      <c r="H1179" s="24"/>
      <c r="Q1179" s="2"/>
      <c r="R1179" s="2"/>
    </row>
    <row r="1180" spans="1:18" ht="15.75" customHeight="1" x14ac:dyDescent="0.3">
      <c r="A1180" s="11"/>
      <c r="B1180" s="11"/>
      <c r="D1180" s="21"/>
      <c r="E1180" s="22"/>
      <c r="G1180" s="23"/>
      <c r="H1180" s="24"/>
      <c r="Q1180" s="2"/>
      <c r="R1180" s="2"/>
    </row>
    <row r="1181" spans="1:18" ht="15.75" customHeight="1" x14ac:dyDescent="0.3">
      <c r="A1181" s="11"/>
      <c r="B1181" s="11"/>
      <c r="D1181" s="21"/>
      <c r="E1181" s="22"/>
      <c r="G1181" s="23"/>
      <c r="H1181" s="24"/>
      <c r="Q1181" s="2"/>
      <c r="R1181" s="2"/>
    </row>
    <row r="1182" spans="1:18" ht="15.75" customHeight="1" x14ac:dyDescent="0.3">
      <c r="A1182" s="11"/>
      <c r="B1182" s="11"/>
      <c r="D1182" s="21"/>
      <c r="E1182" s="22"/>
      <c r="G1182" s="23"/>
      <c r="H1182" s="24"/>
      <c r="Q1182" s="2"/>
      <c r="R1182" s="2"/>
    </row>
    <row r="1183" spans="1:18" ht="15.75" customHeight="1" x14ac:dyDescent="0.3">
      <c r="A1183" s="11"/>
      <c r="B1183" s="11"/>
      <c r="D1183" s="21"/>
      <c r="E1183" s="22"/>
      <c r="G1183" s="23"/>
      <c r="H1183" s="24"/>
      <c r="Q1183" s="2"/>
      <c r="R1183" s="2"/>
    </row>
    <row r="1184" spans="1:18" ht="15.75" customHeight="1" x14ac:dyDescent="0.3">
      <c r="A1184" s="11"/>
      <c r="B1184" s="11"/>
      <c r="D1184" s="21"/>
      <c r="E1184" s="22"/>
      <c r="G1184" s="23"/>
      <c r="H1184" s="24"/>
      <c r="Q1184" s="2"/>
      <c r="R1184" s="2"/>
    </row>
    <row r="1185" spans="1:18" ht="15.75" customHeight="1" x14ac:dyDescent="0.3">
      <c r="A1185" s="11"/>
      <c r="B1185" s="11"/>
      <c r="D1185" s="21"/>
      <c r="E1185" s="22"/>
      <c r="G1185" s="23"/>
      <c r="H1185" s="24"/>
      <c r="Q1185" s="2"/>
      <c r="R1185" s="2"/>
    </row>
    <row r="1186" spans="1:18" ht="15.75" customHeight="1" x14ac:dyDescent="0.3">
      <c r="A1186" s="11"/>
      <c r="B1186" s="11"/>
      <c r="D1186" s="21"/>
      <c r="E1186" s="22"/>
      <c r="G1186" s="23"/>
      <c r="H1186" s="24"/>
      <c r="Q1186" s="2"/>
      <c r="R1186" s="2"/>
    </row>
    <row r="1187" spans="1:18" ht="15.75" customHeight="1" x14ac:dyDescent="0.3">
      <c r="A1187" s="11"/>
      <c r="B1187" s="11"/>
      <c r="D1187" s="21"/>
      <c r="E1187" s="22"/>
      <c r="G1187" s="23"/>
      <c r="H1187" s="24"/>
      <c r="Q1187" s="2"/>
      <c r="R1187" s="2"/>
    </row>
    <row r="1188" spans="1:18" ht="15.75" customHeight="1" x14ac:dyDescent="0.3">
      <c r="A1188" s="11"/>
      <c r="B1188" s="11"/>
      <c r="D1188" s="21"/>
      <c r="E1188" s="22"/>
      <c r="G1188" s="23"/>
      <c r="H1188" s="24"/>
      <c r="Q1188" s="2"/>
      <c r="R1188" s="2"/>
    </row>
    <row r="1189" spans="1:18" ht="15.75" customHeight="1" x14ac:dyDescent="0.3">
      <c r="A1189" s="11"/>
      <c r="B1189" s="11"/>
      <c r="D1189" s="21"/>
      <c r="E1189" s="22"/>
      <c r="G1189" s="23"/>
      <c r="H1189" s="24"/>
      <c r="Q1189" s="2"/>
      <c r="R1189" s="2"/>
    </row>
    <row r="1190" spans="1:18" ht="15.75" customHeight="1" x14ac:dyDescent="0.3">
      <c r="A1190" s="11"/>
      <c r="B1190" s="11"/>
      <c r="D1190" s="21"/>
      <c r="E1190" s="22"/>
      <c r="G1190" s="23"/>
      <c r="H1190" s="24"/>
      <c r="Q1190" s="2"/>
      <c r="R1190" s="2"/>
    </row>
    <row r="1191" spans="1:18" ht="15.75" customHeight="1" x14ac:dyDescent="0.3">
      <c r="A1191" s="11"/>
      <c r="B1191" s="11"/>
      <c r="D1191" s="21"/>
      <c r="E1191" s="22"/>
      <c r="G1191" s="23"/>
      <c r="H1191" s="24"/>
      <c r="Q1191" s="2"/>
      <c r="R1191" s="2"/>
    </row>
    <row r="1192" spans="1:18" ht="15.75" customHeight="1" x14ac:dyDescent="0.3">
      <c r="A1192" s="11"/>
      <c r="B1192" s="11"/>
      <c r="D1192" s="21"/>
      <c r="E1192" s="22"/>
      <c r="G1192" s="23"/>
      <c r="H1192" s="24"/>
      <c r="Q1192" s="2"/>
      <c r="R1192" s="2"/>
    </row>
    <row r="1193" spans="1:18" ht="15.75" customHeight="1" x14ac:dyDescent="0.3">
      <c r="A1193" s="11"/>
      <c r="B1193" s="11"/>
      <c r="D1193" s="21"/>
      <c r="E1193" s="22"/>
      <c r="G1193" s="23"/>
      <c r="H1193" s="24"/>
      <c r="Q1193" s="2"/>
      <c r="R1193" s="2"/>
    </row>
    <row r="1194" spans="1:18" ht="15.75" customHeight="1" x14ac:dyDescent="0.3">
      <c r="A1194" s="11"/>
      <c r="B1194" s="11"/>
      <c r="D1194" s="21"/>
      <c r="E1194" s="22"/>
      <c r="G1194" s="23"/>
      <c r="H1194" s="24"/>
      <c r="Q1194" s="2"/>
      <c r="R1194" s="2"/>
    </row>
    <row r="1195" spans="1:18" ht="15.75" customHeight="1" x14ac:dyDescent="0.3">
      <c r="A1195" s="11"/>
      <c r="B1195" s="11"/>
      <c r="D1195" s="21"/>
      <c r="E1195" s="22"/>
      <c r="G1195" s="23"/>
      <c r="H1195" s="24"/>
      <c r="Q1195" s="2"/>
      <c r="R1195" s="2"/>
    </row>
    <row r="1196" spans="1:18" ht="15.75" customHeight="1" x14ac:dyDescent="0.3">
      <c r="A1196" s="11"/>
      <c r="B1196" s="11"/>
      <c r="D1196" s="21"/>
      <c r="E1196" s="22"/>
      <c r="G1196" s="23"/>
      <c r="H1196" s="24"/>
      <c r="Q1196" s="2"/>
      <c r="R1196" s="2"/>
    </row>
    <row r="1197" spans="1:18" ht="15.75" customHeight="1" x14ac:dyDescent="0.3">
      <c r="A1197" s="11"/>
      <c r="B1197" s="11"/>
      <c r="D1197" s="21"/>
      <c r="E1197" s="22"/>
      <c r="G1197" s="23"/>
      <c r="H1197" s="24"/>
      <c r="Q1197" s="2"/>
      <c r="R1197" s="2"/>
    </row>
    <row r="1198" spans="1:18" ht="15.75" customHeight="1" x14ac:dyDescent="0.3">
      <c r="A1198" s="11"/>
      <c r="B1198" s="11"/>
      <c r="D1198" s="21"/>
      <c r="E1198" s="22"/>
      <c r="G1198" s="23"/>
      <c r="H1198" s="24"/>
      <c r="Q1198" s="2"/>
      <c r="R1198" s="2"/>
    </row>
    <row r="1199" spans="1:18" ht="15.75" customHeight="1" x14ac:dyDescent="0.3">
      <c r="A1199" s="11"/>
      <c r="B1199" s="11"/>
      <c r="D1199" s="21"/>
      <c r="E1199" s="22"/>
      <c r="G1199" s="23"/>
      <c r="H1199" s="24"/>
      <c r="Q1199" s="2"/>
      <c r="R1199" s="2"/>
    </row>
    <row r="1200" spans="1:18" ht="15.75" customHeight="1" x14ac:dyDescent="0.3">
      <c r="A1200" s="11"/>
      <c r="B1200" s="11"/>
      <c r="D1200" s="21"/>
      <c r="E1200" s="22"/>
      <c r="G1200" s="23"/>
      <c r="H1200" s="24"/>
      <c r="Q1200" s="2"/>
      <c r="R1200" s="2"/>
    </row>
    <row r="1201" spans="1:18" ht="15.75" customHeight="1" x14ac:dyDescent="0.3">
      <c r="A1201" s="11"/>
      <c r="B1201" s="11"/>
      <c r="D1201" s="21"/>
      <c r="E1201" s="22"/>
      <c r="G1201" s="23"/>
      <c r="H1201" s="24"/>
      <c r="Q1201" s="2"/>
      <c r="R1201" s="2"/>
    </row>
    <row r="1202" spans="1:18" ht="15.75" customHeight="1" x14ac:dyDescent="0.3">
      <c r="A1202" s="11"/>
      <c r="B1202" s="11"/>
      <c r="D1202" s="21"/>
      <c r="E1202" s="22"/>
      <c r="G1202" s="23"/>
      <c r="H1202" s="24"/>
      <c r="Q1202" s="2"/>
      <c r="R1202" s="2"/>
    </row>
    <row r="1203" spans="1:18" ht="15.75" customHeight="1" x14ac:dyDescent="0.3">
      <c r="A1203" s="11"/>
      <c r="B1203" s="11"/>
      <c r="D1203" s="21"/>
      <c r="E1203" s="22"/>
      <c r="G1203" s="23"/>
      <c r="H1203" s="24"/>
      <c r="Q1203" s="2"/>
      <c r="R1203" s="2"/>
    </row>
    <row r="1204" spans="1:18" ht="15.75" customHeight="1" x14ac:dyDescent="0.3">
      <c r="A1204" s="11"/>
      <c r="B1204" s="11"/>
      <c r="D1204" s="21"/>
      <c r="E1204" s="22"/>
      <c r="G1204" s="23"/>
      <c r="H1204" s="24"/>
      <c r="Q1204" s="2"/>
      <c r="R1204" s="2"/>
    </row>
    <row r="1205" spans="1:18" ht="15.75" customHeight="1" x14ac:dyDescent="0.3">
      <c r="A1205" s="11"/>
      <c r="B1205" s="11"/>
      <c r="D1205" s="21"/>
      <c r="E1205" s="22"/>
      <c r="G1205" s="23"/>
      <c r="H1205" s="24"/>
      <c r="Q1205" s="2"/>
      <c r="R1205" s="2"/>
    </row>
    <row r="1206" spans="1:18" ht="15.75" customHeight="1" x14ac:dyDescent="0.3">
      <c r="A1206" s="11"/>
      <c r="B1206" s="11"/>
      <c r="D1206" s="21"/>
      <c r="E1206" s="22"/>
      <c r="G1206" s="23"/>
      <c r="H1206" s="24"/>
      <c r="Q1206" s="2"/>
      <c r="R1206" s="2"/>
    </row>
    <row r="1207" spans="1:18" ht="15.75" customHeight="1" x14ac:dyDescent="0.3">
      <c r="A1207" s="11"/>
      <c r="B1207" s="11"/>
      <c r="D1207" s="21"/>
      <c r="E1207" s="22"/>
      <c r="G1207" s="23"/>
      <c r="H1207" s="24"/>
      <c r="Q1207" s="2"/>
      <c r="R1207" s="2"/>
    </row>
    <row r="1208" spans="1:18" ht="15.75" customHeight="1" x14ac:dyDescent="0.3">
      <c r="A1208" s="11"/>
      <c r="B1208" s="11"/>
      <c r="D1208" s="21"/>
      <c r="E1208" s="22"/>
      <c r="G1208" s="23"/>
      <c r="H1208" s="24"/>
      <c r="Q1208" s="2"/>
      <c r="R1208" s="2"/>
    </row>
    <row r="1209" spans="1:18" ht="15.75" customHeight="1" x14ac:dyDescent="0.3">
      <c r="A1209" s="11"/>
      <c r="B1209" s="11"/>
      <c r="D1209" s="21"/>
      <c r="E1209" s="22"/>
      <c r="G1209" s="23"/>
      <c r="H1209" s="24"/>
      <c r="Q1209" s="2"/>
      <c r="R1209" s="2"/>
    </row>
    <row r="1210" spans="1:18" ht="15.75" customHeight="1" x14ac:dyDescent="0.3">
      <c r="A1210" s="11"/>
      <c r="B1210" s="11"/>
      <c r="D1210" s="21"/>
      <c r="E1210" s="22"/>
      <c r="G1210" s="23"/>
      <c r="H1210" s="24"/>
      <c r="Q1210" s="2"/>
      <c r="R1210" s="2"/>
    </row>
    <row r="1211" spans="1:18" ht="15.75" customHeight="1" x14ac:dyDescent="0.3">
      <c r="A1211" s="11"/>
      <c r="B1211" s="11"/>
      <c r="D1211" s="21"/>
      <c r="E1211" s="22"/>
      <c r="G1211" s="23"/>
      <c r="H1211" s="24"/>
      <c r="Q1211" s="2"/>
      <c r="R1211" s="2"/>
    </row>
    <row r="1212" spans="1:18" ht="15.75" customHeight="1" x14ac:dyDescent="0.3">
      <c r="A1212" s="11"/>
      <c r="B1212" s="11"/>
      <c r="D1212" s="21"/>
      <c r="E1212" s="22"/>
      <c r="G1212" s="23"/>
      <c r="H1212" s="24"/>
      <c r="Q1212" s="2"/>
      <c r="R1212" s="2"/>
    </row>
    <row r="1213" spans="1:18" ht="15.75" customHeight="1" x14ac:dyDescent="0.3">
      <c r="A1213" s="11"/>
      <c r="B1213" s="11"/>
      <c r="D1213" s="21"/>
      <c r="E1213" s="22"/>
      <c r="G1213" s="23"/>
      <c r="H1213" s="24"/>
      <c r="Q1213" s="2"/>
      <c r="R1213" s="2"/>
    </row>
    <row r="1214" spans="1:18" ht="15.75" customHeight="1" x14ac:dyDescent="0.3">
      <c r="A1214" s="11"/>
      <c r="B1214" s="11"/>
      <c r="D1214" s="21"/>
      <c r="E1214" s="22"/>
      <c r="G1214" s="23"/>
      <c r="H1214" s="24"/>
      <c r="Q1214" s="2"/>
      <c r="R1214" s="2"/>
    </row>
    <row r="1215" spans="1:18" ht="15.75" customHeight="1" x14ac:dyDescent="0.3">
      <c r="A1215" s="11"/>
      <c r="B1215" s="11"/>
      <c r="D1215" s="21"/>
      <c r="E1215" s="22"/>
      <c r="G1215" s="23"/>
      <c r="H1215" s="24"/>
      <c r="Q1215" s="2"/>
      <c r="R1215" s="2"/>
    </row>
    <row r="1216" spans="1:18" ht="15.75" customHeight="1" x14ac:dyDescent="0.3">
      <c r="A1216" s="11"/>
      <c r="B1216" s="11"/>
      <c r="D1216" s="21"/>
      <c r="E1216" s="22"/>
      <c r="G1216" s="23"/>
      <c r="H1216" s="24"/>
      <c r="Q1216" s="2"/>
      <c r="R1216" s="2"/>
    </row>
    <row r="1217" spans="1:18" ht="15.75" customHeight="1" x14ac:dyDescent="0.3">
      <c r="A1217" s="11"/>
      <c r="B1217" s="11"/>
      <c r="D1217" s="21"/>
      <c r="E1217" s="22"/>
      <c r="G1217" s="23"/>
      <c r="H1217" s="24"/>
      <c r="Q1217" s="2"/>
      <c r="R1217" s="2"/>
    </row>
    <row r="1218" spans="1:18" ht="15.75" customHeight="1" x14ac:dyDescent="0.3">
      <c r="A1218" s="11"/>
      <c r="B1218" s="11"/>
      <c r="D1218" s="21"/>
      <c r="E1218" s="22"/>
      <c r="G1218" s="23"/>
      <c r="H1218" s="24"/>
      <c r="Q1218" s="2"/>
      <c r="R1218" s="2"/>
    </row>
    <row r="1219" spans="1:18" ht="15.75" customHeight="1" x14ac:dyDescent="0.3">
      <c r="A1219" s="11"/>
      <c r="B1219" s="11"/>
      <c r="D1219" s="21"/>
      <c r="E1219" s="22"/>
      <c r="G1219" s="23"/>
      <c r="H1219" s="24"/>
      <c r="Q1219" s="2"/>
      <c r="R1219" s="2"/>
    </row>
    <row r="1220" spans="1:18" ht="15.75" customHeight="1" x14ac:dyDescent="0.3">
      <c r="A1220" s="11"/>
      <c r="B1220" s="11"/>
      <c r="D1220" s="21"/>
      <c r="E1220" s="22"/>
      <c r="G1220" s="23"/>
      <c r="H1220" s="24"/>
      <c r="Q1220" s="2"/>
      <c r="R1220" s="2"/>
    </row>
    <row r="1221" spans="1:18" ht="15.75" customHeight="1" x14ac:dyDescent="0.3">
      <c r="A1221" s="11"/>
      <c r="B1221" s="11"/>
      <c r="D1221" s="21"/>
      <c r="E1221" s="22"/>
      <c r="G1221" s="23"/>
      <c r="H1221" s="24"/>
      <c r="Q1221" s="2"/>
      <c r="R1221" s="2"/>
    </row>
    <row r="1222" spans="1:18" ht="15.75" customHeight="1" x14ac:dyDescent="0.3">
      <c r="A1222" s="11"/>
      <c r="B1222" s="11"/>
      <c r="D1222" s="21"/>
      <c r="E1222" s="22"/>
      <c r="G1222" s="23"/>
      <c r="H1222" s="24"/>
      <c r="Q1222" s="2"/>
      <c r="R1222" s="2"/>
    </row>
    <row r="1223" spans="1:18" ht="15.75" customHeight="1" x14ac:dyDescent="0.3">
      <c r="A1223" s="11"/>
      <c r="B1223" s="11"/>
      <c r="D1223" s="21"/>
      <c r="E1223" s="22"/>
      <c r="G1223" s="23"/>
      <c r="H1223" s="24"/>
      <c r="Q1223" s="2"/>
      <c r="R1223" s="2"/>
    </row>
    <row r="1224" spans="1:18" ht="15.75" customHeight="1" x14ac:dyDescent="0.3">
      <c r="A1224" s="11"/>
      <c r="B1224" s="11"/>
      <c r="D1224" s="21"/>
      <c r="E1224" s="22"/>
      <c r="G1224" s="23"/>
      <c r="H1224" s="24"/>
      <c r="Q1224" s="2"/>
      <c r="R1224" s="2"/>
    </row>
    <row r="1225" spans="1:18" ht="15.75" customHeight="1" x14ac:dyDescent="0.3">
      <c r="A1225" s="11"/>
      <c r="B1225" s="11"/>
      <c r="D1225" s="21"/>
      <c r="E1225" s="22"/>
      <c r="G1225" s="23"/>
      <c r="H1225" s="24"/>
      <c r="Q1225" s="2"/>
      <c r="R1225" s="2"/>
    </row>
    <row r="1226" spans="1:18" ht="15.75" customHeight="1" x14ac:dyDescent="0.3">
      <c r="A1226" s="11"/>
      <c r="B1226" s="11"/>
      <c r="D1226" s="21"/>
      <c r="E1226" s="22"/>
      <c r="G1226" s="23"/>
      <c r="H1226" s="24"/>
      <c r="Q1226" s="2"/>
      <c r="R1226" s="2"/>
    </row>
    <row r="1227" spans="1:18" ht="15.75" customHeight="1" x14ac:dyDescent="0.3">
      <c r="A1227" s="11"/>
      <c r="B1227" s="11"/>
      <c r="D1227" s="21"/>
      <c r="E1227" s="22"/>
      <c r="G1227" s="23"/>
      <c r="H1227" s="24"/>
      <c r="Q1227" s="2"/>
      <c r="R1227" s="2"/>
    </row>
    <row r="1228" spans="1:18" ht="15.75" customHeight="1" x14ac:dyDescent="0.3">
      <c r="A1228" s="11"/>
      <c r="B1228" s="11"/>
      <c r="D1228" s="21"/>
      <c r="E1228" s="22"/>
      <c r="G1228" s="23"/>
      <c r="H1228" s="24"/>
      <c r="Q1228" s="2"/>
      <c r="R1228" s="2"/>
    </row>
    <row r="1229" spans="1:18" ht="15.75" customHeight="1" x14ac:dyDescent="0.3">
      <c r="A1229" s="11"/>
      <c r="B1229" s="11"/>
      <c r="D1229" s="21"/>
      <c r="E1229" s="22"/>
      <c r="G1229" s="23"/>
      <c r="H1229" s="24"/>
      <c r="Q1229" s="2"/>
      <c r="R1229" s="2"/>
    </row>
    <row r="1230" spans="1:18" ht="15.75" customHeight="1" x14ac:dyDescent="0.3">
      <c r="A1230" s="11"/>
      <c r="B1230" s="11"/>
      <c r="D1230" s="21"/>
      <c r="E1230" s="22"/>
      <c r="G1230" s="23"/>
      <c r="H1230" s="24"/>
      <c r="Q1230" s="2"/>
      <c r="R1230" s="2"/>
    </row>
    <row r="1231" spans="1:18" ht="15.75" customHeight="1" x14ac:dyDescent="0.3">
      <c r="A1231" s="11"/>
      <c r="B1231" s="11"/>
      <c r="D1231" s="21"/>
      <c r="E1231" s="22"/>
      <c r="G1231" s="23"/>
      <c r="H1231" s="24"/>
      <c r="Q1231" s="2"/>
      <c r="R1231" s="2"/>
    </row>
    <row r="1232" spans="1:18" ht="15.75" customHeight="1" x14ac:dyDescent="0.3">
      <c r="A1232" s="11"/>
      <c r="B1232" s="11"/>
      <c r="D1232" s="21"/>
      <c r="E1232" s="22"/>
      <c r="G1232" s="23"/>
      <c r="H1232" s="24"/>
      <c r="Q1232" s="2"/>
      <c r="R1232" s="2"/>
    </row>
    <row r="1233" spans="1:18" ht="15.75" customHeight="1" x14ac:dyDescent="0.3">
      <c r="A1233" s="11"/>
      <c r="B1233" s="11"/>
      <c r="D1233" s="21"/>
      <c r="E1233" s="22"/>
      <c r="G1233" s="23"/>
      <c r="H1233" s="24"/>
      <c r="Q1233" s="2"/>
      <c r="R1233" s="2"/>
    </row>
    <row r="1234" spans="1:18" ht="15.75" customHeight="1" x14ac:dyDescent="0.3">
      <c r="A1234" s="11"/>
      <c r="B1234" s="11"/>
      <c r="D1234" s="21"/>
      <c r="E1234" s="22"/>
      <c r="G1234" s="23"/>
      <c r="H1234" s="24"/>
      <c r="Q1234" s="2"/>
      <c r="R1234" s="2"/>
    </row>
    <row r="1235" spans="1:18" ht="15.75" customHeight="1" x14ac:dyDescent="0.3">
      <c r="A1235" s="11"/>
      <c r="B1235" s="11"/>
      <c r="D1235" s="21"/>
      <c r="E1235" s="22"/>
      <c r="G1235" s="23"/>
      <c r="H1235" s="24"/>
      <c r="Q1235" s="2"/>
      <c r="R1235" s="2"/>
    </row>
    <row r="1236" spans="1:18" ht="15.75" customHeight="1" x14ac:dyDescent="0.3">
      <c r="A1236" s="11"/>
      <c r="B1236" s="11"/>
      <c r="D1236" s="21"/>
      <c r="E1236" s="22"/>
      <c r="G1236" s="23"/>
      <c r="H1236" s="24"/>
      <c r="Q1236" s="2"/>
      <c r="R1236" s="2"/>
    </row>
    <row r="1237" spans="1:18" ht="15.75" customHeight="1" x14ac:dyDescent="0.3">
      <c r="A1237" s="11"/>
      <c r="B1237" s="11"/>
      <c r="D1237" s="21"/>
      <c r="E1237" s="22"/>
      <c r="G1237" s="23"/>
      <c r="H1237" s="24"/>
      <c r="Q1237" s="2"/>
      <c r="R1237" s="2"/>
    </row>
    <row r="1238" spans="1:18" ht="15.75" customHeight="1" x14ac:dyDescent="0.3">
      <c r="A1238" s="11"/>
      <c r="B1238" s="11"/>
      <c r="D1238" s="21"/>
      <c r="E1238" s="22"/>
      <c r="G1238" s="23"/>
      <c r="H1238" s="24"/>
      <c r="Q1238" s="2"/>
      <c r="R1238" s="2"/>
    </row>
    <row r="1239" spans="1:18" ht="15.75" customHeight="1" x14ac:dyDescent="0.3">
      <c r="A1239" s="11"/>
      <c r="B1239" s="11"/>
      <c r="D1239" s="21"/>
      <c r="E1239" s="22"/>
      <c r="G1239" s="23"/>
      <c r="H1239" s="24"/>
      <c r="Q1239" s="2"/>
      <c r="R1239" s="2"/>
    </row>
    <row r="1240" spans="1:18" ht="15.75" customHeight="1" x14ac:dyDescent="0.3">
      <c r="A1240" s="11"/>
      <c r="B1240" s="11"/>
      <c r="D1240" s="21"/>
      <c r="E1240" s="22"/>
      <c r="G1240" s="23"/>
      <c r="H1240" s="24"/>
      <c r="Q1240" s="2"/>
      <c r="R1240" s="2"/>
    </row>
    <row r="1241" spans="1:18" ht="15.75" customHeight="1" x14ac:dyDescent="0.3">
      <c r="A1241" s="11"/>
      <c r="B1241" s="11"/>
      <c r="D1241" s="21"/>
      <c r="E1241" s="22"/>
      <c r="G1241" s="23"/>
      <c r="H1241" s="24"/>
      <c r="Q1241" s="2"/>
      <c r="R1241" s="2"/>
    </row>
    <row r="1242" spans="1:18" ht="15.75" customHeight="1" x14ac:dyDescent="0.3">
      <c r="A1242" s="11"/>
      <c r="B1242" s="11"/>
      <c r="D1242" s="21"/>
      <c r="E1242" s="22"/>
      <c r="G1242" s="23"/>
      <c r="H1242" s="24"/>
      <c r="Q1242" s="2"/>
      <c r="R1242" s="2"/>
    </row>
    <row r="1243" spans="1:18" ht="15.75" customHeight="1" x14ac:dyDescent="0.3">
      <c r="A1243" s="11"/>
      <c r="B1243" s="11"/>
      <c r="D1243" s="21"/>
      <c r="E1243" s="22"/>
      <c r="G1243" s="23"/>
      <c r="H1243" s="24"/>
      <c r="Q1243" s="2"/>
      <c r="R1243" s="2"/>
    </row>
    <row r="1244" spans="1:18" ht="15.75" customHeight="1" x14ac:dyDescent="0.3">
      <c r="A1244" s="11"/>
      <c r="B1244" s="11"/>
      <c r="D1244" s="21"/>
      <c r="E1244" s="22"/>
      <c r="G1244" s="23"/>
      <c r="H1244" s="24"/>
      <c r="Q1244" s="2"/>
      <c r="R1244" s="2"/>
    </row>
    <row r="1245" spans="1:18" ht="15.75" customHeight="1" x14ac:dyDescent="0.3">
      <c r="A1245" s="11"/>
      <c r="B1245" s="11"/>
      <c r="D1245" s="21"/>
      <c r="E1245" s="22"/>
      <c r="G1245" s="23"/>
      <c r="H1245" s="24"/>
      <c r="Q1245" s="2"/>
      <c r="R1245" s="2"/>
    </row>
    <row r="1246" spans="1:18" ht="15.75" customHeight="1" x14ac:dyDescent="0.3">
      <c r="A1246" s="11"/>
      <c r="B1246" s="11"/>
      <c r="D1246" s="21"/>
      <c r="E1246" s="22"/>
      <c r="G1246" s="23"/>
      <c r="H1246" s="24"/>
      <c r="Q1246" s="2"/>
      <c r="R1246" s="2"/>
    </row>
    <row r="1247" spans="1:18" ht="15.75" customHeight="1" x14ac:dyDescent="0.3">
      <c r="A1247" s="11"/>
      <c r="B1247" s="11"/>
      <c r="D1247" s="21"/>
      <c r="E1247" s="22"/>
      <c r="G1247" s="23"/>
      <c r="H1247" s="24"/>
      <c r="Q1247" s="2"/>
      <c r="R1247" s="2"/>
    </row>
    <row r="1248" spans="1:18" ht="15.75" customHeight="1" x14ac:dyDescent="0.3">
      <c r="A1248" s="11"/>
      <c r="B1248" s="11"/>
      <c r="D1248" s="21"/>
      <c r="E1248" s="22"/>
      <c r="G1248" s="23"/>
      <c r="H1248" s="24"/>
      <c r="Q1248" s="2"/>
      <c r="R1248" s="2"/>
    </row>
    <row r="1249" spans="1:18" ht="15.75" customHeight="1" x14ac:dyDescent="0.3">
      <c r="A1249" s="11"/>
      <c r="B1249" s="11"/>
      <c r="D1249" s="21"/>
      <c r="E1249" s="22"/>
      <c r="G1249" s="23"/>
      <c r="H1249" s="24"/>
      <c r="Q1249" s="2"/>
      <c r="R1249" s="2"/>
    </row>
    <row r="1250" spans="1:18" ht="15.75" customHeight="1" x14ac:dyDescent="0.3">
      <c r="A1250" s="11"/>
      <c r="B1250" s="11"/>
      <c r="D1250" s="21"/>
      <c r="E1250" s="22"/>
      <c r="G1250" s="23"/>
      <c r="H1250" s="24"/>
      <c r="Q1250" s="2"/>
      <c r="R1250" s="2"/>
    </row>
    <row r="1251" spans="1:18" ht="15.75" customHeight="1" x14ac:dyDescent="0.3">
      <c r="A1251" s="11"/>
      <c r="B1251" s="11"/>
      <c r="D1251" s="21"/>
      <c r="E1251" s="22"/>
      <c r="G1251" s="23"/>
      <c r="H1251" s="24"/>
      <c r="Q1251" s="2"/>
      <c r="R1251" s="2"/>
    </row>
    <row r="1252" spans="1:18" ht="15.75" customHeight="1" x14ac:dyDescent="0.3">
      <c r="A1252" s="11"/>
      <c r="B1252" s="11"/>
      <c r="D1252" s="21"/>
      <c r="E1252" s="22"/>
      <c r="G1252" s="23"/>
      <c r="H1252" s="24"/>
      <c r="Q1252" s="2"/>
      <c r="R1252" s="2"/>
    </row>
    <row r="1253" spans="1:18" ht="15.75" customHeight="1" x14ac:dyDescent="0.3">
      <c r="A1253" s="11"/>
      <c r="B1253" s="11"/>
      <c r="D1253" s="21"/>
      <c r="E1253" s="22"/>
      <c r="G1253" s="23"/>
      <c r="H1253" s="24"/>
      <c r="Q1253" s="2"/>
      <c r="R1253" s="2"/>
    </row>
    <row r="1254" spans="1:18" ht="15.75" customHeight="1" x14ac:dyDescent="0.3">
      <c r="A1254" s="11"/>
      <c r="B1254" s="11"/>
      <c r="D1254" s="21"/>
      <c r="E1254" s="22"/>
      <c r="G1254" s="23"/>
      <c r="H1254" s="24"/>
      <c r="Q1254" s="2"/>
      <c r="R1254" s="2"/>
    </row>
    <row r="1255" spans="1:18" ht="15.75" customHeight="1" x14ac:dyDescent="0.3">
      <c r="A1255" s="11"/>
      <c r="B1255" s="11"/>
      <c r="D1255" s="21"/>
      <c r="E1255" s="22"/>
      <c r="G1255" s="23"/>
      <c r="H1255" s="24"/>
      <c r="Q1255" s="2"/>
      <c r="R1255" s="2"/>
    </row>
    <row r="1256" spans="1:18" ht="15.75" customHeight="1" x14ac:dyDescent="0.3">
      <c r="A1256" s="11"/>
      <c r="B1256" s="11"/>
      <c r="D1256" s="21"/>
      <c r="E1256" s="22"/>
      <c r="G1256" s="23"/>
      <c r="H1256" s="24"/>
      <c r="Q1256" s="2"/>
      <c r="R1256" s="2"/>
    </row>
    <row r="1257" spans="1:18" ht="15.75" customHeight="1" x14ac:dyDescent="0.3">
      <c r="A1257" s="11"/>
      <c r="B1257" s="11"/>
      <c r="D1257" s="21"/>
      <c r="E1257" s="22"/>
      <c r="G1257" s="23"/>
      <c r="H1257" s="24"/>
      <c r="Q1257" s="2"/>
      <c r="R1257" s="2"/>
    </row>
    <row r="1258" spans="1:18" ht="15.75" customHeight="1" x14ac:dyDescent="0.3">
      <c r="A1258" s="11"/>
      <c r="B1258" s="11"/>
      <c r="D1258" s="21"/>
      <c r="E1258" s="22"/>
      <c r="G1258" s="23"/>
      <c r="H1258" s="24"/>
      <c r="Q1258" s="2"/>
      <c r="R1258" s="2"/>
    </row>
    <row r="1259" spans="1:18" ht="15.75" customHeight="1" x14ac:dyDescent="0.3">
      <c r="A1259" s="11"/>
      <c r="B1259" s="11"/>
      <c r="D1259" s="21"/>
      <c r="E1259" s="22"/>
      <c r="G1259" s="23"/>
      <c r="H1259" s="24"/>
      <c r="Q1259" s="2"/>
      <c r="R1259" s="2"/>
    </row>
    <row r="1260" spans="1:18" ht="15.75" customHeight="1" x14ac:dyDescent="0.3">
      <c r="A1260" s="11"/>
      <c r="B1260" s="11"/>
      <c r="D1260" s="21"/>
      <c r="E1260" s="22"/>
      <c r="G1260" s="23"/>
      <c r="H1260" s="24"/>
      <c r="Q1260" s="2"/>
      <c r="R1260" s="2"/>
    </row>
    <row r="1261" spans="1:18" ht="15.75" customHeight="1" x14ac:dyDescent="0.3">
      <c r="A1261" s="11"/>
      <c r="B1261" s="11"/>
      <c r="D1261" s="21"/>
      <c r="E1261" s="22"/>
      <c r="G1261" s="23"/>
      <c r="H1261" s="24"/>
      <c r="Q1261" s="2"/>
      <c r="R1261" s="2"/>
    </row>
    <row r="1262" spans="1:18" ht="15.75" customHeight="1" x14ac:dyDescent="0.3">
      <c r="A1262" s="11"/>
      <c r="B1262" s="11"/>
      <c r="D1262" s="21"/>
      <c r="E1262" s="22"/>
      <c r="G1262" s="23"/>
      <c r="H1262" s="24"/>
      <c r="Q1262" s="2"/>
      <c r="R1262" s="2"/>
    </row>
    <row r="1263" spans="1:18" ht="15.75" customHeight="1" x14ac:dyDescent="0.3">
      <c r="A1263" s="11"/>
      <c r="B1263" s="11"/>
      <c r="D1263" s="21"/>
      <c r="E1263" s="22"/>
      <c r="G1263" s="23"/>
      <c r="H1263" s="24"/>
      <c r="Q1263" s="2"/>
      <c r="R1263" s="2"/>
    </row>
    <row r="1264" spans="1:18" ht="15.75" customHeight="1" x14ac:dyDescent="0.3">
      <c r="A1264" s="11"/>
      <c r="B1264" s="11"/>
      <c r="D1264" s="21"/>
      <c r="E1264" s="22"/>
      <c r="G1264" s="23"/>
      <c r="H1264" s="24"/>
      <c r="Q1264" s="2"/>
      <c r="R1264" s="2"/>
    </row>
    <row r="1265" spans="1:18" ht="15.75" customHeight="1" x14ac:dyDescent="0.3">
      <c r="A1265" s="11"/>
      <c r="B1265" s="11"/>
      <c r="D1265" s="21"/>
      <c r="E1265" s="22"/>
      <c r="G1265" s="23"/>
      <c r="H1265" s="24"/>
      <c r="Q1265" s="2"/>
      <c r="R1265" s="2"/>
    </row>
    <row r="1266" spans="1:18" ht="15.75" customHeight="1" x14ac:dyDescent="0.3">
      <c r="A1266" s="11"/>
      <c r="B1266" s="11"/>
      <c r="D1266" s="21"/>
      <c r="E1266" s="22"/>
      <c r="G1266" s="23"/>
      <c r="H1266" s="24"/>
      <c r="Q1266" s="2"/>
      <c r="R1266" s="2"/>
    </row>
    <row r="1267" spans="1:18" ht="15.75" customHeight="1" x14ac:dyDescent="0.3">
      <c r="A1267" s="11"/>
      <c r="B1267" s="11"/>
      <c r="D1267" s="21"/>
      <c r="E1267" s="22"/>
      <c r="G1267" s="23"/>
      <c r="H1267" s="24"/>
      <c r="Q1267" s="2"/>
      <c r="R1267" s="2"/>
    </row>
    <row r="1268" spans="1:18" ht="15.75" customHeight="1" x14ac:dyDescent="0.3">
      <c r="A1268" s="11"/>
      <c r="B1268" s="11"/>
      <c r="D1268" s="21"/>
      <c r="E1268" s="22"/>
      <c r="G1268" s="23"/>
      <c r="H1268" s="24"/>
      <c r="Q1268" s="2"/>
      <c r="R1268" s="2"/>
    </row>
    <row r="1269" spans="1:18" ht="15.75" customHeight="1" x14ac:dyDescent="0.3">
      <c r="A1269" s="11"/>
      <c r="B1269" s="11"/>
      <c r="D1269" s="21"/>
      <c r="E1269" s="22"/>
      <c r="G1269" s="23"/>
      <c r="H1269" s="24"/>
      <c r="Q1269" s="2"/>
      <c r="R1269" s="2"/>
    </row>
    <row r="1270" spans="1:18" ht="15.75" customHeight="1" x14ac:dyDescent="0.3">
      <c r="A1270" s="11"/>
      <c r="B1270" s="11"/>
      <c r="D1270" s="21"/>
      <c r="E1270" s="22"/>
      <c r="G1270" s="23"/>
      <c r="H1270" s="24"/>
      <c r="Q1270" s="2"/>
      <c r="R1270" s="2"/>
    </row>
    <row r="1271" spans="1:18" ht="15.75" customHeight="1" x14ac:dyDescent="0.3">
      <c r="A1271" s="11"/>
      <c r="B1271" s="11"/>
      <c r="D1271" s="21"/>
      <c r="E1271" s="22"/>
      <c r="G1271" s="23"/>
      <c r="H1271" s="24"/>
      <c r="Q1271" s="2"/>
      <c r="R1271" s="2"/>
    </row>
    <row r="1272" spans="1:18" ht="15.75" customHeight="1" x14ac:dyDescent="0.3">
      <c r="A1272" s="11"/>
      <c r="B1272" s="11"/>
      <c r="D1272" s="21"/>
      <c r="E1272" s="22"/>
      <c r="G1272" s="23"/>
      <c r="H1272" s="24"/>
      <c r="Q1272" s="2"/>
      <c r="R1272" s="2"/>
    </row>
    <row r="1273" spans="1:18" ht="15.75" customHeight="1" x14ac:dyDescent="0.3">
      <c r="A1273" s="11"/>
      <c r="B1273" s="11"/>
      <c r="D1273" s="21"/>
      <c r="E1273" s="22"/>
      <c r="G1273" s="23"/>
      <c r="H1273" s="24"/>
      <c r="Q1273" s="2"/>
      <c r="R1273" s="2"/>
    </row>
    <row r="1274" spans="1:18" ht="15.75" customHeight="1" x14ac:dyDescent="0.3">
      <c r="A1274" s="11"/>
      <c r="B1274" s="11"/>
      <c r="D1274" s="21"/>
      <c r="E1274" s="22"/>
      <c r="G1274" s="23"/>
      <c r="H1274" s="24"/>
      <c r="Q1274" s="2"/>
      <c r="R1274" s="2"/>
    </row>
    <row r="1275" spans="1:18" ht="15.75" customHeight="1" x14ac:dyDescent="0.3">
      <c r="A1275" s="11"/>
      <c r="B1275" s="11"/>
      <c r="D1275" s="21"/>
      <c r="E1275" s="22"/>
      <c r="G1275" s="23"/>
      <c r="H1275" s="24"/>
      <c r="Q1275" s="2"/>
      <c r="R1275" s="2"/>
    </row>
    <row r="1276" spans="1:18" ht="15.75" customHeight="1" x14ac:dyDescent="0.3">
      <c r="A1276" s="11"/>
      <c r="B1276" s="11"/>
      <c r="D1276" s="21"/>
      <c r="E1276" s="22"/>
      <c r="G1276" s="23"/>
      <c r="H1276" s="24"/>
      <c r="Q1276" s="2"/>
      <c r="R1276" s="2"/>
    </row>
    <row r="1277" spans="1:18" ht="15.75" customHeight="1" x14ac:dyDescent="0.3">
      <c r="A1277" s="11"/>
      <c r="B1277" s="11"/>
      <c r="D1277" s="21"/>
      <c r="E1277" s="22"/>
      <c r="G1277" s="23"/>
      <c r="H1277" s="24"/>
      <c r="Q1277" s="2"/>
      <c r="R1277" s="2"/>
    </row>
    <row r="1278" spans="1:18" ht="15.75" customHeight="1" x14ac:dyDescent="0.3">
      <c r="A1278" s="11"/>
      <c r="B1278" s="11"/>
      <c r="D1278" s="21"/>
      <c r="E1278" s="22"/>
      <c r="G1278" s="23"/>
      <c r="H1278" s="24"/>
      <c r="Q1278" s="2"/>
      <c r="R1278" s="2"/>
    </row>
    <row r="1279" spans="1:18" ht="15.75" customHeight="1" x14ac:dyDescent="0.3">
      <c r="A1279" s="11"/>
      <c r="B1279" s="11"/>
      <c r="D1279" s="21"/>
      <c r="E1279" s="22"/>
      <c r="G1279" s="23"/>
      <c r="H1279" s="24"/>
      <c r="Q1279" s="2"/>
      <c r="R1279" s="2"/>
    </row>
    <row r="1280" spans="1:18" ht="15.75" customHeight="1" x14ac:dyDescent="0.3">
      <c r="A1280" s="11"/>
      <c r="B1280" s="11"/>
      <c r="D1280" s="21"/>
      <c r="E1280" s="22"/>
      <c r="G1280" s="23"/>
      <c r="H1280" s="24"/>
      <c r="Q1280" s="2"/>
      <c r="R1280" s="2"/>
    </row>
    <row r="1281" spans="1:18" ht="15.75" customHeight="1" x14ac:dyDescent="0.3">
      <c r="A1281" s="11"/>
      <c r="B1281" s="11"/>
      <c r="D1281" s="21"/>
      <c r="E1281" s="22"/>
      <c r="G1281" s="23"/>
      <c r="H1281" s="24"/>
      <c r="Q1281" s="2"/>
      <c r="R1281" s="2"/>
    </row>
    <row r="1282" spans="1:18" ht="15.75" customHeight="1" x14ac:dyDescent="0.3">
      <c r="A1282" s="11"/>
      <c r="B1282" s="11"/>
      <c r="D1282" s="21"/>
      <c r="E1282" s="22"/>
      <c r="G1282" s="23"/>
      <c r="H1282" s="24"/>
      <c r="Q1282" s="2"/>
      <c r="R1282" s="2"/>
    </row>
    <row r="1283" spans="1:18" ht="15.75" customHeight="1" x14ac:dyDescent="0.3">
      <c r="A1283" s="11"/>
      <c r="B1283" s="11"/>
      <c r="D1283" s="21"/>
      <c r="E1283" s="22"/>
      <c r="G1283" s="23"/>
      <c r="H1283" s="24"/>
      <c r="Q1283" s="2"/>
      <c r="R1283" s="2"/>
    </row>
    <row r="1284" spans="1:18" ht="15.75" customHeight="1" x14ac:dyDescent="0.3">
      <c r="A1284" s="11"/>
      <c r="B1284" s="11"/>
      <c r="D1284" s="21"/>
      <c r="E1284" s="22"/>
      <c r="G1284" s="23"/>
      <c r="H1284" s="24"/>
      <c r="Q1284" s="2"/>
      <c r="R1284" s="2"/>
    </row>
    <row r="1285" spans="1:18" ht="15.75" customHeight="1" x14ac:dyDescent="0.3">
      <c r="A1285" s="11"/>
      <c r="B1285" s="11"/>
      <c r="D1285" s="21"/>
      <c r="E1285" s="22"/>
      <c r="G1285" s="23"/>
      <c r="H1285" s="24"/>
      <c r="Q1285" s="2"/>
      <c r="R1285" s="2"/>
    </row>
    <row r="1286" spans="1:18" ht="15.75" customHeight="1" x14ac:dyDescent="0.3">
      <c r="A1286" s="11"/>
      <c r="B1286" s="11"/>
      <c r="D1286" s="21"/>
      <c r="E1286" s="22"/>
      <c r="G1286" s="23"/>
      <c r="H1286" s="24"/>
      <c r="Q1286" s="2"/>
      <c r="R1286" s="2"/>
    </row>
    <row r="1287" spans="1:18" ht="15.75" customHeight="1" x14ac:dyDescent="0.3">
      <c r="A1287" s="11"/>
      <c r="B1287" s="11"/>
      <c r="D1287" s="21"/>
      <c r="E1287" s="22"/>
      <c r="G1287" s="23"/>
      <c r="H1287" s="24"/>
      <c r="Q1287" s="2"/>
      <c r="R1287" s="2"/>
    </row>
    <row r="1288" spans="1:18" ht="15.75" customHeight="1" x14ac:dyDescent="0.3">
      <c r="A1288" s="11"/>
      <c r="B1288" s="11"/>
      <c r="D1288" s="21"/>
      <c r="E1288" s="22"/>
      <c r="G1288" s="23"/>
      <c r="H1288" s="24"/>
      <c r="Q1288" s="2"/>
      <c r="R1288" s="2"/>
    </row>
    <row r="1289" spans="1:18" ht="15.75" customHeight="1" x14ac:dyDescent="0.3">
      <c r="A1289" s="11"/>
      <c r="B1289" s="11"/>
      <c r="D1289" s="21"/>
      <c r="E1289" s="22"/>
      <c r="G1289" s="23"/>
      <c r="H1289" s="24"/>
      <c r="Q1289" s="2"/>
      <c r="R1289" s="2"/>
    </row>
    <row r="1290" spans="1:18" ht="15.75" customHeight="1" x14ac:dyDescent="0.3">
      <c r="A1290" s="11"/>
      <c r="B1290" s="11"/>
      <c r="D1290" s="21"/>
      <c r="E1290" s="22"/>
      <c r="G1290" s="23"/>
      <c r="H1290" s="24"/>
      <c r="Q1290" s="2"/>
      <c r="R1290" s="2"/>
    </row>
    <row r="1291" spans="1:18" ht="15.75" customHeight="1" x14ac:dyDescent="0.3">
      <c r="A1291" s="11"/>
      <c r="B1291" s="11"/>
      <c r="D1291" s="21"/>
      <c r="E1291" s="22"/>
      <c r="G1291" s="23"/>
      <c r="H1291" s="24"/>
      <c r="Q1291" s="2"/>
      <c r="R1291" s="2"/>
    </row>
    <row r="1292" spans="1:18" ht="15.75" customHeight="1" x14ac:dyDescent="0.3">
      <c r="A1292" s="11"/>
      <c r="B1292" s="11"/>
      <c r="D1292" s="21"/>
      <c r="E1292" s="22"/>
      <c r="G1292" s="23"/>
      <c r="H1292" s="24"/>
      <c r="Q1292" s="2"/>
      <c r="R1292" s="2"/>
    </row>
    <row r="1293" spans="1:18" ht="15.75" customHeight="1" x14ac:dyDescent="0.3">
      <c r="A1293" s="11"/>
      <c r="B1293" s="11"/>
      <c r="D1293" s="21"/>
      <c r="E1293" s="22"/>
      <c r="G1293" s="23"/>
      <c r="H1293" s="24"/>
      <c r="Q1293" s="2"/>
      <c r="R1293" s="2"/>
    </row>
    <row r="1294" spans="1:18" ht="15.75" customHeight="1" x14ac:dyDescent="0.3">
      <c r="A1294" s="11"/>
      <c r="B1294" s="11"/>
      <c r="D1294" s="21"/>
      <c r="E1294" s="22"/>
      <c r="G1294" s="23"/>
      <c r="H1294" s="24"/>
      <c r="Q1294" s="2"/>
      <c r="R1294" s="2"/>
    </row>
    <row r="1295" spans="1:18" ht="15.75" customHeight="1" x14ac:dyDescent="0.3">
      <c r="A1295" s="11"/>
      <c r="B1295" s="11"/>
      <c r="D1295" s="21"/>
      <c r="E1295" s="22"/>
      <c r="G1295" s="23"/>
      <c r="H1295" s="24"/>
      <c r="Q1295" s="2"/>
      <c r="R1295" s="2"/>
    </row>
    <row r="1296" spans="1:18" ht="15.75" customHeight="1" x14ac:dyDescent="0.3">
      <c r="A1296" s="11"/>
      <c r="B1296" s="11"/>
      <c r="D1296" s="21"/>
      <c r="E1296" s="22"/>
      <c r="G1296" s="23"/>
      <c r="H1296" s="24"/>
      <c r="Q1296" s="2"/>
      <c r="R1296" s="2"/>
    </row>
    <row r="1297" spans="1:18" ht="15.75" customHeight="1" x14ac:dyDescent="0.3">
      <c r="A1297" s="11"/>
      <c r="B1297" s="11"/>
      <c r="D1297" s="21"/>
      <c r="E1297" s="22"/>
      <c r="G1297" s="23"/>
      <c r="H1297" s="24"/>
      <c r="Q1297" s="2"/>
      <c r="R1297" s="2"/>
    </row>
    <row r="1298" spans="1:18" ht="15.75" customHeight="1" x14ac:dyDescent="0.3">
      <c r="A1298" s="11"/>
      <c r="B1298" s="11"/>
      <c r="D1298" s="21"/>
      <c r="E1298" s="22"/>
      <c r="G1298" s="23"/>
      <c r="H1298" s="24"/>
      <c r="Q1298" s="2"/>
      <c r="R1298" s="2"/>
    </row>
    <row r="1299" spans="1:18" ht="15.75" customHeight="1" x14ac:dyDescent="0.3">
      <c r="A1299" s="11"/>
      <c r="B1299" s="11"/>
      <c r="D1299" s="21"/>
      <c r="E1299" s="22"/>
      <c r="G1299" s="23"/>
      <c r="H1299" s="24"/>
      <c r="Q1299" s="2"/>
      <c r="R1299" s="2"/>
    </row>
    <row r="1300" spans="1:18" ht="15.75" customHeight="1" x14ac:dyDescent="0.3">
      <c r="A1300" s="11"/>
      <c r="B1300" s="11"/>
      <c r="D1300" s="21"/>
      <c r="E1300" s="22"/>
      <c r="G1300" s="23"/>
      <c r="H1300" s="24"/>
      <c r="Q1300" s="2"/>
      <c r="R1300" s="2"/>
    </row>
    <row r="1301" spans="1:18" ht="15.75" customHeight="1" x14ac:dyDescent="0.3">
      <c r="A1301" s="11"/>
      <c r="B1301" s="11"/>
      <c r="D1301" s="21"/>
      <c r="E1301" s="22"/>
      <c r="G1301" s="23"/>
      <c r="H1301" s="24"/>
      <c r="Q1301" s="2"/>
      <c r="R1301" s="2"/>
    </row>
    <row r="1302" spans="1:18" ht="15.75" customHeight="1" x14ac:dyDescent="0.3">
      <c r="A1302" s="11"/>
      <c r="B1302" s="11"/>
      <c r="D1302" s="21"/>
      <c r="E1302" s="22"/>
      <c r="G1302" s="23"/>
      <c r="H1302" s="24"/>
      <c r="Q1302" s="2"/>
      <c r="R1302" s="2"/>
    </row>
    <row r="1303" spans="1:18" ht="15.75" customHeight="1" x14ac:dyDescent="0.3">
      <c r="A1303" s="11"/>
      <c r="B1303" s="11"/>
      <c r="D1303" s="21"/>
      <c r="E1303" s="22"/>
      <c r="G1303" s="23"/>
      <c r="H1303" s="24"/>
      <c r="Q1303" s="2"/>
      <c r="R1303" s="2"/>
    </row>
    <row r="1304" spans="1:18" ht="15.75" customHeight="1" x14ac:dyDescent="0.3">
      <c r="A1304" s="11"/>
      <c r="B1304" s="11"/>
      <c r="D1304" s="21"/>
      <c r="E1304" s="22"/>
      <c r="G1304" s="23"/>
      <c r="H1304" s="24"/>
      <c r="Q1304" s="2"/>
      <c r="R1304" s="2"/>
    </row>
    <row r="1305" spans="1:18" ht="15.75" customHeight="1" x14ac:dyDescent="0.3">
      <c r="A1305" s="11"/>
      <c r="B1305" s="11"/>
      <c r="D1305" s="21"/>
      <c r="E1305" s="22"/>
      <c r="G1305" s="23"/>
      <c r="H1305" s="24"/>
      <c r="Q1305" s="2"/>
      <c r="R1305" s="2"/>
    </row>
    <row r="1306" spans="1:18" ht="15.75" customHeight="1" x14ac:dyDescent="0.3">
      <c r="A1306" s="11"/>
      <c r="B1306" s="11"/>
      <c r="D1306" s="21"/>
      <c r="E1306" s="22"/>
      <c r="G1306" s="23"/>
      <c r="H1306" s="24"/>
      <c r="Q1306" s="2"/>
      <c r="R1306" s="2"/>
    </row>
    <row r="1307" spans="1:18" ht="15.75" customHeight="1" x14ac:dyDescent="0.3">
      <c r="A1307" s="11"/>
      <c r="B1307" s="11"/>
      <c r="D1307" s="21"/>
      <c r="E1307" s="22"/>
      <c r="G1307" s="23"/>
      <c r="H1307" s="24"/>
      <c r="Q1307" s="2"/>
      <c r="R1307" s="2"/>
    </row>
    <row r="1308" spans="1:18" ht="15.75" customHeight="1" x14ac:dyDescent="0.3">
      <c r="A1308" s="11"/>
      <c r="B1308" s="11"/>
      <c r="D1308" s="21"/>
      <c r="E1308" s="22"/>
      <c r="G1308" s="23"/>
      <c r="H1308" s="24"/>
      <c r="Q1308" s="2"/>
      <c r="R1308" s="2"/>
    </row>
    <row r="1309" spans="1:18" ht="15.75" customHeight="1" x14ac:dyDescent="0.3">
      <c r="A1309" s="11"/>
      <c r="B1309" s="11"/>
      <c r="D1309" s="21"/>
      <c r="E1309" s="22"/>
      <c r="G1309" s="23"/>
      <c r="H1309" s="24"/>
      <c r="Q1309" s="2"/>
      <c r="R1309" s="2"/>
    </row>
    <row r="1310" spans="1:18" ht="15.75" customHeight="1" x14ac:dyDescent="0.3">
      <c r="A1310" s="11"/>
      <c r="B1310" s="11"/>
      <c r="D1310" s="21"/>
      <c r="E1310" s="22"/>
      <c r="G1310" s="23"/>
      <c r="H1310" s="24"/>
      <c r="Q1310" s="2"/>
      <c r="R1310" s="2"/>
    </row>
    <row r="1311" spans="1:18" ht="15.75" customHeight="1" x14ac:dyDescent="0.3">
      <c r="A1311" s="11"/>
      <c r="B1311" s="11"/>
      <c r="D1311" s="21"/>
      <c r="E1311" s="22"/>
      <c r="G1311" s="23"/>
      <c r="H1311" s="24"/>
      <c r="Q1311" s="2"/>
      <c r="R1311" s="2"/>
    </row>
    <row r="1312" spans="1:18" ht="15.75" customHeight="1" x14ac:dyDescent="0.3">
      <c r="A1312" s="11"/>
      <c r="B1312" s="11"/>
      <c r="D1312" s="21"/>
      <c r="E1312" s="22"/>
      <c r="G1312" s="23"/>
      <c r="H1312" s="24"/>
      <c r="Q1312" s="2"/>
      <c r="R1312" s="2"/>
    </row>
    <row r="1313" spans="1:18" ht="15.75" customHeight="1" x14ac:dyDescent="0.3">
      <c r="A1313" s="11"/>
      <c r="B1313" s="11"/>
      <c r="D1313" s="21"/>
      <c r="E1313" s="22"/>
      <c r="G1313" s="23"/>
      <c r="H1313" s="24"/>
      <c r="Q1313" s="2"/>
      <c r="R1313" s="2"/>
    </row>
    <row r="1314" spans="1:18" ht="15.75" customHeight="1" x14ac:dyDescent="0.3">
      <c r="A1314" s="11"/>
      <c r="B1314" s="11"/>
      <c r="D1314" s="21"/>
      <c r="E1314" s="22"/>
      <c r="G1314" s="23"/>
      <c r="H1314" s="24"/>
      <c r="Q1314" s="2"/>
      <c r="R1314" s="2"/>
    </row>
    <row r="1315" spans="1:18" ht="15.75" customHeight="1" x14ac:dyDescent="0.3">
      <c r="A1315" s="11"/>
      <c r="B1315" s="11"/>
      <c r="D1315" s="21"/>
      <c r="E1315" s="22"/>
      <c r="G1315" s="23"/>
      <c r="H1315" s="24"/>
      <c r="Q1315" s="2"/>
      <c r="R1315" s="2"/>
    </row>
    <row r="1316" spans="1:18" ht="15.75" customHeight="1" x14ac:dyDescent="0.3">
      <c r="A1316" s="11"/>
      <c r="B1316" s="11"/>
      <c r="D1316" s="21"/>
      <c r="E1316" s="22"/>
      <c r="G1316" s="23"/>
      <c r="H1316" s="24"/>
      <c r="Q1316" s="2"/>
      <c r="R1316" s="2"/>
    </row>
    <row r="1317" spans="1:18" ht="15.75" customHeight="1" x14ac:dyDescent="0.3">
      <c r="A1317" s="11"/>
      <c r="B1317" s="11"/>
      <c r="D1317" s="21"/>
      <c r="E1317" s="22"/>
      <c r="G1317" s="23"/>
      <c r="H1317" s="24"/>
      <c r="Q1317" s="2"/>
      <c r="R1317" s="2"/>
    </row>
    <row r="1318" spans="1:18" ht="15.75" customHeight="1" x14ac:dyDescent="0.3">
      <c r="A1318" s="11"/>
      <c r="B1318" s="11"/>
      <c r="D1318" s="21"/>
      <c r="E1318" s="22"/>
      <c r="G1318" s="23"/>
      <c r="H1318" s="24"/>
      <c r="Q1318" s="2"/>
      <c r="R1318" s="2"/>
    </row>
    <row r="1319" spans="1:18" ht="15.75" customHeight="1" x14ac:dyDescent="0.3">
      <c r="A1319" s="11"/>
      <c r="B1319" s="11"/>
      <c r="D1319" s="21"/>
      <c r="E1319" s="22"/>
      <c r="G1319" s="23"/>
      <c r="H1319" s="24"/>
      <c r="Q1319" s="2"/>
      <c r="R1319" s="2"/>
    </row>
    <row r="1320" spans="1:18" ht="15.75" customHeight="1" x14ac:dyDescent="0.3">
      <c r="A1320" s="11"/>
      <c r="B1320" s="11"/>
      <c r="D1320" s="21"/>
      <c r="E1320" s="22"/>
      <c r="G1320" s="23"/>
      <c r="H1320" s="24"/>
      <c r="Q1320" s="2"/>
      <c r="R1320" s="2"/>
    </row>
    <row r="1321" spans="1:18" ht="15.75" customHeight="1" x14ac:dyDescent="0.3">
      <c r="A1321" s="11"/>
      <c r="B1321" s="11"/>
      <c r="D1321" s="21"/>
      <c r="E1321" s="22"/>
      <c r="G1321" s="23"/>
      <c r="H1321" s="24"/>
      <c r="Q1321" s="2"/>
      <c r="R1321" s="2"/>
    </row>
    <row r="1322" spans="1:18" ht="15.75" customHeight="1" x14ac:dyDescent="0.3">
      <c r="A1322" s="11"/>
      <c r="B1322" s="11"/>
      <c r="D1322" s="21"/>
      <c r="E1322" s="22"/>
      <c r="G1322" s="23"/>
      <c r="H1322" s="24"/>
      <c r="Q1322" s="2"/>
      <c r="R1322" s="2"/>
    </row>
    <row r="1323" spans="1:18" ht="15.75" customHeight="1" x14ac:dyDescent="0.3">
      <c r="A1323" s="11"/>
      <c r="B1323" s="11"/>
      <c r="D1323" s="21"/>
      <c r="E1323" s="22"/>
      <c r="G1323" s="23"/>
      <c r="H1323" s="24"/>
      <c r="Q1323" s="2"/>
      <c r="R1323" s="2"/>
    </row>
    <row r="1324" spans="1:18" ht="15.75" customHeight="1" x14ac:dyDescent="0.3">
      <c r="A1324" s="11"/>
      <c r="B1324" s="11"/>
      <c r="D1324" s="21"/>
      <c r="E1324" s="22"/>
      <c r="G1324" s="23"/>
      <c r="H1324" s="24"/>
      <c r="Q1324" s="2"/>
      <c r="R1324" s="2"/>
    </row>
    <row r="1325" spans="1:18" ht="15.75" customHeight="1" x14ac:dyDescent="0.3">
      <c r="A1325" s="11"/>
      <c r="B1325" s="11"/>
      <c r="D1325" s="21"/>
      <c r="E1325" s="22"/>
      <c r="G1325" s="23"/>
      <c r="H1325" s="24"/>
      <c r="Q1325" s="2"/>
      <c r="R1325" s="2"/>
    </row>
    <row r="1326" spans="1:18" ht="15.75" customHeight="1" x14ac:dyDescent="0.3">
      <c r="A1326" s="11"/>
      <c r="B1326" s="11"/>
      <c r="D1326" s="21"/>
      <c r="E1326" s="22"/>
      <c r="G1326" s="23"/>
      <c r="H1326" s="24"/>
      <c r="Q1326" s="2"/>
      <c r="R1326" s="2"/>
    </row>
    <row r="1327" spans="1:18" ht="15.75" customHeight="1" x14ac:dyDescent="0.3">
      <c r="A1327" s="11"/>
      <c r="B1327" s="11"/>
      <c r="D1327" s="21"/>
      <c r="E1327" s="22"/>
      <c r="G1327" s="23"/>
      <c r="H1327" s="24"/>
      <c r="Q1327" s="2"/>
      <c r="R1327" s="2"/>
    </row>
    <row r="1328" spans="1:18" ht="15.75" customHeight="1" x14ac:dyDescent="0.3">
      <c r="A1328" s="11"/>
      <c r="B1328" s="11"/>
      <c r="D1328" s="21"/>
      <c r="E1328" s="22"/>
      <c r="G1328" s="23"/>
      <c r="H1328" s="24"/>
      <c r="Q1328" s="2"/>
      <c r="R1328" s="2"/>
    </row>
    <row r="1329" spans="1:18" ht="15.75" customHeight="1" x14ac:dyDescent="0.3">
      <c r="A1329" s="11"/>
      <c r="B1329" s="11"/>
      <c r="D1329" s="21"/>
      <c r="E1329" s="22"/>
      <c r="G1329" s="23"/>
      <c r="H1329" s="24"/>
      <c r="Q1329" s="2"/>
      <c r="R1329" s="2"/>
    </row>
    <row r="1330" spans="1:18" ht="15.75" customHeight="1" x14ac:dyDescent="0.3">
      <c r="A1330" s="11"/>
      <c r="B1330" s="11"/>
      <c r="D1330" s="21"/>
      <c r="E1330" s="22"/>
      <c r="G1330" s="23"/>
      <c r="H1330" s="24"/>
      <c r="Q1330" s="2"/>
      <c r="R1330" s="2"/>
    </row>
    <row r="1331" spans="1:18" ht="15.75" customHeight="1" x14ac:dyDescent="0.3">
      <c r="A1331" s="11"/>
      <c r="B1331" s="11"/>
      <c r="D1331" s="21"/>
      <c r="E1331" s="22"/>
      <c r="G1331" s="23"/>
      <c r="H1331" s="24"/>
      <c r="Q1331" s="2"/>
      <c r="R1331" s="2"/>
    </row>
    <row r="1332" spans="1:18" ht="15.75" customHeight="1" x14ac:dyDescent="0.3">
      <c r="A1332" s="11"/>
      <c r="B1332" s="11"/>
      <c r="D1332" s="21"/>
      <c r="E1332" s="22"/>
      <c r="G1332" s="23"/>
      <c r="H1332" s="24"/>
      <c r="Q1332" s="2"/>
      <c r="R1332" s="2"/>
    </row>
    <row r="1333" spans="1:18" ht="15.75" customHeight="1" x14ac:dyDescent="0.3">
      <c r="A1333" s="11"/>
      <c r="B1333" s="11"/>
      <c r="D1333" s="21"/>
      <c r="E1333" s="22"/>
      <c r="G1333" s="23"/>
      <c r="H1333" s="24"/>
      <c r="Q1333" s="2"/>
      <c r="R1333" s="2"/>
    </row>
    <row r="1334" spans="1:18" ht="15.75" customHeight="1" x14ac:dyDescent="0.3">
      <c r="A1334" s="11"/>
      <c r="B1334" s="11"/>
      <c r="D1334" s="21"/>
      <c r="E1334" s="22"/>
      <c r="G1334" s="23"/>
      <c r="H1334" s="24"/>
      <c r="Q1334" s="2"/>
      <c r="R1334" s="2"/>
    </row>
    <row r="1335" spans="1:18" ht="15.75" customHeight="1" x14ac:dyDescent="0.3">
      <c r="A1335" s="11"/>
      <c r="B1335" s="11"/>
      <c r="D1335" s="21"/>
      <c r="E1335" s="22"/>
      <c r="G1335" s="23"/>
      <c r="H1335" s="24"/>
      <c r="Q1335" s="2"/>
      <c r="R1335" s="2"/>
    </row>
    <row r="1336" spans="1:18" ht="15.75" customHeight="1" x14ac:dyDescent="0.3">
      <c r="A1336" s="11"/>
      <c r="B1336" s="11"/>
      <c r="D1336" s="21"/>
      <c r="E1336" s="22"/>
      <c r="G1336" s="23"/>
      <c r="H1336" s="24"/>
      <c r="Q1336" s="2"/>
      <c r="R1336" s="2"/>
    </row>
    <row r="1337" spans="1:18" ht="15.75" customHeight="1" x14ac:dyDescent="0.3">
      <c r="A1337" s="11"/>
      <c r="B1337" s="11"/>
      <c r="D1337" s="21"/>
      <c r="E1337" s="22"/>
      <c r="G1337" s="23"/>
      <c r="H1337" s="24"/>
      <c r="Q1337" s="2"/>
      <c r="R1337" s="2"/>
    </row>
    <row r="1338" spans="1:18" ht="15.75" customHeight="1" x14ac:dyDescent="0.3">
      <c r="A1338" s="11"/>
      <c r="B1338" s="11"/>
      <c r="D1338" s="21"/>
      <c r="E1338" s="22"/>
      <c r="G1338" s="23"/>
      <c r="H1338" s="24"/>
      <c r="Q1338" s="2"/>
      <c r="R1338" s="2"/>
    </row>
    <row r="1339" spans="1:18" ht="15.75" customHeight="1" x14ac:dyDescent="0.3">
      <c r="A1339" s="11"/>
      <c r="B1339" s="11"/>
      <c r="D1339" s="21"/>
      <c r="E1339" s="22"/>
      <c r="G1339" s="23"/>
      <c r="H1339" s="24"/>
      <c r="Q1339" s="2"/>
      <c r="R1339" s="2"/>
    </row>
    <row r="1340" spans="1:18" ht="15.75" customHeight="1" x14ac:dyDescent="0.3">
      <c r="A1340" s="11"/>
      <c r="B1340" s="11"/>
      <c r="D1340" s="21"/>
      <c r="E1340" s="22"/>
      <c r="G1340" s="23"/>
      <c r="H1340" s="24"/>
      <c r="Q1340" s="2"/>
      <c r="R1340" s="2"/>
    </row>
    <row r="1341" spans="1:18" ht="15.75" customHeight="1" x14ac:dyDescent="0.3">
      <c r="A1341" s="11"/>
      <c r="B1341" s="11"/>
      <c r="D1341" s="21"/>
      <c r="E1341" s="22"/>
      <c r="G1341" s="23"/>
      <c r="H1341" s="24"/>
      <c r="Q1341" s="2"/>
      <c r="R1341" s="2"/>
    </row>
    <row r="1342" spans="1:18" ht="15.75" customHeight="1" x14ac:dyDescent="0.3">
      <c r="A1342" s="11"/>
      <c r="B1342" s="11"/>
      <c r="D1342" s="21"/>
      <c r="E1342" s="22"/>
      <c r="G1342" s="23"/>
      <c r="H1342" s="24"/>
      <c r="Q1342" s="2"/>
      <c r="R1342" s="2"/>
    </row>
    <row r="1343" spans="1:18" ht="15.75" customHeight="1" x14ac:dyDescent="0.3">
      <c r="A1343" s="11"/>
      <c r="B1343" s="11"/>
      <c r="D1343" s="21"/>
      <c r="E1343" s="22"/>
      <c r="G1343" s="23"/>
      <c r="H1343" s="24"/>
      <c r="Q1343" s="2"/>
      <c r="R1343" s="2"/>
    </row>
    <row r="1344" spans="1:18" ht="15.75" customHeight="1" x14ac:dyDescent="0.3">
      <c r="A1344" s="11"/>
      <c r="B1344" s="11"/>
      <c r="D1344" s="21"/>
      <c r="E1344" s="22"/>
      <c r="G1344" s="23"/>
      <c r="H1344" s="24"/>
      <c r="Q1344" s="2"/>
      <c r="R1344" s="2"/>
    </row>
    <row r="1345" spans="1:18" ht="15.75" customHeight="1" x14ac:dyDescent="0.3">
      <c r="A1345" s="11"/>
      <c r="B1345" s="11"/>
      <c r="D1345" s="21"/>
      <c r="E1345" s="22"/>
      <c r="G1345" s="23"/>
      <c r="H1345" s="24"/>
      <c r="Q1345" s="2"/>
      <c r="R1345" s="2"/>
    </row>
    <row r="1346" spans="1:18" ht="15.75" customHeight="1" x14ac:dyDescent="0.3">
      <c r="A1346" s="11"/>
      <c r="B1346" s="11"/>
      <c r="D1346" s="21"/>
      <c r="E1346" s="22"/>
      <c r="G1346" s="23"/>
      <c r="H1346" s="24"/>
      <c r="Q1346" s="2"/>
      <c r="R1346" s="2"/>
    </row>
    <row r="1347" spans="1:18" ht="15.75" customHeight="1" x14ac:dyDescent="0.3">
      <c r="A1347" s="11"/>
      <c r="B1347" s="11"/>
      <c r="D1347" s="21"/>
      <c r="E1347" s="22"/>
      <c r="G1347" s="23"/>
      <c r="H1347" s="24"/>
      <c r="Q1347" s="2"/>
      <c r="R1347" s="2"/>
    </row>
    <row r="1348" spans="1:18" ht="15.75" customHeight="1" x14ac:dyDescent="0.3">
      <c r="A1348" s="11"/>
      <c r="B1348" s="11"/>
      <c r="D1348" s="21"/>
      <c r="E1348" s="22"/>
      <c r="G1348" s="23"/>
      <c r="H1348" s="24"/>
      <c r="Q1348" s="2"/>
      <c r="R1348" s="2"/>
    </row>
    <row r="1349" spans="1:18" ht="15.75" customHeight="1" x14ac:dyDescent="0.3">
      <c r="A1349" s="11"/>
      <c r="B1349" s="11"/>
      <c r="D1349" s="21"/>
      <c r="E1349" s="22"/>
      <c r="G1349" s="23"/>
      <c r="H1349" s="24"/>
      <c r="Q1349" s="2"/>
      <c r="R1349" s="2"/>
    </row>
    <row r="1350" spans="1:18" ht="15.75" customHeight="1" x14ac:dyDescent="0.3">
      <c r="A1350" s="11"/>
      <c r="B1350" s="11"/>
      <c r="D1350" s="21"/>
      <c r="E1350" s="22"/>
      <c r="G1350" s="23"/>
      <c r="H1350" s="24"/>
      <c r="Q1350" s="2"/>
      <c r="R1350" s="2"/>
    </row>
    <row r="1351" spans="1:18" ht="15.75" customHeight="1" x14ac:dyDescent="0.3">
      <c r="A1351" s="11"/>
      <c r="B1351" s="11"/>
      <c r="D1351" s="21"/>
      <c r="E1351" s="22"/>
      <c r="G1351" s="23"/>
      <c r="H1351" s="24"/>
      <c r="Q1351" s="2"/>
      <c r="R1351" s="2"/>
    </row>
    <row r="1352" spans="1:18" ht="15.75" customHeight="1" x14ac:dyDescent="0.3">
      <c r="A1352" s="11"/>
      <c r="B1352" s="11"/>
      <c r="D1352" s="21"/>
      <c r="E1352" s="22"/>
      <c r="G1352" s="23"/>
      <c r="H1352" s="24"/>
      <c r="Q1352" s="2"/>
      <c r="R1352" s="2"/>
    </row>
    <row r="1353" spans="1:18" ht="15.75" customHeight="1" x14ac:dyDescent="0.3">
      <c r="A1353" s="11"/>
      <c r="B1353" s="11"/>
      <c r="D1353" s="21"/>
      <c r="E1353" s="22"/>
      <c r="G1353" s="23"/>
      <c r="H1353" s="24"/>
      <c r="Q1353" s="2"/>
      <c r="R1353" s="2"/>
    </row>
    <row r="1354" spans="1:18" ht="15.75" customHeight="1" x14ac:dyDescent="0.3">
      <c r="A1354" s="11"/>
      <c r="B1354" s="11"/>
      <c r="D1354" s="21"/>
      <c r="E1354" s="22"/>
      <c r="G1354" s="23"/>
      <c r="H1354" s="24"/>
      <c r="Q1354" s="2"/>
      <c r="R1354" s="2"/>
    </row>
    <row r="1355" spans="1:18" ht="15.75" customHeight="1" x14ac:dyDescent="0.3">
      <c r="A1355" s="11"/>
      <c r="B1355" s="11"/>
      <c r="D1355" s="21"/>
      <c r="E1355" s="22"/>
      <c r="G1355" s="23"/>
      <c r="H1355" s="24"/>
      <c r="Q1355" s="2"/>
      <c r="R1355" s="2"/>
    </row>
    <row r="1356" spans="1:18" ht="15.75" customHeight="1" x14ac:dyDescent="0.3">
      <c r="A1356" s="11"/>
      <c r="B1356" s="11"/>
      <c r="D1356" s="21"/>
      <c r="E1356" s="22"/>
      <c r="G1356" s="23"/>
      <c r="H1356" s="24"/>
      <c r="Q1356" s="2"/>
      <c r="R1356" s="2"/>
    </row>
    <row r="1357" spans="1:18" ht="15.75" customHeight="1" x14ac:dyDescent="0.3">
      <c r="A1357" s="11"/>
      <c r="B1357" s="11"/>
      <c r="D1357" s="21"/>
      <c r="E1357" s="22"/>
      <c r="G1357" s="23"/>
      <c r="H1357" s="24"/>
      <c r="Q1357" s="2"/>
      <c r="R1357" s="2"/>
    </row>
    <row r="1358" spans="1:18" ht="15.75" customHeight="1" x14ac:dyDescent="0.3">
      <c r="A1358" s="11"/>
      <c r="B1358" s="11"/>
      <c r="D1358" s="21"/>
      <c r="E1358" s="22"/>
      <c r="G1358" s="23"/>
      <c r="H1358" s="24"/>
      <c r="Q1358" s="2"/>
      <c r="R1358" s="2"/>
    </row>
    <row r="1359" spans="1:18" ht="15.75" customHeight="1" x14ac:dyDescent="0.3">
      <c r="A1359" s="11"/>
      <c r="B1359" s="11"/>
      <c r="D1359" s="21"/>
      <c r="E1359" s="22"/>
      <c r="G1359" s="23"/>
      <c r="H1359" s="24"/>
      <c r="Q1359" s="2"/>
      <c r="R1359" s="2"/>
    </row>
    <row r="1360" spans="1:18" ht="15.75" customHeight="1" x14ac:dyDescent="0.3">
      <c r="A1360" s="11"/>
      <c r="B1360" s="11"/>
      <c r="D1360" s="21"/>
      <c r="E1360" s="22"/>
      <c r="G1360" s="23"/>
      <c r="H1360" s="24"/>
      <c r="Q1360" s="2"/>
      <c r="R1360" s="2"/>
    </row>
    <row r="1361" spans="1:18" ht="15.75" customHeight="1" x14ac:dyDescent="0.3">
      <c r="A1361" s="11"/>
      <c r="B1361" s="11"/>
      <c r="D1361" s="21"/>
      <c r="E1361" s="22"/>
      <c r="G1361" s="23"/>
      <c r="H1361" s="24"/>
      <c r="Q1361" s="2"/>
      <c r="R1361" s="2"/>
    </row>
    <row r="1362" spans="1:18" ht="15.75" customHeight="1" x14ac:dyDescent="0.3">
      <c r="A1362" s="11"/>
      <c r="B1362" s="11"/>
      <c r="D1362" s="21"/>
      <c r="E1362" s="22"/>
      <c r="G1362" s="23"/>
      <c r="H1362" s="24"/>
      <c r="Q1362" s="2"/>
      <c r="R1362" s="2"/>
    </row>
    <row r="1363" spans="1:18" ht="15.75" customHeight="1" x14ac:dyDescent="0.3">
      <c r="A1363" s="11"/>
      <c r="B1363" s="11"/>
      <c r="D1363" s="21"/>
      <c r="E1363" s="22"/>
      <c r="G1363" s="23"/>
      <c r="H1363" s="24"/>
      <c r="Q1363" s="2"/>
      <c r="R1363" s="2"/>
    </row>
    <row r="1364" spans="1:18" ht="15.75" customHeight="1" x14ac:dyDescent="0.3">
      <c r="A1364" s="11"/>
      <c r="B1364" s="11"/>
      <c r="D1364" s="21"/>
      <c r="E1364" s="22"/>
      <c r="G1364" s="23"/>
      <c r="H1364" s="24"/>
      <c r="Q1364" s="2"/>
      <c r="R1364" s="2"/>
    </row>
    <row r="1365" spans="1:18" ht="15.75" customHeight="1" x14ac:dyDescent="0.3">
      <c r="A1365" s="11"/>
      <c r="B1365" s="11"/>
      <c r="D1365" s="21"/>
      <c r="E1365" s="22"/>
      <c r="G1365" s="23"/>
      <c r="H1365" s="24"/>
      <c r="Q1365" s="2"/>
      <c r="R1365" s="2"/>
    </row>
    <row r="1366" spans="1:18" ht="15.75" customHeight="1" x14ac:dyDescent="0.3">
      <c r="A1366" s="11"/>
      <c r="B1366" s="11"/>
      <c r="D1366" s="21"/>
      <c r="E1366" s="22"/>
      <c r="G1366" s="23"/>
      <c r="H1366" s="24"/>
      <c r="Q1366" s="2"/>
      <c r="R1366" s="2"/>
    </row>
    <row r="1367" spans="1:18" ht="15.75" customHeight="1" x14ac:dyDescent="0.3">
      <c r="A1367" s="11"/>
      <c r="B1367" s="11"/>
      <c r="D1367" s="21"/>
      <c r="E1367" s="22"/>
      <c r="G1367" s="23"/>
      <c r="H1367" s="24"/>
      <c r="Q1367" s="2"/>
      <c r="R1367" s="2"/>
    </row>
    <row r="1368" spans="1:18" ht="15.75" customHeight="1" x14ac:dyDescent="0.3">
      <c r="A1368" s="11"/>
      <c r="B1368" s="11"/>
      <c r="D1368" s="21"/>
      <c r="E1368" s="22"/>
      <c r="G1368" s="23"/>
      <c r="H1368" s="24"/>
      <c r="Q1368" s="2"/>
      <c r="R1368" s="2"/>
    </row>
    <row r="1369" spans="1:18" ht="15.75" customHeight="1" x14ac:dyDescent="0.3">
      <c r="A1369" s="11"/>
      <c r="B1369" s="11"/>
      <c r="D1369" s="21"/>
      <c r="E1369" s="22"/>
      <c r="G1369" s="23"/>
      <c r="H1369" s="24"/>
      <c r="Q1369" s="2"/>
      <c r="R1369" s="2"/>
    </row>
    <row r="1370" spans="1:18" ht="15.75" customHeight="1" x14ac:dyDescent="0.3">
      <c r="A1370" s="11"/>
      <c r="B1370" s="11"/>
      <c r="D1370" s="21"/>
      <c r="E1370" s="22"/>
      <c r="G1370" s="23"/>
      <c r="H1370" s="24"/>
      <c r="Q1370" s="2"/>
      <c r="R1370" s="2"/>
    </row>
    <row r="1371" spans="1:18" ht="15.75" customHeight="1" x14ac:dyDescent="0.3">
      <c r="A1371" s="11"/>
      <c r="B1371" s="11"/>
      <c r="D1371" s="21"/>
      <c r="E1371" s="22"/>
      <c r="G1371" s="23"/>
      <c r="H1371" s="24"/>
      <c r="Q1371" s="2"/>
      <c r="R1371" s="2"/>
    </row>
    <row r="1372" spans="1:18" ht="15.75" customHeight="1" x14ac:dyDescent="0.3">
      <c r="A1372" s="11"/>
      <c r="B1372" s="11"/>
      <c r="D1372" s="21"/>
      <c r="E1372" s="22"/>
      <c r="G1372" s="23"/>
      <c r="H1372" s="24"/>
      <c r="Q1372" s="2"/>
      <c r="R1372" s="2"/>
    </row>
    <row r="1373" spans="1:18" ht="15.75" customHeight="1" x14ac:dyDescent="0.3">
      <c r="A1373" s="11"/>
      <c r="B1373" s="11"/>
      <c r="D1373" s="21"/>
      <c r="E1373" s="22"/>
      <c r="G1373" s="23"/>
      <c r="H1373" s="24"/>
      <c r="Q1373" s="2"/>
      <c r="R1373" s="2"/>
    </row>
    <row r="1374" spans="1:18" ht="15.75" customHeight="1" x14ac:dyDescent="0.3">
      <c r="A1374" s="11"/>
      <c r="B1374" s="11"/>
      <c r="D1374" s="21"/>
      <c r="E1374" s="22"/>
      <c r="G1374" s="23"/>
      <c r="H1374" s="24"/>
      <c r="Q1374" s="2"/>
      <c r="R1374" s="2"/>
    </row>
    <row r="1375" spans="1:18" ht="15.75" customHeight="1" x14ac:dyDescent="0.3">
      <c r="A1375" s="11"/>
      <c r="B1375" s="11"/>
      <c r="D1375" s="21"/>
      <c r="E1375" s="22"/>
      <c r="G1375" s="23"/>
      <c r="H1375" s="24"/>
      <c r="Q1375" s="2"/>
      <c r="R1375" s="2"/>
    </row>
    <row r="1376" spans="1:18" ht="15.75" customHeight="1" x14ac:dyDescent="0.3">
      <c r="A1376" s="11"/>
      <c r="B1376" s="11"/>
      <c r="D1376" s="21"/>
      <c r="E1376" s="22"/>
      <c r="G1376" s="23"/>
      <c r="H1376" s="24"/>
      <c r="Q1376" s="2"/>
      <c r="R1376" s="2"/>
    </row>
    <row r="1377" spans="1:18" ht="15.75" customHeight="1" x14ac:dyDescent="0.3">
      <c r="A1377" s="11"/>
      <c r="B1377" s="11"/>
      <c r="D1377" s="21"/>
      <c r="E1377" s="22"/>
      <c r="G1377" s="23"/>
      <c r="H1377" s="24"/>
      <c r="Q1377" s="2"/>
      <c r="R1377" s="2"/>
    </row>
    <row r="1378" spans="1:18" ht="15.75" customHeight="1" x14ac:dyDescent="0.3">
      <c r="A1378" s="11"/>
      <c r="B1378" s="11"/>
      <c r="D1378" s="21"/>
      <c r="E1378" s="22"/>
      <c r="G1378" s="23"/>
      <c r="H1378" s="24"/>
      <c r="Q1378" s="2"/>
      <c r="R1378" s="2"/>
    </row>
    <row r="1379" spans="1:18" ht="15.75" customHeight="1" x14ac:dyDescent="0.3">
      <c r="A1379" s="11"/>
      <c r="B1379" s="11"/>
      <c r="D1379" s="21"/>
      <c r="E1379" s="22"/>
      <c r="G1379" s="23"/>
      <c r="H1379" s="24"/>
      <c r="Q1379" s="2"/>
      <c r="R1379" s="2"/>
    </row>
    <row r="1380" spans="1:18" ht="15.75" customHeight="1" x14ac:dyDescent="0.3">
      <c r="A1380" s="11"/>
      <c r="B1380" s="11"/>
      <c r="D1380" s="21"/>
      <c r="E1380" s="22"/>
      <c r="G1380" s="23"/>
      <c r="H1380" s="24"/>
      <c r="Q1380" s="2"/>
      <c r="R1380" s="2"/>
    </row>
    <row r="1381" spans="1:18" ht="15.75" customHeight="1" x14ac:dyDescent="0.3">
      <c r="A1381" s="11"/>
      <c r="B1381" s="11"/>
      <c r="D1381" s="21"/>
      <c r="E1381" s="22"/>
      <c r="G1381" s="23"/>
      <c r="H1381" s="24"/>
      <c r="Q1381" s="2"/>
      <c r="R1381" s="2"/>
    </row>
    <row r="1382" spans="1:18" ht="15.75" customHeight="1" x14ac:dyDescent="0.3">
      <c r="A1382" s="11"/>
      <c r="B1382" s="11"/>
      <c r="D1382" s="21"/>
      <c r="E1382" s="22"/>
      <c r="G1382" s="23"/>
      <c r="H1382" s="24"/>
      <c r="Q1382" s="2"/>
      <c r="R1382" s="2"/>
    </row>
    <row r="1383" spans="1:18" ht="15.75" customHeight="1" x14ac:dyDescent="0.3">
      <c r="A1383" s="11"/>
      <c r="B1383" s="11"/>
      <c r="D1383" s="21"/>
      <c r="E1383" s="22"/>
      <c r="G1383" s="23"/>
      <c r="H1383" s="24"/>
      <c r="Q1383" s="2"/>
      <c r="R1383" s="2"/>
    </row>
    <row r="1384" spans="1:18" ht="15.75" customHeight="1" x14ac:dyDescent="0.3">
      <c r="A1384" s="11"/>
      <c r="B1384" s="11"/>
      <c r="D1384" s="21"/>
      <c r="E1384" s="22"/>
      <c r="G1384" s="23"/>
      <c r="H1384" s="24"/>
      <c r="Q1384" s="2"/>
      <c r="R1384" s="2"/>
    </row>
    <row r="1385" spans="1:18" ht="15.75" customHeight="1" x14ac:dyDescent="0.3">
      <c r="A1385" s="11"/>
      <c r="B1385" s="11"/>
      <c r="D1385" s="21"/>
      <c r="E1385" s="22"/>
      <c r="G1385" s="23"/>
      <c r="H1385" s="24"/>
      <c r="Q1385" s="2"/>
      <c r="R1385" s="2"/>
    </row>
    <row r="1386" spans="1:18" ht="15.75" customHeight="1" x14ac:dyDescent="0.3">
      <c r="A1386" s="11"/>
      <c r="B1386" s="11"/>
      <c r="D1386" s="21"/>
      <c r="E1386" s="22"/>
      <c r="G1386" s="23"/>
      <c r="H1386" s="24"/>
      <c r="Q1386" s="2"/>
      <c r="R1386" s="2"/>
    </row>
    <row r="1387" spans="1:18" ht="15.75" customHeight="1" x14ac:dyDescent="0.3">
      <c r="A1387" s="11"/>
      <c r="B1387" s="11"/>
      <c r="D1387" s="21"/>
      <c r="E1387" s="22"/>
      <c r="G1387" s="23"/>
      <c r="H1387" s="24"/>
      <c r="Q1387" s="2"/>
      <c r="R1387" s="2"/>
    </row>
    <row r="1388" spans="1:18" ht="15.75" customHeight="1" x14ac:dyDescent="0.3">
      <c r="A1388" s="11"/>
      <c r="B1388" s="11"/>
      <c r="D1388" s="21"/>
      <c r="E1388" s="22"/>
      <c r="G1388" s="23"/>
      <c r="H1388" s="24"/>
      <c r="Q1388" s="2"/>
      <c r="R1388" s="2"/>
    </row>
    <row r="1389" spans="1:18" ht="15.75" customHeight="1" x14ac:dyDescent="0.3">
      <c r="A1389" s="11"/>
      <c r="B1389" s="11"/>
      <c r="D1389" s="21"/>
      <c r="E1389" s="22"/>
      <c r="G1389" s="23"/>
      <c r="H1389" s="24"/>
      <c r="Q1389" s="2"/>
      <c r="R1389" s="2"/>
    </row>
    <row r="1390" spans="1:18" ht="15.75" customHeight="1" x14ac:dyDescent="0.3">
      <c r="A1390" s="11"/>
      <c r="B1390" s="11"/>
      <c r="D1390" s="21"/>
      <c r="E1390" s="22"/>
      <c r="G1390" s="23"/>
      <c r="H1390" s="24"/>
      <c r="Q1390" s="2"/>
      <c r="R1390" s="2"/>
    </row>
    <row r="1391" spans="1:18" ht="15.75" customHeight="1" x14ac:dyDescent="0.3">
      <c r="A1391" s="11"/>
      <c r="B1391" s="11"/>
      <c r="D1391" s="21"/>
      <c r="E1391" s="22"/>
      <c r="G1391" s="23"/>
      <c r="H1391" s="24"/>
      <c r="Q1391" s="2"/>
      <c r="R1391" s="2"/>
    </row>
    <row r="1392" spans="1:18" ht="15.75" customHeight="1" x14ac:dyDescent="0.3">
      <c r="A1392" s="11"/>
      <c r="B1392" s="11"/>
      <c r="D1392" s="21"/>
      <c r="E1392" s="22"/>
      <c r="G1392" s="23"/>
      <c r="H1392" s="24"/>
      <c r="Q1392" s="2"/>
      <c r="R1392" s="2"/>
    </row>
    <row r="1393" spans="1:18" ht="15.75" customHeight="1" x14ac:dyDescent="0.3">
      <c r="A1393" s="11"/>
      <c r="B1393" s="11"/>
      <c r="D1393" s="21"/>
      <c r="E1393" s="22"/>
      <c r="G1393" s="23"/>
      <c r="H1393" s="24"/>
      <c r="Q1393" s="2"/>
      <c r="R1393" s="2"/>
    </row>
    <row r="1394" spans="1:18" ht="15.75" customHeight="1" x14ac:dyDescent="0.3">
      <c r="A1394" s="11"/>
      <c r="B1394" s="11"/>
      <c r="D1394" s="21"/>
      <c r="E1394" s="22"/>
      <c r="G1394" s="23"/>
      <c r="H1394" s="24"/>
      <c r="Q1394" s="2"/>
      <c r="R1394" s="2"/>
    </row>
    <row r="1395" spans="1:18" ht="15.75" customHeight="1" x14ac:dyDescent="0.3">
      <c r="A1395" s="11"/>
      <c r="B1395" s="11"/>
      <c r="D1395" s="21"/>
      <c r="E1395" s="22"/>
      <c r="G1395" s="23"/>
      <c r="H1395" s="24"/>
      <c r="Q1395" s="2"/>
      <c r="R1395" s="2"/>
    </row>
    <row r="1396" spans="1:18" ht="15.75" customHeight="1" x14ac:dyDescent="0.3">
      <c r="A1396" s="11"/>
      <c r="B1396" s="11"/>
      <c r="D1396" s="21"/>
      <c r="E1396" s="22"/>
      <c r="G1396" s="23"/>
      <c r="H1396" s="24"/>
      <c r="Q1396" s="2"/>
      <c r="R1396" s="2"/>
    </row>
    <row r="1397" spans="1:18" ht="15.75" customHeight="1" x14ac:dyDescent="0.3">
      <c r="A1397" s="11"/>
      <c r="B1397" s="11"/>
      <c r="D1397" s="21"/>
      <c r="E1397" s="22"/>
      <c r="G1397" s="23"/>
      <c r="H1397" s="24"/>
      <c r="Q1397" s="2"/>
      <c r="R1397" s="2"/>
    </row>
    <row r="1398" spans="1:18" ht="15.75" customHeight="1" x14ac:dyDescent="0.3">
      <c r="A1398" s="11"/>
      <c r="B1398" s="11"/>
      <c r="D1398" s="21"/>
      <c r="E1398" s="22"/>
      <c r="G1398" s="23"/>
      <c r="H1398" s="24"/>
      <c r="Q1398" s="2"/>
      <c r="R1398" s="2"/>
    </row>
    <row r="1399" spans="1:18" ht="15.75" customHeight="1" x14ac:dyDescent="0.3">
      <c r="A1399" s="11"/>
      <c r="B1399" s="11"/>
      <c r="D1399" s="21"/>
      <c r="E1399" s="22"/>
      <c r="G1399" s="23"/>
      <c r="H1399" s="24"/>
      <c r="Q1399" s="2"/>
      <c r="R1399" s="2"/>
    </row>
    <row r="1400" spans="1:18" ht="15.75" customHeight="1" x14ac:dyDescent="0.3">
      <c r="A1400" s="11"/>
      <c r="B1400" s="11"/>
      <c r="D1400" s="21"/>
      <c r="E1400" s="22"/>
      <c r="G1400" s="23"/>
      <c r="H1400" s="24"/>
      <c r="Q1400" s="2"/>
      <c r="R1400" s="2"/>
    </row>
    <row r="1401" spans="1:18" ht="15.75" customHeight="1" x14ac:dyDescent="0.3">
      <c r="A1401" s="11"/>
      <c r="B1401" s="11"/>
      <c r="D1401" s="21"/>
      <c r="E1401" s="22"/>
      <c r="G1401" s="23"/>
      <c r="H1401" s="24"/>
      <c r="Q1401" s="2"/>
      <c r="R1401" s="2"/>
    </row>
    <row r="1402" spans="1:18" ht="15.75" customHeight="1" x14ac:dyDescent="0.3">
      <c r="A1402" s="11"/>
      <c r="B1402" s="11"/>
      <c r="D1402" s="21"/>
      <c r="E1402" s="22"/>
      <c r="G1402" s="23"/>
      <c r="H1402" s="24"/>
      <c r="Q1402" s="2"/>
      <c r="R1402" s="2"/>
    </row>
    <row r="1403" spans="1:18" ht="15.75" customHeight="1" x14ac:dyDescent="0.3">
      <c r="A1403" s="11"/>
      <c r="B1403" s="11"/>
      <c r="D1403" s="21"/>
      <c r="E1403" s="22"/>
      <c r="G1403" s="23"/>
      <c r="H1403" s="24"/>
      <c r="Q1403" s="2"/>
      <c r="R1403" s="2"/>
    </row>
    <row r="1404" spans="1:18" ht="15.75" customHeight="1" x14ac:dyDescent="0.3">
      <c r="A1404" s="11"/>
      <c r="B1404" s="11"/>
      <c r="D1404" s="21"/>
      <c r="E1404" s="22"/>
      <c r="G1404" s="23"/>
      <c r="H1404" s="24"/>
      <c r="Q1404" s="2"/>
      <c r="R1404" s="2"/>
    </row>
    <row r="1405" spans="1:18" ht="15.75" customHeight="1" x14ac:dyDescent="0.3">
      <c r="A1405" s="11"/>
      <c r="B1405" s="11"/>
      <c r="D1405" s="21"/>
      <c r="E1405" s="22"/>
      <c r="G1405" s="23"/>
      <c r="H1405" s="24"/>
      <c r="Q1405" s="2"/>
      <c r="R1405" s="2"/>
    </row>
    <row r="1406" spans="1:18" ht="15.75" customHeight="1" x14ac:dyDescent="0.3">
      <c r="A1406" s="11"/>
      <c r="B1406" s="11"/>
      <c r="D1406" s="21"/>
      <c r="E1406" s="22"/>
      <c r="G1406" s="23"/>
      <c r="H1406" s="24"/>
      <c r="Q1406" s="2"/>
      <c r="R1406" s="2"/>
    </row>
    <row r="1407" spans="1:18" ht="15.75" customHeight="1" x14ac:dyDescent="0.3">
      <c r="A1407" s="11"/>
      <c r="B1407" s="11"/>
      <c r="D1407" s="21"/>
      <c r="E1407" s="22"/>
      <c r="G1407" s="23"/>
      <c r="H1407" s="24"/>
      <c r="Q1407" s="2"/>
      <c r="R1407" s="2"/>
    </row>
    <row r="1408" spans="1:18" ht="15.75" customHeight="1" x14ac:dyDescent="0.3">
      <c r="A1408" s="11"/>
      <c r="B1408" s="11"/>
      <c r="D1408" s="21"/>
      <c r="E1408" s="22"/>
      <c r="G1408" s="23"/>
      <c r="H1408" s="24"/>
      <c r="Q1408" s="2"/>
      <c r="R1408" s="2"/>
    </row>
    <row r="1409" spans="1:18" ht="15.75" customHeight="1" x14ac:dyDescent="0.3">
      <c r="A1409" s="11"/>
      <c r="B1409" s="11"/>
      <c r="D1409" s="21"/>
      <c r="E1409" s="22"/>
      <c r="G1409" s="23"/>
      <c r="H1409" s="24"/>
      <c r="Q1409" s="2"/>
      <c r="R1409" s="2"/>
    </row>
    <row r="1410" spans="1:18" ht="15.75" customHeight="1" x14ac:dyDescent="0.3">
      <c r="A1410" s="11"/>
      <c r="B1410" s="11"/>
      <c r="D1410" s="21"/>
      <c r="E1410" s="22"/>
      <c r="G1410" s="23"/>
      <c r="H1410" s="24"/>
      <c r="Q1410" s="2"/>
      <c r="R1410" s="2"/>
    </row>
    <row r="1411" spans="1:18" ht="15.75" customHeight="1" x14ac:dyDescent="0.3">
      <c r="A1411" s="11"/>
      <c r="B1411" s="11"/>
      <c r="D1411" s="21"/>
      <c r="E1411" s="22"/>
      <c r="G1411" s="23"/>
      <c r="H1411" s="24"/>
      <c r="Q1411" s="2"/>
      <c r="R1411" s="2"/>
    </row>
    <row r="1412" spans="1:18" ht="15.75" customHeight="1" x14ac:dyDescent="0.3">
      <c r="A1412" s="11"/>
      <c r="B1412" s="11"/>
      <c r="D1412" s="21"/>
      <c r="E1412" s="22"/>
      <c r="G1412" s="23"/>
      <c r="H1412" s="24"/>
      <c r="Q1412" s="2"/>
      <c r="R1412" s="2"/>
    </row>
    <row r="1413" spans="1:18" ht="15.75" customHeight="1" x14ac:dyDescent="0.3">
      <c r="A1413" s="11"/>
      <c r="B1413" s="11"/>
      <c r="D1413" s="21"/>
      <c r="E1413" s="22"/>
      <c r="G1413" s="23"/>
      <c r="H1413" s="24"/>
      <c r="Q1413" s="2"/>
      <c r="R1413" s="2"/>
    </row>
    <row r="1414" spans="1:18" ht="15.75" customHeight="1" x14ac:dyDescent="0.3">
      <c r="A1414" s="11"/>
      <c r="B1414" s="11"/>
      <c r="D1414" s="21"/>
      <c r="E1414" s="22"/>
      <c r="G1414" s="23"/>
      <c r="H1414" s="24"/>
      <c r="Q1414" s="2"/>
      <c r="R1414" s="2"/>
    </row>
    <row r="1415" spans="1:18" ht="15.75" customHeight="1" x14ac:dyDescent="0.3">
      <c r="A1415" s="11"/>
      <c r="B1415" s="11"/>
      <c r="D1415" s="21"/>
      <c r="E1415" s="22"/>
      <c r="G1415" s="23"/>
      <c r="H1415" s="24"/>
      <c r="Q1415" s="2"/>
      <c r="R1415" s="2"/>
    </row>
    <row r="1416" spans="1:18" ht="15.75" customHeight="1" x14ac:dyDescent="0.3">
      <c r="A1416" s="11"/>
      <c r="B1416" s="11"/>
      <c r="D1416" s="21"/>
      <c r="E1416" s="22"/>
      <c r="G1416" s="23"/>
      <c r="H1416" s="24"/>
      <c r="Q1416" s="2"/>
      <c r="R1416" s="2"/>
    </row>
    <row r="1417" spans="1:18" ht="15.75" customHeight="1" x14ac:dyDescent="0.3">
      <c r="A1417" s="11"/>
      <c r="B1417" s="11"/>
      <c r="D1417" s="21"/>
      <c r="E1417" s="22"/>
      <c r="G1417" s="23"/>
      <c r="H1417" s="24"/>
      <c r="Q1417" s="2"/>
      <c r="R1417" s="2"/>
    </row>
    <row r="1418" spans="1:18" ht="15.75" customHeight="1" x14ac:dyDescent="0.3">
      <c r="A1418" s="11"/>
      <c r="B1418" s="11"/>
      <c r="D1418" s="21"/>
      <c r="E1418" s="22"/>
      <c r="G1418" s="23"/>
      <c r="H1418" s="24"/>
      <c r="Q1418" s="2"/>
      <c r="R1418" s="2"/>
    </row>
    <row r="1419" spans="1:18" ht="15.75" customHeight="1" x14ac:dyDescent="0.3">
      <c r="A1419" s="11"/>
      <c r="B1419" s="11"/>
      <c r="D1419" s="21"/>
      <c r="E1419" s="22"/>
      <c r="G1419" s="23"/>
      <c r="H1419" s="24"/>
      <c r="Q1419" s="2"/>
      <c r="R1419" s="2"/>
    </row>
    <row r="1420" spans="1:18" ht="15.75" customHeight="1" x14ac:dyDescent="0.3">
      <c r="A1420" s="11"/>
      <c r="B1420" s="11"/>
      <c r="D1420" s="21"/>
      <c r="E1420" s="22"/>
      <c r="G1420" s="23"/>
      <c r="H1420" s="24"/>
      <c r="Q1420" s="2"/>
      <c r="R1420" s="2"/>
    </row>
    <row r="1421" spans="1:18" ht="15.75" customHeight="1" x14ac:dyDescent="0.3">
      <c r="A1421" s="11"/>
      <c r="B1421" s="11"/>
      <c r="D1421" s="21"/>
      <c r="E1421" s="22"/>
      <c r="G1421" s="23"/>
      <c r="H1421" s="24"/>
      <c r="Q1421" s="2"/>
      <c r="R1421" s="2"/>
    </row>
    <row r="1422" spans="1:18" ht="15.75" customHeight="1" x14ac:dyDescent="0.3">
      <c r="A1422" s="11"/>
      <c r="B1422" s="11"/>
      <c r="D1422" s="21"/>
      <c r="E1422" s="22"/>
      <c r="G1422" s="23"/>
      <c r="H1422" s="24"/>
      <c r="Q1422" s="2"/>
      <c r="R1422" s="2"/>
    </row>
    <row r="1423" spans="1:18" ht="15.75" customHeight="1" x14ac:dyDescent="0.3">
      <c r="A1423" s="11"/>
      <c r="B1423" s="11"/>
      <c r="D1423" s="21"/>
      <c r="E1423" s="22"/>
      <c r="G1423" s="23"/>
      <c r="H1423" s="24"/>
      <c r="Q1423" s="2"/>
      <c r="R1423" s="2"/>
    </row>
    <row r="1424" spans="1:18" ht="15.75" customHeight="1" x14ac:dyDescent="0.3">
      <c r="A1424" s="11"/>
      <c r="B1424" s="11"/>
      <c r="D1424" s="21"/>
      <c r="E1424" s="22"/>
      <c r="G1424" s="23"/>
      <c r="H1424" s="24"/>
      <c r="Q1424" s="2"/>
      <c r="R1424" s="2"/>
    </row>
    <row r="1425" spans="1:18" ht="15.75" customHeight="1" x14ac:dyDescent="0.3">
      <c r="A1425" s="11"/>
      <c r="B1425" s="11"/>
      <c r="D1425" s="21"/>
      <c r="E1425" s="22"/>
      <c r="G1425" s="23"/>
      <c r="H1425" s="24"/>
      <c r="Q1425" s="2"/>
      <c r="R1425" s="2"/>
    </row>
    <row r="1426" spans="1:18" ht="15.75" customHeight="1" x14ac:dyDescent="0.3">
      <c r="A1426" s="11"/>
      <c r="B1426" s="11"/>
      <c r="D1426" s="21"/>
      <c r="E1426" s="22"/>
      <c r="G1426" s="23"/>
      <c r="H1426" s="24"/>
      <c r="Q1426" s="2"/>
      <c r="R1426" s="2"/>
    </row>
    <row r="1427" spans="1:18" ht="15.75" customHeight="1" x14ac:dyDescent="0.3">
      <c r="A1427" s="11"/>
      <c r="B1427" s="11"/>
      <c r="D1427" s="21"/>
      <c r="E1427" s="22"/>
      <c r="G1427" s="23"/>
      <c r="H1427" s="24"/>
      <c r="Q1427" s="2"/>
      <c r="R1427" s="2"/>
    </row>
    <row r="1428" spans="1:18" ht="15.75" customHeight="1" x14ac:dyDescent="0.3">
      <c r="A1428" s="11"/>
      <c r="B1428" s="11"/>
      <c r="D1428" s="21"/>
      <c r="E1428" s="22"/>
      <c r="G1428" s="23"/>
      <c r="H1428" s="24"/>
      <c r="Q1428" s="2"/>
      <c r="R1428" s="2"/>
    </row>
    <row r="1429" spans="1:18" ht="15.75" customHeight="1" x14ac:dyDescent="0.3">
      <c r="A1429" s="11"/>
      <c r="B1429" s="11"/>
      <c r="D1429" s="21"/>
      <c r="E1429" s="22"/>
      <c r="G1429" s="23"/>
      <c r="H1429" s="24"/>
      <c r="Q1429" s="2"/>
      <c r="R1429" s="2"/>
    </row>
    <row r="1430" spans="1:18" ht="15.75" customHeight="1" x14ac:dyDescent="0.3">
      <c r="A1430" s="11"/>
      <c r="B1430" s="11"/>
      <c r="D1430" s="21"/>
      <c r="E1430" s="22"/>
      <c r="G1430" s="23"/>
      <c r="H1430" s="24"/>
      <c r="Q1430" s="2"/>
      <c r="R1430" s="2"/>
    </row>
    <row r="1431" spans="1:18" ht="15.75" customHeight="1" x14ac:dyDescent="0.3">
      <c r="A1431" s="11"/>
      <c r="B1431" s="11"/>
      <c r="D1431" s="21"/>
      <c r="E1431" s="22"/>
      <c r="G1431" s="23"/>
      <c r="H1431" s="24"/>
      <c r="Q1431" s="2"/>
      <c r="R1431" s="2"/>
    </row>
    <row r="1432" spans="1:18" ht="15.75" customHeight="1" x14ac:dyDescent="0.3">
      <c r="A1432" s="11"/>
      <c r="B1432" s="11"/>
      <c r="D1432" s="21"/>
      <c r="E1432" s="22"/>
      <c r="G1432" s="23"/>
      <c r="H1432" s="24"/>
      <c r="Q1432" s="2"/>
      <c r="R1432" s="2"/>
    </row>
    <row r="1433" spans="1:18" ht="15.75" customHeight="1" x14ac:dyDescent="0.3">
      <c r="A1433" s="11"/>
      <c r="B1433" s="11"/>
      <c r="D1433" s="21"/>
      <c r="E1433" s="22"/>
      <c r="G1433" s="23"/>
      <c r="H1433" s="24"/>
      <c r="Q1433" s="2"/>
      <c r="R1433" s="2"/>
    </row>
    <row r="1434" spans="1:18" ht="15.75" customHeight="1" x14ac:dyDescent="0.3">
      <c r="A1434" s="11"/>
      <c r="B1434" s="11"/>
      <c r="D1434" s="21"/>
      <c r="E1434" s="22"/>
      <c r="G1434" s="23"/>
      <c r="H1434" s="24"/>
      <c r="Q1434" s="2"/>
      <c r="R1434" s="2"/>
    </row>
    <row r="1435" spans="1:18" ht="15.75" customHeight="1" x14ac:dyDescent="0.3">
      <c r="A1435" s="11"/>
      <c r="B1435" s="11"/>
      <c r="D1435" s="21"/>
      <c r="E1435" s="22"/>
      <c r="G1435" s="23"/>
      <c r="H1435" s="24"/>
      <c r="Q1435" s="2"/>
      <c r="R1435" s="2"/>
    </row>
    <row r="1436" spans="1:18" ht="15.75" customHeight="1" x14ac:dyDescent="0.3">
      <c r="A1436" s="11"/>
      <c r="B1436" s="11"/>
      <c r="D1436" s="21"/>
      <c r="E1436" s="22"/>
      <c r="G1436" s="23"/>
      <c r="H1436" s="24"/>
      <c r="Q1436" s="2"/>
      <c r="R1436" s="2"/>
    </row>
    <row r="1437" spans="1:18" ht="15.75" customHeight="1" x14ac:dyDescent="0.3">
      <c r="A1437" s="11"/>
      <c r="B1437" s="11"/>
      <c r="D1437" s="21"/>
      <c r="E1437" s="22"/>
      <c r="G1437" s="23"/>
      <c r="H1437" s="24"/>
      <c r="Q1437" s="2"/>
      <c r="R1437" s="2"/>
    </row>
    <row r="1438" spans="1:18" ht="15.75" customHeight="1" x14ac:dyDescent="0.3">
      <c r="A1438" s="11"/>
      <c r="B1438" s="11"/>
      <c r="D1438" s="21"/>
      <c r="E1438" s="22"/>
      <c r="G1438" s="23"/>
      <c r="H1438" s="24"/>
      <c r="Q1438" s="2"/>
      <c r="R1438" s="2"/>
    </row>
    <row r="1439" spans="1:18" ht="15.75" customHeight="1" x14ac:dyDescent="0.3">
      <c r="A1439" s="11"/>
      <c r="B1439" s="11"/>
      <c r="D1439" s="21"/>
      <c r="E1439" s="22"/>
      <c r="G1439" s="23"/>
      <c r="H1439" s="24"/>
      <c r="Q1439" s="2"/>
      <c r="R1439" s="2"/>
    </row>
    <row r="1440" spans="1:18" ht="15.75" customHeight="1" x14ac:dyDescent="0.3">
      <c r="A1440" s="11"/>
      <c r="B1440" s="11"/>
      <c r="D1440" s="21"/>
      <c r="E1440" s="22"/>
      <c r="G1440" s="23"/>
      <c r="H1440" s="24"/>
      <c r="Q1440" s="2"/>
      <c r="R1440" s="2"/>
    </row>
    <row r="1441" spans="1:18" ht="15.75" customHeight="1" x14ac:dyDescent="0.3">
      <c r="A1441" s="11"/>
      <c r="B1441" s="11"/>
      <c r="D1441" s="21"/>
      <c r="E1441" s="22"/>
      <c r="G1441" s="23"/>
      <c r="H1441" s="24"/>
      <c r="Q1441" s="2"/>
      <c r="R1441" s="2"/>
    </row>
    <row r="1442" spans="1:18" ht="15.75" customHeight="1" x14ac:dyDescent="0.3">
      <c r="A1442" s="11"/>
      <c r="B1442" s="11"/>
      <c r="D1442" s="21"/>
      <c r="E1442" s="22"/>
      <c r="G1442" s="23"/>
      <c r="H1442" s="24"/>
      <c r="Q1442" s="2"/>
      <c r="R1442" s="2"/>
    </row>
    <row r="1443" spans="1:18" ht="15.75" customHeight="1" x14ac:dyDescent="0.3">
      <c r="A1443" s="11"/>
      <c r="B1443" s="11"/>
      <c r="D1443" s="21"/>
      <c r="E1443" s="22"/>
      <c r="G1443" s="23"/>
      <c r="H1443" s="24"/>
      <c r="Q1443" s="2"/>
      <c r="R1443" s="2"/>
    </row>
    <row r="1444" spans="1:18" ht="15.75" customHeight="1" x14ac:dyDescent="0.3">
      <c r="A1444" s="11"/>
      <c r="B1444" s="11"/>
      <c r="D1444" s="21"/>
      <c r="E1444" s="22"/>
      <c r="G1444" s="23"/>
      <c r="H1444" s="24"/>
      <c r="Q1444" s="2"/>
      <c r="R1444" s="2"/>
    </row>
    <row r="1445" spans="1:18" ht="15.75" customHeight="1" x14ac:dyDescent="0.3">
      <c r="A1445" s="11"/>
      <c r="B1445" s="11"/>
      <c r="D1445" s="21"/>
      <c r="E1445" s="22"/>
      <c r="G1445" s="23"/>
      <c r="H1445" s="24"/>
      <c r="Q1445" s="2"/>
      <c r="R1445" s="2"/>
    </row>
    <row r="1446" spans="1:18" ht="15.75" customHeight="1" x14ac:dyDescent="0.3">
      <c r="A1446" s="11"/>
      <c r="B1446" s="11"/>
      <c r="D1446" s="21"/>
      <c r="E1446" s="22"/>
      <c r="G1446" s="23"/>
      <c r="H1446" s="24"/>
      <c r="Q1446" s="2"/>
      <c r="R1446" s="2"/>
    </row>
    <row r="1447" spans="1:18" ht="15.75" customHeight="1" x14ac:dyDescent="0.3">
      <c r="A1447" s="11"/>
      <c r="B1447" s="11"/>
      <c r="D1447" s="21"/>
      <c r="E1447" s="22"/>
      <c r="G1447" s="23"/>
      <c r="H1447" s="24"/>
      <c r="Q1447" s="2"/>
      <c r="R1447" s="2"/>
    </row>
    <row r="1448" spans="1:18" ht="15.75" customHeight="1" x14ac:dyDescent="0.3">
      <c r="A1448" s="11"/>
      <c r="B1448" s="11"/>
      <c r="D1448" s="21"/>
      <c r="E1448" s="22"/>
      <c r="G1448" s="23"/>
      <c r="H1448" s="24"/>
      <c r="Q1448" s="2"/>
      <c r="R1448" s="2"/>
    </row>
    <row r="1449" spans="1:18" ht="15.75" customHeight="1" x14ac:dyDescent="0.3">
      <c r="A1449" s="11"/>
      <c r="B1449" s="11"/>
      <c r="D1449" s="21"/>
      <c r="E1449" s="22"/>
      <c r="G1449" s="23"/>
      <c r="H1449" s="24"/>
      <c r="Q1449" s="2"/>
      <c r="R1449" s="2"/>
    </row>
    <row r="1450" spans="1:18" ht="15.75" customHeight="1" x14ac:dyDescent="0.3">
      <c r="A1450" s="11"/>
      <c r="B1450" s="11"/>
      <c r="D1450" s="21"/>
      <c r="E1450" s="22"/>
      <c r="G1450" s="23"/>
      <c r="H1450" s="24"/>
      <c r="Q1450" s="2"/>
      <c r="R1450" s="2"/>
    </row>
    <row r="1451" spans="1:18" ht="15.75" customHeight="1" x14ac:dyDescent="0.3">
      <c r="A1451" s="11"/>
      <c r="B1451" s="11"/>
      <c r="D1451" s="21"/>
      <c r="E1451" s="22"/>
      <c r="G1451" s="23"/>
      <c r="H1451" s="24"/>
      <c r="Q1451" s="2"/>
      <c r="R1451" s="2"/>
    </row>
    <row r="1452" spans="1:18" ht="15.75" customHeight="1" x14ac:dyDescent="0.3">
      <c r="A1452" s="11"/>
      <c r="B1452" s="11"/>
      <c r="D1452" s="21"/>
      <c r="E1452" s="22"/>
      <c r="G1452" s="23"/>
      <c r="H1452" s="24"/>
      <c r="Q1452" s="2"/>
      <c r="R1452" s="2"/>
    </row>
    <row r="1453" spans="1:18" ht="15.75" customHeight="1" x14ac:dyDescent="0.3">
      <c r="A1453" s="11"/>
      <c r="B1453" s="11"/>
      <c r="D1453" s="21"/>
      <c r="E1453" s="22"/>
      <c r="G1453" s="23"/>
      <c r="H1453" s="24"/>
      <c r="Q1453" s="2"/>
      <c r="R1453" s="2"/>
    </row>
    <row r="1454" spans="1:18" ht="15.75" customHeight="1" x14ac:dyDescent="0.3">
      <c r="A1454" s="11"/>
      <c r="B1454" s="11"/>
      <c r="D1454" s="21"/>
      <c r="E1454" s="22"/>
      <c r="G1454" s="23"/>
      <c r="H1454" s="24"/>
      <c r="Q1454" s="2"/>
      <c r="R1454" s="2"/>
    </row>
    <row r="1455" spans="1:18" ht="15.75" customHeight="1" x14ac:dyDescent="0.3">
      <c r="A1455" s="11"/>
      <c r="B1455" s="11"/>
      <c r="D1455" s="21"/>
      <c r="E1455" s="22"/>
      <c r="G1455" s="23"/>
      <c r="H1455" s="24"/>
      <c r="Q1455" s="2"/>
      <c r="R1455" s="2"/>
    </row>
    <row r="1456" spans="1:18" ht="15.75" customHeight="1" x14ac:dyDescent="0.3">
      <c r="A1456" s="11"/>
      <c r="B1456" s="11"/>
      <c r="D1456" s="21"/>
      <c r="E1456" s="22"/>
      <c r="G1456" s="23"/>
      <c r="H1456" s="24"/>
      <c r="Q1456" s="2"/>
      <c r="R1456" s="2"/>
    </row>
    <row r="1457" spans="1:18" ht="15.75" customHeight="1" x14ac:dyDescent="0.3">
      <c r="A1457" s="11"/>
      <c r="B1457" s="11"/>
      <c r="D1457" s="21"/>
      <c r="E1457" s="22"/>
      <c r="G1457" s="23"/>
      <c r="H1457" s="24"/>
      <c r="Q1457" s="2"/>
      <c r="R1457" s="2"/>
    </row>
    <row r="1458" spans="1:18" ht="15.75" customHeight="1" x14ac:dyDescent="0.3">
      <c r="A1458" s="11"/>
      <c r="B1458" s="11"/>
      <c r="D1458" s="21"/>
      <c r="E1458" s="22"/>
      <c r="G1458" s="23"/>
      <c r="H1458" s="24"/>
      <c r="Q1458" s="2"/>
      <c r="R1458" s="2"/>
    </row>
    <row r="1459" spans="1:18" ht="15.75" customHeight="1" x14ac:dyDescent="0.3">
      <c r="A1459" s="11"/>
      <c r="B1459" s="11"/>
      <c r="D1459" s="21"/>
      <c r="E1459" s="22"/>
      <c r="G1459" s="23"/>
      <c r="H1459" s="24"/>
      <c r="Q1459" s="2"/>
      <c r="R1459" s="2"/>
    </row>
    <row r="1460" spans="1:18" ht="15.75" customHeight="1" x14ac:dyDescent="0.3">
      <c r="A1460" s="11"/>
      <c r="B1460" s="11"/>
      <c r="D1460" s="21"/>
      <c r="E1460" s="22"/>
      <c r="G1460" s="23"/>
      <c r="H1460" s="24"/>
      <c r="Q1460" s="2"/>
      <c r="R1460" s="2"/>
    </row>
    <row r="1461" spans="1:18" ht="15.75" customHeight="1" x14ac:dyDescent="0.3">
      <c r="A1461" s="11"/>
      <c r="B1461" s="11"/>
      <c r="D1461" s="21"/>
      <c r="E1461" s="22"/>
      <c r="G1461" s="23"/>
      <c r="H1461" s="24"/>
      <c r="Q1461" s="2"/>
      <c r="R1461" s="2"/>
    </row>
    <row r="1462" spans="1:18" ht="15.75" customHeight="1" x14ac:dyDescent="0.3">
      <c r="A1462" s="11"/>
      <c r="B1462" s="11"/>
      <c r="D1462" s="21"/>
      <c r="E1462" s="22"/>
      <c r="G1462" s="23"/>
      <c r="H1462" s="24"/>
      <c r="Q1462" s="2"/>
      <c r="R1462" s="2"/>
    </row>
    <row r="1463" spans="1:18" ht="15.75" customHeight="1" x14ac:dyDescent="0.3">
      <c r="A1463" s="11"/>
      <c r="B1463" s="11"/>
      <c r="D1463" s="21"/>
      <c r="E1463" s="22"/>
      <c r="G1463" s="23"/>
      <c r="H1463" s="24"/>
      <c r="Q1463" s="2"/>
      <c r="R1463" s="2"/>
    </row>
    <row r="1464" spans="1:18" ht="15.75" customHeight="1" x14ac:dyDescent="0.3">
      <c r="A1464" s="11"/>
      <c r="B1464" s="11"/>
      <c r="D1464" s="21"/>
      <c r="E1464" s="22"/>
      <c r="G1464" s="23"/>
      <c r="H1464" s="24"/>
      <c r="Q1464" s="2"/>
      <c r="R1464" s="2"/>
    </row>
    <row r="1465" spans="1:18" ht="15.75" customHeight="1" x14ac:dyDescent="0.3">
      <c r="A1465" s="11"/>
      <c r="B1465" s="11"/>
      <c r="D1465" s="21"/>
      <c r="E1465" s="22"/>
      <c r="G1465" s="23"/>
      <c r="H1465" s="24"/>
      <c r="Q1465" s="2"/>
      <c r="R1465" s="2"/>
    </row>
    <row r="1466" spans="1:18" ht="15.75" customHeight="1" x14ac:dyDescent="0.3">
      <c r="A1466" s="11"/>
      <c r="B1466" s="11"/>
      <c r="D1466" s="21"/>
      <c r="E1466" s="22"/>
      <c r="G1466" s="23"/>
      <c r="H1466" s="24"/>
      <c r="Q1466" s="2"/>
      <c r="R1466" s="2"/>
    </row>
    <row r="1467" spans="1:18" ht="15.75" customHeight="1" x14ac:dyDescent="0.3">
      <c r="A1467" s="11"/>
      <c r="B1467" s="11"/>
      <c r="D1467" s="21"/>
      <c r="E1467" s="22"/>
      <c r="G1467" s="23"/>
      <c r="H1467" s="24"/>
      <c r="Q1467" s="2"/>
      <c r="R1467" s="2"/>
    </row>
    <row r="1468" spans="1:18" ht="15.75" customHeight="1" x14ac:dyDescent="0.3">
      <c r="A1468" s="11"/>
      <c r="B1468" s="11"/>
      <c r="D1468" s="21"/>
      <c r="E1468" s="22"/>
      <c r="G1468" s="23"/>
      <c r="H1468" s="24"/>
      <c r="Q1468" s="2"/>
      <c r="R1468" s="2"/>
    </row>
    <row r="1469" spans="1:18" ht="15.75" customHeight="1" x14ac:dyDescent="0.3">
      <c r="A1469" s="11"/>
      <c r="B1469" s="11"/>
      <c r="D1469" s="21"/>
      <c r="E1469" s="22"/>
      <c r="G1469" s="23"/>
      <c r="H1469" s="24"/>
      <c r="Q1469" s="2"/>
      <c r="R1469" s="2"/>
    </row>
    <row r="1470" spans="1:18" ht="15.75" customHeight="1" x14ac:dyDescent="0.3">
      <c r="A1470" s="11"/>
      <c r="B1470" s="11"/>
      <c r="D1470" s="21"/>
      <c r="E1470" s="22"/>
      <c r="G1470" s="23"/>
      <c r="H1470" s="24"/>
      <c r="Q1470" s="2"/>
      <c r="R1470" s="2"/>
    </row>
    <row r="1471" spans="1:18" ht="15.75" customHeight="1" x14ac:dyDescent="0.3">
      <c r="A1471" s="11"/>
      <c r="B1471" s="11"/>
      <c r="D1471" s="21"/>
      <c r="E1471" s="22"/>
      <c r="G1471" s="23"/>
      <c r="H1471" s="24"/>
      <c r="Q1471" s="2"/>
      <c r="R1471" s="2"/>
    </row>
    <row r="1472" spans="1:18" ht="15.75" customHeight="1" x14ac:dyDescent="0.3">
      <c r="A1472" s="11"/>
      <c r="B1472" s="11"/>
      <c r="D1472" s="21"/>
      <c r="E1472" s="22"/>
      <c r="G1472" s="23"/>
      <c r="H1472" s="24"/>
      <c r="Q1472" s="2"/>
      <c r="R1472" s="2"/>
    </row>
    <row r="1473" spans="1:18" ht="15.75" customHeight="1" x14ac:dyDescent="0.3">
      <c r="A1473" s="11"/>
      <c r="B1473" s="11"/>
      <c r="D1473" s="21"/>
      <c r="E1473" s="22"/>
      <c r="G1473" s="23"/>
      <c r="H1473" s="24"/>
      <c r="Q1473" s="2"/>
      <c r="R1473" s="2"/>
    </row>
    <row r="1474" spans="1:18" ht="15.75" customHeight="1" x14ac:dyDescent="0.3">
      <c r="A1474" s="11"/>
      <c r="B1474" s="11"/>
      <c r="D1474" s="21"/>
      <c r="E1474" s="22"/>
      <c r="G1474" s="23"/>
      <c r="H1474" s="24"/>
      <c r="Q1474" s="2"/>
      <c r="R1474" s="2"/>
    </row>
    <row r="1475" spans="1:18" ht="15.75" customHeight="1" x14ac:dyDescent="0.3">
      <c r="A1475" s="11"/>
      <c r="B1475" s="11"/>
      <c r="D1475" s="21"/>
      <c r="E1475" s="22"/>
      <c r="G1475" s="23"/>
      <c r="H1475" s="24"/>
      <c r="Q1475" s="2"/>
      <c r="R1475" s="2"/>
    </row>
    <row r="1476" spans="1:18" ht="15.75" customHeight="1" x14ac:dyDescent="0.3">
      <c r="A1476" s="11"/>
      <c r="B1476" s="11"/>
      <c r="D1476" s="21"/>
      <c r="E1476" s="22"/>
      <c r="G1476" s="23"/>
      <c r="H1476" s="24"/>
      <c r="Q1476" s="2"/>
      <c r="R1476" s="2"/>
    </row>
    <row r="1477" spans="1:18" ht="15.75" customHeight="1" x14ac:dyDescent="0.3">
      <c r="A1477" s="11"/>
      <c r="B1477" s="11"/>
      <c r="D1477" s="21"/>
      <c r="E1477" s="22"/>
      <c r="G1477" s="23"/>
      <c r="H1477" s="24"/>
      <c r="Q1477" s="2"/>
      <c r="R1477" s="2"/>
    </row>
    <row r="1478" spans="1:18" ht="15.75" customHeight="1" x14ac:dyDescent="0.3">
      <c r="A1478" s="11"/>
      <c r="B1478" s="11"/>
      <c r="D1478" s="21"/>
      <c r="E1478" s="22"/>
      <c r="G1478" s="23"/>
      <c r="H1478" s="24"/>
      <c r="Q1478" s="2"/>
      <c r="R1478" s="2"/>
    </row>
    <row r="1479" spans="1:18" ht="15.75" customHeight="1" x14ac:dyDescent="0.3">
      <c r="A1479" s="11"/>
      <c r="B1479" s="11"/>
      <c r="D1479" s="21"/>
      <c r="E1479" s="22"/>
      <c r="G1479" s="23"/>
      <c r="H1479" s="24"/>
      <c r="Q1479" s="2"/>
      <c r="R1479" s="2"/>
    </row>
    <row r="1480" spans="1:18" ht="15.75" customHeight="1" x14ac:dyDescent="0.3">
      <c r="A1480" s="11"/>
      <c r="B1480" s="11"/>
      <c r="D1480" s="21"/>
      <c r="E1480" s="22"/>
      <c r="G1480" s="23"/>
      <c r="H1480" s="24"/>
      <c r="Q1480" s="2"/>
      <c r="R1480" s="2"/>
    </row>
    <row r="1481" spans="1:18" ht="15.75" customHeight="1" x14ac:dyDescent="0.3">
      <c r="A1481" s="11"/>
      <c r="B1481" s="11"/>
      <c r="D1481" s="21"/>
      <c r="E1481" s="22"/>
      <c r="G1481" s="23"/>
      <c r="H1481" s="24"/>
      <c r="Q1481" s="2"/>
      <c r="R1481" s="2"/>
    </row>
    <row r="1482" spans="1:18" ht="15.75" customHeight="1" x14ac:dyDescent="0.3">
      <c r="A1482" s="11"/>
      <c r="B1482" s="11"/>
      <c r="D1482" s="21"/>
      <c r="E1482" s="22"/>
      <c r="G1482" s="23"/>
      <c r="H1482" s="24"/>
      <c r="Q1482" s="2"/>
      <c r="R1482" s="2"/>
    </row>
    <row r="1483" spans="1:18" ht="15.75" customHeight="1" x14ac:dyDescent="0.3">
      <c r="A1483" s="11"/>
      <c r="B1483" s="11"/>
      <c r="D1483" s="21"/>
      <c r="E1483" s="22"/>
      <c r="G1483" s="23"/>
      <c r="H1483" s="24"/>
      <c r="Q1483" s="2"/>
      <c r="R1483" s="2"/>
    </row>
    <row r="1484" spans="1:18" ht="15.75" customHeight="1" x14ac:dyDescent="0.3">
      <c r="A1484" s="11"/>
      <c r="B1484" s="11"/>
      <c r="D1484" s="21"/>
      <c r="E1484" s="22"/>
      <c r="G1484" s="23"/>
      <c r="H1484" s="24"/>
      <c r="Q1484" s="2"/>
      <c r="R1484" s="2"/>
    </row>
    <row r="1485" spans="1:18" ht="15.75" customHeight="1" x14ac:dyDescent="0.3">
      <c r="A1485" s="11"/>
      <c r="B1485" s="11"/>
      <c r="D1485" s="21"/>
      <c r="E1485" s="22"/>
      <c r="G1485" s="23"/>
      <c r="H1485" s="24"/>
      <c r="Q1485" s="2"/>
      <c r="R1485" s="2"/>
    </row>
    <row r="1486" spans="1:18" ht="15.75" customHeight="1" x14ac:dyDescent="0.3">
      <c r="A1486" s="11"/>
      <c r="B1486" s="11"/>
      <c r="D1486" s="21"/>
      <c r="E1486" s="22"/>
      <c r="G1486" s="23"/>
      <c r="H1486" s="24"/>
      <c r="Q1486" s="2"/>
      <c r="R1486" s="2"/>
    </row>
    <row r="1487" spans="1:18" ht="15.75" customHeight="1" x14ac:dyDescent="0.3">
      <c r="A1487" s="11"/>
      <c r="B1487" s="11"/>
      <c r="D1487" s="21"/>
      <c r="E1487" s="22"/>
      <c r="G1487" s="23"/>
      <c r="H1487" s="24"/>
      <c r="Q1487" s="2"/>
      <c r="R1487" s="2"/>
    </row>
    <row r="1488" spans="1:18" ht="15.75" customHeight="1" x14ac:dyDescent="0.3">
      <c r="A1488" s="11"/>
      <c r="B1488" s="11"/>
      <c r="D1488" s="21"/>
      <c r="E1488" s="22"/>
      <c r="G1488" s="23"/>
      <c r="H1488" s="24"/>
      <c r="Q1488" s="2"/>
      <c r="R1488" s="2"/>
    </row>
    <row r="1489" spans="1:18" ht="15.75" customHeight="1" x14ac:dyDescent="0.3">
      <c r="A1489" s="11"/>
      <c r="B1489" s="11"/>
      <c r="D1489" s="21"/>
      <c r="E1489" s="22"/>
      <c r="G1489" s="23"/>
      <c r="H1489" s="24"/>
      <c r="Q1489" s="2"/>
      <c r="R1489" s="2"/>
    </row>
    <row r="1490" spans="1:18" ht="15.75" customHeight="1" x14ac:dyDescent="0.3">
      <c r="A1490" s="11"/>
      <c r="B1490" s="11"/>
      <c r="D1490" s="21"/>
      <c r="E1490" s="22"/>
      <c r="G1490" s="23"/>
      <c r="H1490" s="24"/>
      <c r="Q1490" s="2"/>
      <c r="R1490" s="2"/>
    </row>
    <row r="1491" spans="1:18" ht="15.75" customHeight="1" x14ac:dyDescent="0.3">
      <c r="A1491" s="11"/>
      <c r="B1491" s="11"/>
      <c r="D1491" s="21"/>
      <c r="E1491" s="22"/>
      <c r="G1491" s="23"/>
      <c r="H1491" s="24"/>
      <c r="Q1491" s="2"/>
      <c r="R1491" s="2"/>
    </row>
    <row r="1492" spans="1:18" ht="15.75" customHeight="1" x14ac:dyDescent="0.3">
      <c r="A1492" s="11"/>
      <c r="B1492" s="11"/>
      <c r="D1492" s="21"/>
      <c r="E1492" s="22"/>
      <c r="G1492" s="23"/>
      <c r="H1492" s="24"/>
      <c r="Q1492" s="2"/>
      <c r="R1492" s="2"/>
    </row>
    <row r="1493" spans="1:18" ht="15.75" customHeight="1" x14ac:dyDescent="0.3">
      <c r="A1493" s="11"/>
      <c r="B1493" s="11"/>
      <c r="D1493" s="21"/>
      <c r="E1493" s="22"/>
      <c r="G1493" s="23"/>
      <c r="H1493" s="24"/>
      <c r="Q1493" s="2"/>
      <c r="R1493" s="2"/>
    </row>
    <row r="1494" spans="1:18" ht="15.75" customHeight="1" x14ac:dyDescent="0.3">
      <c r="A1494" s="11"/>
      <c r="B1494" s="11"/>
      <c r="D1494" s="21"/>
      <c r="E1494" s="22"/>
      <c r="G1494" s="23"/>
      <c r="H1494" s="24"/>
      <c r="Q1494" s="2"/>
      <c r="R1494" s="2"/>
    </row>
    <row r="1495" spans="1:18" ht="15.75" customHeight="1" x14ac:dyDescent="0.3">
      <c r="A1495" s="11"/>
      <c r="B1495" s="11"/>
      <c r="D1495" s="21"/>
      <c r="E1495" s="22"/>
      <c r="G1495" s="23"/>
      <c r="H1495" s="24"/>
      <c r="Q1495" s="2"/>
      <c r="R1495" s="2"/>
    </row>
    <row r="1496" spans="1:18" ht="15.75" customHeight="1" x14ac:dyDescent="0.3">
      <c r="A1496" s="11"/>
      <c r="B1496" s="11"/>
      <c r="D1496" s="21"/>
      <c r="E1496" s="22"/>
      <c r="G1496" s="23"/>
      <c r="H1496" s="24"/>
      <c r="Q1496" s="2"/>
      <c r="R1496" s="2"/>
    </row>
    <row r="1497" spans="1:18" ht="15.75" customHeight="1" x14ac:dyDescent="0.3">
      <c r="A1497" s="11"/>
      <c r="B1497" s="11"/>
      <c r="D1497" s="21"/>
      <c r="E1497" s="22"/>
      <c r="G1497" s="23"/>
      <c r="H1497" s="24"/>
      <c r="Q1497" s="2"/>
      <c r="R1497" s="2"/>
    </row>
    <row r="1498" spans="1:18" ht="15.75" customHeight="1" x14ac:dyDescent="0.3">
      <c r="A1498" s="11"/>
      <c r="B1498" s="11"/>
      <c r="D1498" s="21"/>
      <c r="E1498" s="22"/>
      <c r="G1498" s="23"/>
      <c r="H1498" s="24"/>
      <c r="Q1498" s="2"/>
      <c r="R1498" s="2"/>
    </row>
    <row r="1499" spans="1:18" ht="15.75" customHeight="1" x14ac:dyDescent="0.3">
      <c r="A1499" s="11"/>
      <c r="B1499" s="11"/>
      <c r="D1499" s="21"/>
      <c r="E1499" s="22"/>
      <c r="G1499" s="23"/>
      <c r="H1499" s="24"/>
      <c r="Q1499" s="2"/>
      <c r="R1499" s="2"/>
    </row>
    <row r="1500" spans="1:18" ht="15.75" customHeight="1" x14ac:dyDescent="0.3">
      <c r="A1500" s="11"/>
      <c r="B1500" s="11"/>
      <c r="D1500" s="21"/>
      <c r="E1500" s="22"/>
      <c r="G1500" s="23"/>
      <c r="H1500" s="24"/>
      <c r="Q1500" s="2"/>
      <c r="R1500" s="2"/>
    </row>
    <row r="1501" spans="1:18" ht="15.75" customHeight="1" x14ac:dyDescent="0.3">
      <c r="A1501" s="11"/>
      <c r="B1501" s="11"/>
      <c r="D1501" s="21"/>
      <c r="E1501" s="22"/>
      <c r="G1501" s="23"/>
      <c r="H1501" s="24"/>
      <c r="Q1501" s="2"/>
      <c r="R1501" s="2"/>
    </row>
    <row r="1502" spans="1:18" ht="15.75" customHeight="1" x14ac:dyDescent="0.3">
      <c r="A1502" s="11"/>
      <c r="B1502" s="11"/>
      <c r="D1502" s="21"/>
      <c r="E1502" s="22"/>
      <c r="G1502" s="23"/>
      <c r="H1502" s="24"/>
      <c r="Q1502" s="2"/>
      <c r="R1502" s="2"/>
    </row>
    <row r="1503" spans="1:18" ht="15.75" customHeight="1" x14ac:dyDescent="0.3">
      <c r="A1503" s="11"/>
      <c r="B1503" s="11"/>
      <c r="D1503" s="21"/>
      <c r="E1503" s="22"/>
      <c r="G1503" s="23"/>
      <c r="H1503" s="24"/>
      <c r="Q1503" s="2"/>
      <c r="R1503" s="2"/>
    </row>
    <row r="1504" spans="1:18" ht="15.75" customHeight="1" x14ac:dyDescent="0.3">
      <c r="A1504" s="11"/>
      <c r="B1504" s="11"/>
      <c r="D1504" s="21"/>
      <c r="E1504" s="22"/>
      <c r="G1504" s="23"/>
      <c r="H1504" s="24"/>
      <c r="Q1504" s="2"/>
      <c r="R1504" s="2"/>
    </row>
    <row r="1505" spans="1:18" ht="15.75" customHeight="1" x14ac:dyDescent="0.3">
      <c r="A1505" s="11"/>
      <c r="B1505" s="11"/>
      <c r="D1505" s="21"/>
      <c r="E1505" s="22"/>
      <c r="G1505" s="23"/>
      <c r="H1505" s="24"/>
      <c r="Q1505" s="2"/>
      <c r="R1505" s="2"/>
    </row>
    <row r="1506" spans="1:18" ht="15.75" customHeight="1" x14ac:dyDescent="0.3">
      <c r="A1506" s="11"/>
      <c r="B1506" s="11"/>
      <c r="D1506" s="21"/>
      <c r="E1506" s="22"/>
      <c r="G1506" s="23"/>
      <c r="H1506" s="24"/>
      <c r="Q1506" s="2"/>
      <c r="R1506" s="2"/>
    </row>
    <row r="1507" spans="1:18" ht="15.75" customHeight="1" x14ac:dyDescent="0.3">
      <c r="A1507" s="11"/>
      <c r="B1507" s="11"/>
      <c r="D1507" s="21"/>
      <c r="E1507" s="22"/>
      <c r="G1507" s="23"/>
      <c r="H1507" s="24"/>
      <c r="Q1507" s="2"/>
      <c r="R1507" s="2"/>
    </row>
    <row r="1508" spans="1:18" ht="15.75" customHeight="1" x14ac:dyDescent="0.3">
      <c r="A1508" s="11"/>
      <c r="B1508" s="11"/>
      <c r="D1508" s="21"/>
      <c r="E1508" s="22"/>
      <c r="G1508" s="23"/>
      <c r="H1508" s="24"/>
      <c r="Q1508" s="2"/>
      <c r="R1508" s="2"/>
    </row>
    <row r="1509" spans="1:18" ht="15.75" customHeight="1" x14ac:dyDescent="0.3">
      <c r="A1509" s="11"/>
      <c r="B1509" s="11"/>
      <c r="D1509" s="21"/>
      <c r="E1509" s="22"/>
      <c r="G1509" s="23"/>
      <c r="H1509" s="24"/>
      <c r="Q1509" s="2"/>
      <c r="R1509" s="2"/>
    </row>
    <row r="1510" spans="1:18" ht="15.75" customHeight="1" x14ac:dyDescent="0.3">
      <c r="A1510" s="11"/>
      <c r="B1510" s="11"/>
      <c r="D1510" s="21"/>
      <c r="E1510" s="22"/>
      <c r="G1510" s="23"/>
      <c r="H1510" s="24"/>
      <c r="Q1510" s="2"/>
      <c r="R1510" s="2"/>
    </row>
    <row r="1511" spans="1:18" ht="15.75" customHeight="1" x14ac:dyDescent="0.3">
      <c r="A1511" s="11"/>
      <c r="B1511" s="11"/>
      <c r="D1511" s="21"/>
      <c r="E1511" s="22"/>
      <c r="G1511" s="23"/>
      <c r="H1511" s="24"/>
      <c r="Q1511" s="2"/>
      <c r="R1511" s="2"/>
    </row>
    <row r="1512" spans="1:18" ht="15.75" customHeight="1" x14ac:dyDescent="0.3">
      <c r="A1512" s="11"/>
      <c r="B1512" s="11"/>
      <c r="D1512" s="21"/>
      <c r="E1512" s="22"/>
      <c r="G1512" s="23"/>
      <c r="H1512" s="24"/>
      <c r="Q1512" s="2"/>
      <c r="R1512" s="2"/>
    </row>
    <row r="1513" spans="1:18" ht="15.75" customHeight="1" x14ac:dyDescent="0.3">
      <c r="A1513" s="11"/>
      <c r="B1513" s="11"/>
      <c r="D1513" s="21"/>
      <c r="E1513" s="22"/>
      <c r="G1513" s="23"/>
      <c r="H1513" s="24"/>
      <c r="Q1513" s="2"/>
      <c r="R1513" s="2"/>
    </row>
    <row r="1514" spans="1:18" ht="15.75" customHeight="1" x14ac:dyDescent="0.3">
      <c r="A1514" s="11"/>
      <c r="B1514" s="11"/>
      <c r="D1514" s="21"/>
      <c r="E1514" s="22"/>
      <c r="G1514" s="23"/>
      <c r="H1514" s="24"/>
      <c r="Q1514" s="2"/>
      <c r="R1514" s="2"/>
    </row>
    <row r="1515" spans="1:18" ht="15.75" customHeight="1" x14ac:dyDescent="0.3">
      <c r="A1515" s="11"/>
      <c r="B1515" s="11"/>
      <c r="D1515" s="21"/>
      <c r="E1515" s="22"/>
      <c r="G1515" s="23"/>
      <c r="H1515" s="24"/>
      <c r="Q1515" s="2"/>
      <c r="R1515" s="2"/>
    </row>
    <row r="1516" spans="1:18" ht="15.75" customHeight="1" x14ac:dyDescent="0.3">
      <c r="A1516" s="11"/>
      <c r="B1516" s="11"/>
      <c r="D1516" s="21"/>
      <c r="E1516" s="22"/>
      <c r="G1516" s="23"/>
      <c r="H1516" s="24"/>
      <c r="Q1516" s="2"/>
      <c r="R1516" s="2"/>
    </row>
    <row r="1517" spans="1:18" ht="15.75" customHeight="1" x14ac:dyDescent="0.3">
      <c r="A1517" s="11"/>
      <c r="B1517" s="11"/>
      <c r="D1517" s="21"/>
      <c r="E1517" s="22"/>
      <c r="G1517" s="23"/>
      <c r="H1517" s="24"/>
      <c r="Q1517" s="2"/>
      <c r="R1517" s="2"/>
    </row>
    <row r="1518" spans="1:18" ht="15.75" customHeight="1" x14ac:dyDescent="0.3">
      <c r="A1518" s="11"/>
      <c r="B1518" s="11"/>
      <c r="D1518" s="21"/>
      <c r="E1518" s="22"/>
      <c r="G1518" s="23"/>
      <c r="H1518" s="24"/>
      <c r="Q1518" s="2"/>
      <c r="R1518" s="2"/>
    </row>
    <row r="1519" spans="1:18" ht="15.75" customHeight="1" x14ac:dyDescent="0.3">
      <c r="A1519" s="11"/>
      <c r="B1519" s="11"/>
      <c r="D1519" s="21"/>
      <c r="E1519" s="22"/>
      <c r="G1519" s="23"/>
      <c r="H1519" s="24"/>
      <c r="Q1519" s="2"/>
      <c r="R1519" s="2"/>
    </row>
    <row r="1520" spans="1:18" ht="15.75" customHeight="1" x14ac:dyDescent="0.3">
      <c r="A1520" s="11"/>
      <c r="B1520" s="11"/>
      <c r="D1520" s="21"/>
      <c r="E1520" s="22"/>
      <c r="G1520" s="23"/>
      <c r="H1520" s="24"/>
      <c r="Q1520" s="2"/>
      <c r="R1520" s="2"/>
    </row>
    <row r="1521" spans="1:18" ht="15.75" customHeight="1" x14ac:dyDescent="0.3">
      <c r="A1521" s="11"/>
      <c r="B1521" s="11"/>
      <c r="D1521" s="21"/>
      <c r="E1521" s="22"/>
      <c r="G1521" s="23"/>
      <c r="H1521" s="24"/>
      <c r="Q1521" s="2"/>
      <c r="R1521" s="2"/>
    </row>
    <row r="1522" spans="1:18" ht="15.75" customHeight="1" x14ac:dyDescent="0.3">
      <c r="A1522" s="11"/>
      <c r="B1522" s="11"/>
      <c r="D1522" s="21"/>
      <c r="E1522" s="22"/>
      <c r="G1522" s="23"/>
      <c r="H1522" s="24"/>
      <c r="Q1522" s="2"/>
      <c r="R1522" s="2"/>
    </row>
    <row r="1523" spans="1:18" ht="15.75" customHeight="1" x14ac:dyDescent="0.3">
      <c r="A1523" s="11"/>
      <c r="B1523" s="11"/>
      <c r="D1523" s="21"/>
      <c r="E1523" s="22"/>
      <c r="G1523" s="23"/>
      <c r="H1523" s="24"/>
      <c r="Q1523" s="2"/>
      <c r="R1523" s="2"/>
    </row>
    <row r="1524" spans="1:18" ht="15.75" customHeight="1" x14ac:dyDescent="0.3">
      <c r="A1524" s="11"/>
      <c r="B1524" s="11"/>
      <c r="D1524" s="21"/>
      <c r="E1524" s="22"/>
      <c r="G1524" s="23"/>
      <c r="H1524" s="24"/>
      <c r="Q1524" s="2"/>
      <c r="R1524" s="2"/>
    </row>
    <row r="1525" spans="1:18" ht="15.75" customHeight="1" x14ac:dyDescent="0.3">
      <c r="A1525" s="11"/>
      <c r="B1525" s="11"/>
      <c r="D1525" s="21"/>
      <c r="E1525" s="22"/>
      <c r="G1525" s="23"/>
      <c r="H1525" s="24"/>
      <c r="Q1525" s="2"/>
      <c r="R1525" s="2"/>
    </row>
    <row r="1526" spans="1:18" ht="15.75" customHeight="1" x14ac:dyDescent="0.3">
      <c r="A1526" s="11"/>
      <c r="B1526" s="11"/>
      <c r="D1526" s="21"/>
      <c r="E1526" s="22"/>
      <c r="G1526" s="23"/>
      <c r="H1526" s="24"/>
      <c r="Q1526" s="2"/>
      <c r="R1526" s="2"/>
    </row>
    <row r="1527" spans="1:18" ht="15.75" customHeight="1" x14ac:dyDescent="0.3">
      <c r="A1527" s="11"/>
      <c r="B1527" s="11"/>
      <c r="D1527" s="21"/>
      <c r="E1527" s="22"/>
      <c r="G1527" s="23"/>
      <c r="H1527" s="24"/>
      <c r="Q1527" s="2"/>
      <c r="R1527" s="2"/>
    </row>
    <row r="1528" spans="1:18" ht="15.75" customHeight="1" x14ac:dyDescent="0.3">
      <c r="A1528" s="11"/>
      <c r="B1528" s="11"/>
      <c r="D1528" s="21"/>
      <c r="E1528" s="22"/>
      <c r="G1528" s="23"/>
      <c r="H1528" s="24"/>
      <c r="Q1528" s="2"/>
      <c r="R1528" s="2"/>
    </row>
    <row r="1529" spans="1:18" ht="15.75" customHeight="1" x14ac:dyDescent="0.3">
      <c r="A1529" s="11"/>
      <c r="B1529" s="11"/>
      <c r="D1529" s="21"/>
      <c r="E1529" s="22"/>
      <c r="G1529" s="23"/>
      <c r="H1529" s="24"/>
      <c r="Q1529" s="2"/>
      <c r="R1529" s="2"/>
    </row>
    <row r="1530" spans="1:18" ht="15.75" customHeight="1" x14ac:dyDescent="0.3">
      <c r="A1530" s="11"/>
      <c r="B1530" s="11"/>
      <c r="D1530" s="21"/>
      <c r="E1530" s="22"/>
      <c r="G1530" s="23"/>
      <c r="H1530" s="24"/>
      <c r="Q1530" s="2"/>
      <c r="R1530" s="2"/>
    </row>
    <row r="1531" spans="1:18" ht="15.75" customHeight="1" x14ac:dyDescent="0.3">
      <c r="A1531" s="11"/>
      <c r="B1531" s="11"/>
      <c r="D1531" s="21"/>
      <c r="E1531" s="22"/>
      <c r="G1531" s="23"/>
      <c r="H1531" s="24"/>
      <c r="Q1531" s="2"/>
      <c r="R1531" s="2"/>
    </row>
    <row r="1532" spans="1:18" ht="15.75" customHeight="1" x14ac:dyDescent="0.3">
      <c r="A1532" s="11"/>
      <c r="B1532" s="11"/>
      <c r="D1532" s="21"/>
      <c r="E1532" s="22"/>
      <c r="G1532" s="23"/>
      <c r="H1532" s="24"/>
      <c r="Q1532" s="2"/>
      <c r="R1532" s="2"/>
    </row>
    <row r="1533" spans="1:18" ht="15.75" customHeight="1" x14ac:dyDescent="0.3">
      <c r="A1533" s="11"/>
      <c r="B1533" s="11"/>
      <c r="D1533" s="21"/>
      <c r="E1533" s="22"/>
      <c r="G1533" s="23"/>
      <c r="H1533" s="24"/>
      <c r="Q1533" s="2"/>
      <c r="R1533" s="2"/>
    </row>
    <row r="1534" spans="1:18" ht="15.75" customHeight="1" x14ac:dyDescent="0.3">
      <c r="A1534" s="11"/>
      <c r="B1534" s="11"/>
      <c r="D1534" s="21"/>
      <c r="E1534" s="22"/>
      <c r="G1534" s="23"/>
      <c r="H1534" s="24"/>
      <c r="Q1534" s="2"/>
      <c r="R1534" s="2"/>
    </row>
    <row r="1535" spans="1:18" ht="15.75" customHeight="1" x14ac:dyDescent="0.3">
      <c r="A1535" s="11"/>
      <c r="B1535" s="11"/>
      <c r="D1535" s="21"/>
      <c r="E1535" s="22"/>
      <c r="G1535" s="23"/>
      <c r="H1535" s="24"/>
      <c r="Q1535" s="2"/>
      <c r="R1535" s="2"/>
    </row>
    <row r="1536" spans="1:18" ht="15.75" customHeight="1" x14ac:dyDescent="0.3">
      <c r="A1536" s="11"/>
      <c r="B1536" s="11"/>
      <c r="D1536" s="21"/>
      <c r="E1536" s="22"/>
      <c r="G1536" s="23"/>
      <c r="H1536" s="24"/>
      <c r="Q1536" s="2"/>
      <c r="R1536" s="2"/>
    </row>
    <row r="1537" spans="1:18" ht="15.75" customHeight="1" x14ac:dyDescent="0.3">
      <c r="A1537" s="11"/>
      <c r="B1537" s="11"/>
      <c r="D1537" s="21"/>
      <c r="E1537" s="22"/>
      <c r="G1537" s="23"/>
      <c r="H1537" s="24"/>
      <c r="Q1537" s="2"/>
      <c r="R1537" s="2"/>
    </row>
    <row r="1538" spans="1:18" ht="15.75" customHeight="1" x14ac:dyDescent="0.3">
      <c r="A1538" s="11"/>
      <c r="B1538" s="11"/>
      <c r="D1538" s="21"/>
      <c r="E1538" s="22"/>
      <c r="G1538" s="23"/>
      <c r="H1538" s="24"/>
      <c r="Q1538" s="2"/>
      <c r="R1538" s="2"/>
    </row>
    <row r="1539" spans="1:18" ht="15.75" customHeight="1" x14ac:dyDescent="0.3">
      <c r="A1539" s="11"/>
      <c r="B1539" s="11"/>
      <c r="D1539" s="21"/>
      <c r="E1539" s="22"/>
      <c r="G1539" s="23"/>
      <c r="H1539" s="24"/>
      <c r="Q1539" s="2"/>
      <c r="R1539" s="2"/>
    </row>
    <row r="1540" spans="1:18" ht="15.75" customHeight="1" x14ac:dyDescent="0.3">
      <c r="A1540" s="11"/>
      <c r="B1540" s="11"/>
      <c r="D1540" s="21"/>
      <c r="E1540" s="22"/>
      <c r="G1540" s="23"/>
      <c r="H1540" s="24"/>
      <c r="Q1540" s="2"/>
      <c r="R1540" s="2"/>
    </row>
    <row r="1541" spans="1:18" ht="15.75" customHeight="1" x14ac:dyDescent="0.3">
      <c r="A1541" s="11"/>
      <c r="B1541" s="11"/>
      <c r="D1541" s="21"/>
      <c r="E1541" s="22"/>
      <c r="G1541" s="23"/>
      <c r="H1541" s="24"/>
      <c r="Q1541" s="2"/>
      <c r="R1541" s="2"/>
    </row>
    <row r="1542" spans="1:18" ht="15.75" customHeight="1" x14ac:dyDescent="0.3">
      <c r="A1542" s="11"/>
      <c r="B1542" s="11"/>
      <c r="D1542" s="21"/>
      <c r="E1542" s="22"/>
      <c r="G1542" s="23"/>
      <c r="H1542" s="24"/>
      <c r="Q1542" s="2"/>
      <c r="R1542" s="2"/>
    </row>
    <row r="1543" spans="1:18" ht="15.75" customHeight="1" x14ac:dyDescent="0.3">
      <c r="A1543" s="11"/>
      <c r="B1543" s="11"/>
      <c r="D1543" s="21"/>
      <c r="E1543" s="22"/>
      <c r="G1543" s="23"/>
      <c r="H1543" s="24"/>
      <c r="Q1543" s="2"/>
      <c r="R1543" s="2"/>
    </row>
    <row r="1544" spans="1:18" ht="15.75" customHeight="1" x14ac:dyDescent="0.3">
      <c r="A1544" s="11"/>
      <c r="B1544" s="11"/>
      <c r="D1544" s="21"/>
      <c r="E1544" s="22"/>
      <c r="G1544" s="23"/>
      <c r="H1544" s="24"/>
      <c r="Q1544" s="2"/>
      <c r="R1544" s="2"/>
    </row>
    <row r="1545" spans="1:18" ht="15.75" customHeight="1" x14ac:dyDescent="0.3">
      <c r="A1545" s="11"/>
      <c r="B1545" s="11"/>
      <c r="D1545" s="21"/>
      <c r="E1545" s="22"/>
      <c r="G1545" s="23"/>
      <c r="H1545" s="24"/>
      <c r="Q1545" s="2"/>
      <c r="R1545" s="2"/>
    </row>
    <row r="1546" spans="1:18" ht="15.75" customHeight="1" x14ac:dyDescent="0.3">
      <c r="A1546" s="11"/>
      <c r="B1546" s="11"/>
      <c r="D1546" s="21"/>
      <c r="E1546" s="22"/>
      <c r="G1546" s="23"/>
      <c r="H1546" s="24"/>
      <c r="Q1546" s="2"/>
      <c r="R1546" s="2"/>
    </row>
    <row r="1547" spans="1:18" ht="15.75" customHeight="1" x14ac:dyDescent="0.3">
      <c r="A1547" s="11"/>
      <c r="B1547" s="11"/>
      <c r="D1547" s="21"/>
      <c r="E1547" s="22"/>
      <c r="G1547" s="23"/>
      <c r="H1547" s="24"/>
      <c r="Q1547" s="2"/>
      <c r="R1547" s="2"/>
    </row>
    <row r="1548" spans="1:18" ht="15.75" customHeight="1" x14ac:dyDescent="0.3">
      <c r="A1548" s="11"/>
      <c r="B1548" s="11"/>
      <c r="D1548" s="21"/>
      <c r="E1548" s="22"/>
      <c r="G1548" s="23"/>
      <c r="H1548" s="24"/>
      <c r="Q1548" s="2"/>
      <c r="R1548" s="2"/>
    </row>
    <row r="1549" spans="1:18" ht="15.75" customHeight="1" x14ac:dyDescent="0.3">
      <c r="A1549" s="11"/>
      <c r="B1549" s="11"/>
      <c r="D1549" s="21"/>
      <c r="E1549" s="22"/>
      <c r="G1549" s="23"/>
      <c r="H1549" s="24"/>
      <c r="Q1549" s="2"/>
      <c r="R1549" s="2"/>
    </row>
    <row r="1550" spans="1:18" ht="15.75" customHeight="1" x14ac:dyDescent="0.3">
      <c r="A1550" s="11"/>
      <c r="B1550" s="11"/>
      <c r="D1550" s="21"/>
      <c r="E1550" s="22"/>
      <c r="G1550" s="23"/>
      <c r="H1550" s="24"/>
      <c r="Q1550" s="2"/>
      <c r="R1550" s="2"/>
    </row>
    <row r="1551" spans="1:18" ht="15.75" customHeight="1" x14ac:dyDescent="0.3">
      <c r="A1551" s="11"/>
      <c r="B1551" s="11"/>
      <c r="D1551" s="21"/>
      <c r="E1551" s="22"/>
      <c r="G1551" s="23"/>
      <c r="H1551" s="24"/>
      <c r="Q1551" s="2"/>
      <c r="R1551" s="2"/>
    </row>
    <row r="1552" spans="1:18" ht="15.75" customHeight="1" x14ac:dyDescent="0.3">
      <c r="A1552" s="11"/>
      <c r="B1552" s="11"/>
      <c r="D1552" s="21"/>
      <c r="E1552" s="22"/>
      <c r="G1552" s="23"/>
      <c r="H1552" s="24"/>
      <c r="Q1552" s="2"/>
      <c r="R1552" s="2"/>
    </row>
    <row r="1553" spans="1:18" ht="15.75" customHeight="1" x14ac:dyDescent="0.3">
      <c r="A1553" s="11"/>
      <c r="B1553" s="11"/>
      <c r="D1553" s="21"/>
      <c r="E1553" s="22"/>
      <c r="G1553" s="23"/>
      <c r="H1553" s="24"/>
      <c r="Q1553" s="2"/>
      <c r="R1553" s="2"/>
    </row>
    <row r="1554" spans="1:18" ht="15.75" customHeight="1" x14ac:dyDescent="0.3">
      <c r="A1554" s="11"/>
      <c r="B1554" s="11"/>
      <c r="D1554" s="21"/>
      <c r="E1554" s="22"/>
      <c r="G1554" s="23"/>
      <c r="H1554" s="24"/>
      <c r="Q1554" s="2"/>
      <c r="R1554" s="2"/>
    </row>
    <row r="1555" spans="1:18" ht="15.75" customHeight="1" x14ac:dyDescent="0.3">
      <c r="A1555" s="11"/>
      <c r="B1555" s="11"/>
      <c r="D1555" s="21"/>
      <c r="E1555" s="22"/>
      <c r="G1555" s="23"/>
      <c r="H1555" s="24"/>
      <c r="Q1555" s="2"/>
      <c r="R1555" s="2"/>
    </row>
    <row r="1556" spans="1:18" ht="15.75" customHeight="1" x14ac:dyDescent="0.3">
      <c r="A1556" s="11"/>
      <c r="B1556" s="11"/>
      <c r="D1556" s="21"/>
      <c r="E1556" s="22"/>
      <c r="G1556" s="23"/>
      <c r="H1556" s="24"/>
      <c r="Q1556" s="2"/>
      <c r="R1556" s="2"/>
    </row>
    <row r="1557" spans="1:18" ht="15.75" customHeight="1" x14ac:dyDescent="0.3">
      <c r="A1557" s="11"/>
      <c r="B1557" s="11"/>
      <c r="D1557" s="21"/>
      <c r="E1557" s="22"/>
      <c r="G1557" s="23"/>
      <c r="H1557" s="24"/>
      <c r="Q1557" s="2"/>
      <c r="R1557" s="2"/>
    </row>
    <row r="1558" spans="1:18" ht="15.75" customHeight="1" x14ac:dyDescent="0.3">
      <c r="A1558" s="11"/>
      <c r="B1558" s="11"/>
      <c r="D1558" s="21"/>
      <c r="E1558" s="22"/>
      <c r="G1558" s="23"/>
      <c r="H1558" s="24"/>
      <c r="Q1558" s="2"/>
      <c r="R1558" s="2"/>
    </row>
    <row r="1559" spans="1:18" ht="15.75" customHeight="1" x14ac:dyDescent="0.3">
      <c r="A1559" s="11"/>
      <c r="B1559" s="11"/>
      <c r="D1559" s="21"/>
      <c r="E1559" s="22"/>
      <c r="G1559" s="23"/>
      <c r="H1559" s="24"/>
      <c r="Q1559" s="2"/>
      <c r="R1559" s="2"/>
    </row>
    <row r="1560" spans="1:18" ht="15.75" customHeight="1" x14ac:dyDescent="0.3">
      <c r="A1560" s="11"/>
      <c r="B1560" s="11"/>
      <c r="D1560" s="21"/>
      <c r="E1560" s="22"/>
      <c r="G1560" s="23"/>
      <c r="H1560" s="24"/>
      <c r="Q1560" s="2"/>
      <c r="R1560" s="2"/>
    </row>
    <row r="1561" spans="1:18" ht="15.75" customHeight="1" x14ac:dyDescent="0.3">
      <c r="A1561" s="11"/>
      <c r="B1561" s="11"/>
      <c r="D1561" s="21"/>
      <c r="E1561" s="22"/>
      <c r="G1561" s="23"/>
      <c r="H1561" s="24"/>
      <c r="Q1561" s="2"/>
      <c r="R1561" s="2"/>
    </row>
    <row r="1562" spans="1:18" ht="15.75" customHeight="1" x14ac:dyDescent="0.3">
      <c r="A1562" s="11"/>
      <c r="B1562" s="11"/>
      <c r="D1562" s="21"/>
      <c r="E1562" s="22"/>
      <c r="G1562" s="23"/>
      <c r="H1562" s="24"/>
      <c r="Q1562" s="2"/>
      <c r="R1562" s="2"/>
    </row>
    <row r="1563" spans="1:18" ht="15.75" customHeight="1" x14ac:dyDescent="0.3">
      <c r="A1563" s="11"/>
      <c r="B1563" s="11"/>
      <c r="D1563" s="21"/>
      <c r="E1563" s="22"/>
      <c r="G1563" s="23"/>
      <c r="H1563" s="24"/>
      <c r="Q1563" s="2"/>
      <c r="R1563" s="2"/>
    </row>
    <row r="1564" spans="1:18" ht="15.75" customHeight="1" x14ac:dyDescent="0.3">
      <c r="A1564" s="11"/>
      <c r="B1564" s="11"/>
      <c r="D1564" s="21"/>
      <c r="E1564" s="22"/>
      <c r="G1564" s="23"/>
      <c r="H1564" s="24"/>
      <c r="Q1564" s="2"/>
      <c r="R1564" s="2"/>
    </row>
    <row r="1565" spans="1:18" ht="15.75" customHeight="1" x14ac:dyDescent="0.3">
      <c r="A1565" s="11"/>
      <c r="B1565" s="11"/>
      <c r="D1565" s="21"/>
      <c r="E1565" s="22"/>
      <c r="G1565" s="23"/>
      <c r="H1565" s="24"/>
      <c r="Q1565" s="2"/>
      <c r="R1565" s="2"/>
    </row>
    <row r="1566" spans="1:18" ht="15.75" customHeight="1" x14ac:dyDescent="0.3">
      <c r="A1566" s="11"/>
      <c r="B1566" s="11"/>
      <c r="D1566" s="21"/>
      <c r="E1566" s="22"/>
      <c r="G1566" s="23"/>
      <c r="H1566" s="24"/>
      <c r="Q1566" s="2"/>
      <c r="R1566" s="2"/>
    </row>
    <row r="1567" spans="1:18" ht="15.75" customHeight="1" x14ac:dyDescent="0.3">
      <c r="A1567" s="11"/>
      <c r="B1567" s="11"/>
      <c r="D1567" s="21"/>
      <c r="E1567" s="22"/>
      <c r="G1567" s="23"/>
      <c r="H1567" s="24"/>
      <c r="Q1567" s="2"/>
      <c r="R1567" s="2"/>
    </row>
    <row r="1568" spans="1:18" ht="15.75" customHeight="1" x14ac:dyDescent="0.3">
      <c r="A1568" s="11"/>
      <c r="B1568" s="11"/>
      <c r="D1568" s="21"/>
      <c r="E1568" s="22"/>
      <c r="G1568" s="23"/>
      <c r="H1568" s="24"/>
      <c r="Q1568" s="2"/>
      <c r="R1568" s="2"/>
    </row>
    <row r="1569" spans="1:18" ht="15.75" customHeight="1" x14ac:dyDescent="0.3">
      <c r="A1569" s="11"/>
      <c r="B1569" s="11"/>
      <c r="D1569" s="21"/>
      <c r="E1569" s="22"/>
      <c r="G1569" s="23"/>
      <c r="H1569" s="24"/>
      <c r="Q1569" s="2"/>
      <c r="R1569" s="2"/>
    </row>
    <row r="1570" spans="1:18" ht="15.75" customHeight="1" x14ac:dyDescent="0.3">
      <c r="A1570" s="11"/>
      <c r="B1570" s="11"/>
      <c r="D1570" s="21"/>
      <c r="E1570" s="22"/>
      <c r="G1570" s="23"/>
      <c r="H1570" s="24"/>
      <c r="Q1570" s="2"/>
      <c r="R1570" s="2"/>
    </row>
    <row r="1571" spans="1:18" ht="15.75" customHeight="1" x14ac:dyDescent="0.3">
      <c r="A1571" s="11"/>
      <c r="B1571" s="11"/>
      <c r="D1571" s="21"/>
      <c r="E1571" s="22"/>
      <c r="G1571" s="23"/>
      <c r="H1571" s="24"/>
      <c r="Q1571" s="2"/>
      <c r="R1571" s="2"/>
    </row>
    <row r="1572" spans="1:18" ht="15.75" customHeight="1" x14ac:dyDescent="0.3">
      <c r="A1572" s="11"/>
      <c r="B1572" s="11"/>
      <c r="D1572" s="21"/>
      <c r="E1572" s="22"/>
      <c r="G1572" s="23"/>
      <c r="H1572" s="24"/>
      <c r="Q1572" s="2"/>
      <c r="R1572" s="2"/>
    </row>
    <row r="1573" spans="1:18" ht="15.75" customHeight="1" x14ac:dyDescent="0.3">
      <c r="A1573" s="11"/>
      <c r="B1573" s="11"/>
      <c r="D1573" s="21"/>
      <c r="E1573" s="22"/>
      <c r="G1573" s="23"/>
      <c r="H1573" s="24"/>
      <c r="Q1573" s="2"/>
      <c r="R1573" s="2"/>
    </row>
    <row r="1574" spans="1:18" ht="15.75" customHeight="1" x14ac:dyDescent="0.3">
      <c r="A1574" s="11"/>
      <c r="B1574" s="11"/>
      <c r="D1574" s="21"/>
      <c r="E1574" s="22"/>
      <c r="G1574" s="23"/>
      <c r="H1574" s="24"/>
      <c r="Q1574" s="2"/>
      <c r="R1574" s="2"/>
    </row>
    <row r="1575" spans="1:18" ht="15.75" customHeight="1" x14ac:dyDescent="0.3">
      <c r="A1575" s="11"/>
      <c r="B1575" s="11"/>
      <c r="D1575" s="21"/>
      <c r="E1575" s="22"/>
      <c r="G1575" s="23"/>
      <c r="H1575" s="24"/>
      <c r="Q1575" s="2"/>
      <c r="R1575" s="2"/>
    </row>
    <row r="1576" spans="1:18" ht="15.75" customHeight="1" x14ac:dyDescent="0.3">
      <c r="A1576" s="11"/>
      <c r="B1576" s="11"/>
      <c r="D1576" s="21"/>
      <c r="E1576" s="22"/>
      <c r="G1576" s="23"/>
      <c r="H1576" s="24"/>
      <c r="Q1576" s="2"/>
      <c r="R1576" s="2"/>
    </row>
    <row r="1577" spans="1:18" ht="15.75" customHeight="1" x14ac:dyDescent="0.3">
      <c r="A1577" s="11"/>
      <c r="B1577" s="11"/>
      <c r="D1577" s="21"/>
      <c r="E1577" s="22"/>
      <c r="G1577" s="23"/>
      <c r="H1577" s="24"/>
      <c r="Q1577" s="2"/>
      <c r="R1577" s="2"/>
    </row>
    <row r="1578" spans="1:18" ht="15.75" customHeight="1" x14ac:dyDescent="0.3">
      <c r="A1578" s="11"/>
      <c r="B1578" s="11"/>
      <c r="D1578" s="21"/>
      <c r="E1578" s="22"/>
      <c r="G1578" s="23"/>
      <c r="H1578" s="24"/>
      <c r="Q1578" s="2"/>
      <c r="R1578" s="2"/>
    </row>
    <row r="1579" spans="1:18" ht="15.75" customHeight="1" x14ac:dyDescent="0.3">
      <c r="A1579" s="11"/>
      <c r="B1579" s="11"/>
      <c r="D1579" s="21"/>
      <c r="E1579" s="22"/>
      <c r="G1579" s="23"/>
      <c r="H1579" s="24"/>
      <c r="Q1579" s="2"/>
      <c r="R1579" s="2"/>
    </row>
    <row r="1580" spans="1:18" ht="15.75" customHeight="1" x14ac:dyDescent="0.3">
      <c r="A1580" s="11"/>
      <c r="B1580" s="11"/>
      <c r="D1580" s="21"/>
      <c r="E1580" s="22"/>
      <c r="G1580" s="23"/>
      <c r="H1580" s="24"/>
      <c r="Q1580" s="2"/>
      <c r="R1580" s="2"/>
    </row>
    <row r="1581" spans="1:18" ht="15.75" customHeight="1" x14ac:dyDescent="0.3">
      <c r="A1581" s="11"/>
      <c r="B1581" s="11"/>
      <c r="D1581" s="21"/>
      <c r="E1581" s="22"/>
      <c r="G1581" s="23"/>
      <c r="H1581" s="24"/>
      <c r="Q1581" s="2"/>
      <c r="R1581" s="2"/>
    </row>
    <row r="1582" spans="1:18" ht="15.75" customHeight="1" x14ac:dyDescent="0.3">
      <c r="A1582" s="11"/>
      <c r="B1582" s="11"/>
      <c r="D1582" s="21"/>
      <c r="E1582" s="22"/>
      <c r="G1582" s="23"/>
      <c r="H1582" s="24"/>
      <c r="Q1582" s="2"/>
      <c r="R1582" s="2"/>
    </row>
    <row r="1583" spans="1:18" ht="15.75" customHeight="1" x14ac:dyDescent="0.3">
      <c r="A1583" s="11"/>
      <c r="B1583" s="11"/>
      <c r="D1583" s="21"/>
      <c r="E1583" s="22"/>
      <c r="G1583" s="23"/>
      <c r="H1583" s="24"/>
      <c r="Q1583" s="2"/>
      <c r="R1583" s="2"/>
    </row>
    <row r="1584" spans="1:18" ht="15.75" customHeight="1" x14ac:dyDescent="0.3">
      <c r="A1584" s="11"/>
      <c r="B1584" s="11"/>
      <c r="D1584" s="21"/>
      <c r="E1584" s="22"/>
      <c r="G1584" s="23"/>
      <c r="H1584" s="24"/>
      <c r="Q1584" s="2"/>
      <c r="R1584" s="2"/>
    </row>
    <row r="1585" spans="1:18" ht="15.75" customHeight="1" x14ac:dyDescent="0.3">
      <c r="A1585" s="11"/>
      <c r="B1585" s="11"/>
      <c r="D1585" s="21"/>
      <c r="E1585" s="22"/>
      <c r="G1585" s="23"/>
      <c r="H1585" s="24"/>
      <c r="Q1585" s="2"/>
      <c r="R1585" s="2"/>
    </row>
    <row r="1586" spans="1:18" ht="15.75" customHeight="1" x14ac:dyDescent="0.3">
      <c r="A1586" s="11"/>
      <c r="B1586" s="11"/>
      <c r="D1586" s="21"/>
      <c r="E1586" s="22"/>
      <c r="G1586" s="23"/>
      <c r="H1586" s="24"/>
      <c r="Q1586" s="2"/>
      <c r="R1586" s="2"/>
    </row>
    <row r="1587" spans="1:18" ht="15.75" customHeight="1" x14ac:dyDescent="0.3">
      <c r="A1587" s="11"/>
      <c r="B1587" s="11"/>
      <c r="D1587" s="21"/>
      <c r="E1587" s="22"/>
      <c r="G1587" s="23"/>
      <c r="H1587" s="24"/>
      <c r="Q1587" s="2"/>
      <c r="R1587" s="2"/>
    </row>
    <row r="1588" spans="1:18" ht="15.75" customHeight="1" x14ac:dyDescent="0.3">
      <c r="A1588" s="11"/>
      <c r="B1588" s="11"/>
      <c r="D1588" s="21"/>
      <c r="E1588" s="22"/>
      <c r="G1588" s="23"/>
      <c r="H1588" s="24"/>
      <c r="Q1588" s="2"/>
      <c r="R1588" s="2"/>
    </row>
    <row r="1589" spans="1:18" ht="15.75" customHeight="1" x14ac:dyDescent="0.3">
      <c r="A1589" s="11"/>
      <c r="B1589" s="11"/>
      <c r="D1589" s="21"/>
      <c r="E1589" s="22"/>
      <c r="G1589" s="23"/>
      <c r="H1589" s="24"/>
      <c r="Q1589" s="2"/>
      <c r="R1589" s="2"/>
    </row>
    <row r="1590" spans="1:18" ht="15.75" customHeight="1" x14ac:dyDescent="0.3">
      <c r="A1590" s="11"/>
      <c r="B1590" s="11"/>
      <c r="D1590" s="21"/>
      <c r="E1590" s="22"/>
      <c r="G1590" s="23"/>
      <c r="H1590" s="24"/>
      <c r="Q1590" s="2"/>
      <c r="R1590" s="2"/>
    </row>
    <row r="1591" spans="1:18" ht="15.75" customHeight="1" x14ac:dyDescent="0.3">
      <c r="A1591" s="11"/>
      <c r="B1591" s="11"/>
      <c r="D1591" s="21"/>
      <c r="E1591" s="22"/>
      <c r="G1591" s="23"/>
      <c r="H1591" s="24"/>
      <c r="Q1591" s="2"/>
      <c r="R1591" s="2"/>
    </row>
    <row r="1592" spans="1:18" ht="15.75" customHeight="1" x14ac:dyDescent="0.3">
      <c r="A1592" s="11"/>
      <c r="B1592" s="11"/>
      <c r="D1592" s="21"/>
      <c r="E1592" s="22"/>
      <c r="G1592" s="23"/>
      <c r="H1592" s="24"/>
      <c r="Q1592" s="2"/>
      <c r="R1592" s="2"/>
    </row>
    <row r="1593" spans="1:18" ht="15.75" customHeight="1" x14ac:dyDescent="0.3">
      <c r="A1593" s="11"/>
      <c r="B1593" s="11"/>
      <c r="D1593" s="21"/>
      <c r="E1593" s="22"/>
      <c r="G1593" s="23"/>
      <c r="H1593" s="24"/>
      <c r="Q1593" s="2"/>
      <c r="R1593" s="2"/>
    </row>
    <row r="1594" spans="1:18" ht="15.75" customHeight="1" x14ac:dyDescent="0.3">
      <c r="A1594" s="11"/>
      <c r="B1594" s="11"/>
      <c r="D1594" s="21"/>
      <c r="E1594" s="22"/>
      <c r="G1594" s="23"/>
      <c r="H1594" s="24"/>
      <c r="Q1594" s="2"/>
      <c r="R1594" s="2"/>
    </row>
    <row r="1595" spans="1:18" ht="15.75" customHeight="1" x14ac:dyDescent="0.3">
      <c r="A1595" s="11"/>
      <c r="B1595" s="11"/>
      <c r="D1595" s="21"/>
      <c r="E1595" s="22"/>
      <c r="G1595" s="23"/>
      <c r="H1595" s="24"/>
      <c r="Q1595" s="2"/>
      <c r="R1595" s="2"/>
    </row>
    <row r="1596" spans="1:18" ht="15.75" customHeight="1" x14ac:dyDescent="0.3">
      <c r="A1596" s="11"/>
      <c r="B1596" s="11"/>
      <c r="D1596" s="21"/>
      <c r="E1596" s="22"/>
      <c r="G1596" s="23"/>
      <c r="H1596" s="24"/>
      <c r="Q1596" s="2"/>
      <c r="R1596" s="2"/>
    </row>
    <row r="1597" spans="1:18" ht="15.75" customHeight="1" x14ac:dyDescent="0.3">
      <c r="A1597" s="11"/>
      <c r="B1597" s="11"/>
      <c r="D1597" s="21"/>
      <c r="E1597" s="22"/>
      <c r="G1597" s="23"/>
      <c r="H1597" s="24"/>
      <c r="Q1597" s="2"/>
      <c r="R1597" s="2"/>
    </row>
    <row r="1598" spans="1:18" ht="15.75" customHeight="1" x14ac:dyDescent="0.3">
      <c r="A1598" s="11"/>
      <c r="B1598" s="11"/>
      <c r="D1598" s="21"/>
      <c r="E1598" s="22"/>
      <c r="G1598" s="23"/>
      <c r="H1598" s="24"/>
      <c r="Q1598" s="2"/>
      <c r="R1598" s="2"/>
    </row>
    <row r="1599" spans="1:18" ht="15.75" customHeight="1" x14ac:dyDescent="0.3">
      <c r="A1599" s="11"/>
      <c r="B1599" s="11"/>
      <c r="D1599" s="21"/>
      <c r="E1599" s="22"/>
      <c r="G1599" s="23"/>
      <c r="H1599" s="24"/>
      <c r="Q1599" s="2"/>
      <c r="R1599" s="2"/>
    </row>
    <row r="1600" spans="1:18" ht="15.75" customHeight="1" x14ac:dyDescent="0.3">
      <c r="A1600" s="11"/>
      <c r="B1600" s="11"/>
      <c r="D1600" s="21"/>
      <c r="E1600" s="22"/>
      <c r="G1600" s="23"/>
      <c r="H1600" s="24"/>
      <c r="Q1600" s="2"/>
      <c r="R1600" s="2"/>
    </row>
    <row r="1601" spans="1:18" ht="15.75" customHeight="1" x14ac:dyDescent="0.3">
      <c r="A1601" s="11"/>
      <c r="B1601" s="11"/>
      <c r="D1601" s="21"/>
      <c r="E1601" s="22"/>
      <c r="G1601" s="23"/>
      <c r="H1601" s="24"/>
      <c r="Q1601" s="2"/>
      <c r="R1601" s="2"/>
    </row>
    <row r="1602" spans="1:18" ht="15.75" customHeight="1" x14ac:dyDescent="0.3">
      <c r="A1602" s="11"/>
      <c r="B1602" s="11"/>
      <c r="D1602" s="21"/>
      <c r="E1602" s="22"/>
      <c r="G1602" s="23"/>
      <c r="H1602" s="24"/>
      <c r="Q1602" s="2"/>
      <c r="R1602" s="2"/>
    </row>
    <row r="1603" spans="1:18" ht="15.75" customHeight="1" x14ac:dyDescent="0.3">
      <c r="A1603" s="11"/>
      <c r="B1603" s="11"/>
      <c r="D1603" s="21"/>
      <c r="E1603" s="22"/>
      <c r="G1603" s="23"/>
      <c r="H1603" s="24"/>
      <c r="Q1603" s="2"/>
      <c r="R1603" s="2"/>
    </row>
    <row r="1604" spans="1:18" ht="15.75" customHeight="1" x14ac:dyDescent="0.3">
      <c r="A1604" s="11"/>
      <c r="B1604" s="11"/>
      <c r="D1604" s="21"/>
      <c r="E1604" s="22"/>
      <c r="G1604" s="23"/>
      <c r="H1604" s="24"/>
      <c r="Q1604" s="2"/>
      <c r="R1604" s="2"/>
    </row>
    <row r="1605" spans="1:18" ht="15.75" customHeight="1" x14ac:dyDescent="0.3">
      <c r="A1605" s="11"/>
      <c r="B1605" s="11"/>
      <c r="D1605" s="21"/>
      <c r="E1605" s="22"/>
      <c r="G1605" s="23"/>
      <c r="H1605" s="24"/>
      <c r="Q1605" s="2"/>
      <c r="R1605" s="2"/>
    </row>
    <row r="1606" spans="1:18" ht="15.75" customHeight="1" x14ac:dyDescent="0.3">
      <c r="A1606" s="11"/>
      <c r="B1606" s="11"/>
      <c r="D1606" s="21"/>
      <c r="E1606" s="22"/>
      <c r="G1606" s="23"/>
      <c r="H1606" s="24"/>
      <c r="Q1606" s="2"/>
      <c r="R1606" s="2"/>
    </row>
    <row r="1607" spans="1:18" ht="15.75" customHeight="1" x14ac:dyDescent="0.3">
      <c r="A1607" s="11"/>
      <c r="B1607" s="11"/>
      <c r="D1607" s="21"/>
      <c r="E1607" s="22"/>
      <c r="G1607" s="23"/>
      <c r="H1607" s="24"/>
      <c r="Q1607" s="2"/>
      <c r="R1607" s="2"/>
    </row>
    <row r="1608" spans="1:18" ht="15.75" customHeight="1" x14ac:dyDescent="0.3">
      <c r="A1608" s="11"/>
      <c r="B1608" s="11"/>
      <c r="D1608" s="21"/>
      <c r="E1608" s="22"/>
      <c r="G1608" s="23"/>
      <c r="H1608" s="24"/>
      <c r="Q1608" s="2"/>
      <c r="R1608" s="2"/>
    </row>
    <row r="1609" spans="1:18" ht="15.75" customHeight="1" x14ac:dyDescent="0.3">
      <c r="A1609" s="11"/>
      <c r="B1609" s="11"/>
      <c r="D1609" s="21"/>
      <c r="E1609" s="22"/>
      <c r="G1609" s="23"/>
      <c r="H1609" s="24"/>
      <c r="Q1609" s="2"/>
      <c r="R1609" s="2"/>
    </row>
    <row r="1610" spans="1:18" ht="15.75" customHeight="1" x14ac:dyDescent="0.3">
      <c r="A1610" s="11"/>
      <c r="B1610" s="11"/>
      <c r="D1610" s="21"/>
      <c r="E1610" s="22"/>
      <c r="G1610" s="23"/>
      <c r="H1610" s="24"/>
      <c r="Q1610" s="2"/>
      <c r="R1610" s="2"/>
    </row>
    <row r="1611" spans="1:18" ht="15.75" customHeight="1" x14ac:dyDescent="0.3">
      <c r="A1611" s="11"/>
      <c r="B1611" s="11"/>
      <c r="D1611" s="21"/>
      <c r="E1611" s="22"/>
      <c r="G1611" s="23"/>
      <c r="H1611" s="24"/>
      <c r="Q1611" s="2"/>
      <c r="R1611" s="2"/>
    </row>
    <row r="1612" spans="1:18" ht="15.75" customHeight="1" x14ac:dyDescent="0.3">
      <c r="A1612" s="11"/>
      <c r="B1612" s="11"/>
      <c r="D1612" s="21"/>
      <c r="E1612" s="22"/>
      <c r="G1612" s="23"/>
      <c r="H1612" s="24"/>
      <c r="Q1612" s="2"/>
      <c r="R1612" s="2"/>
    </row>
    <row r="1613" spans="1:18" ht="15.75" customHeight="1" x14ac:dyDescent="0.3">
      <c r="A1613" s="11"/>
      <c r="B1613" s="11"/>
      <c r="D1613" s="21"/>
      <c r="E1613" s="22"/>
      <c r="G1613" s="23"/>
      <c r="H1613" s="24"/>
      <c r="Q1613" s="2"/>
      <c r="R1613" s="2"/>
    </row>
    <row r="1614" spans="1:18" ht="15.75" customHeight="1" x14ac:dyDescent="0.3">
      <c r="A1614" s="11"/>
      <c r="B1614" s="11"/>
      <c r="D1614" s="21"/>
      <c r="E1614" s="22"/>
      <c r="G1614" s="23"/>
      <c r="H1614" s="24"/>
      <c r="Q1614" s="2"/>
      <c r="R1614" s="2"/>
    </row>
    <row r="1615" spans="1:18" ht="15.75" customHeight="1" x14ac:dyDescent="0.3">
      <c r="A1615" s="11"/>
      <c r="B1615" s="11"/>
      <c r="D1615" s="21"/>
      <c r="E1615" s="22"/>
      <c r="G1615" s="23"/>
      <c r="H1615" s="24"/>
      <c r="Q1615" s="2"/>
      <c r="R1615" s="2"/>
    </row>
    <row r="1616" spans="1:18" ht="15.75" customHeight="1" x14ac:dyDescent="0.3">
      <c r="A1616" s="11"/>
      <c r="B1616" s="11"/>
      <c r="D1616" s="21"/>
      <c r="E1616" s="22"/>
      <c r="G1616" s="23"/>
      <c r="H1616" s="24"/>
      <c r="Q1616" s="2"/>
      <c r="R1616" s="2"/>
    </row>
    <row r="1617" spans="1:18" ht="15.75" customHeight="1" x14ac:dyDescent="0.3">
      <c r="A1617" s="11"/>
      <c r="B1617" s="11"/>
      <c r="D1617" s="21"/>
      <c r="E1617" s="22"/>
      <c r="G1617" s="23"/>
      <c r="H1617" s="24"/>
      <c r="Q1617" s="2"/>
      <c r="R1617" s="2"/>
    </row>
    <row r="1618" spans="1:18" ht="15.75" customHeight="1" x14ac:dyDescent="0.3">
      <c r="A1618" s="11"/>
      <c r="B1618" s="11"/>
      <c r="D1618" s="21"/>
      <c r="E1618" s="22"/>
      <c r="G1618" s="23"/>
      <c r="H1618" s="24"/>
      <c r="Q1618" s="2"/>
      <c r="R1618" s="2"/>
    </row>
    <row r="1619" spans="1:18" ht="15.75" customHeight="1" x14ac:dyDescent="0.3">
      <c r="A1619" s="11"/>
      <c r="B1619" s="11"/>
      <c r="D1619" s="21"/>
      <c r="E1619" s="22"/>
      <c r="G1619" s="23"/>
      <c r="H1619" s="24"/>
      <c r="Q1619" s="2"/>
      <c r="R1619" s="2"/>
    </row>
    <row r="1620" spans="1:18" ht="15.75" customHeight="1" x14ac:dyDescent="0.3">
      <c r="A1620" s="11"/>
      <c r="B1620" s="11"/>
      <c r="D1620" s="21"/>
      <c r="E1620" s="22"/>
      <c r="G1620" s="23"/>
      <c r="H1620" s="24"/>
      <c r="Q1620" s="2"/>
      <c r="R1620" s="2"/>
    </row>
    <row r="1621" spans="1:18" ht="15.75" customHeight="1" x14ac:dyDescent="0.3">
      <c r="A1621" s="11"/>
      <c r="B1621" s="11"/>
      <c r="D1621" s="21"/>
      <c r="E1621" s="22"/>
      <c r="G1621" s="23"/>
      <c r="H1621" s="24"/>
      <c r="Q1621" s="2"/>
      <c r="R1621" s="2"/>
    </row>
    <row r="1622" spans="1:18" ht="15.75" customHeight="1" x14ac:dyDescent="0.3">
      <c r="A1622" s="11"/>
      <c r="B1622" s="11"/>
      <c r="D1622" s="21"/>
      <c r="E1622" s="22"/>
      <c r="G1622" s="23"/>
      <c r="H1622" s="24"/>
      <c r="Q1622" s="2"/>
      <c r="R1622" s="2"/>
    </row>
    <row r="1623" spans="1:18" ht="15.75" customHeight="1" x14ac:dyDescent="0.3">
      <c r="A1623" s="11"/>
      <c r="B1623" s="11"/>
      <c r="D1623" s="21"/>
      <c r="E1623" s="22"/>
      <c r="G1623" s="23"/>
      <c r="H1623" s="24"/>
      <c r="Q1623" s="2"/>
      <c r="R1623" s="2"/>
    </row>
    <row r="1624" spans="1:18" ht="15.75" customHeight="1" x14ac:dyDescent="0.3">
      <c r="A1624" s="11"/>
      <c r="B1624" s="11"/>
      <c r="D1624" s="21"/>
      <c r="E1624" s="22"/>
      <c r="G1624" s="23"/>
      <c r="H1624" s="24"/>
      <c r="Q1624" s="2"/>
      <c r="R1624" s="2"/>
    </row>
    <row r="1625" spans="1:18" ht="15.75" customHeight="1" x14ac:dyDescent="0.3">
      <c r="A1625" s="11"/>
      <c r="B1625" s="11"/>
      <c r="D1625" s="21"/>
      <c r="E1625" s="22"/>
      <c r="G1625" s="23"/>
      <c r="H1625" s="24"/>
      <c r="Q1625" s="2"/>
      <c r="R1625" s="2"/>
    </row>
    <row r="1626" spans="1:18" ht="15.75" customHeight="1" x14ac:dyDescent="0.3">
      <c r="A1626" s="11"/>
      <c r="B1626" s="11"/>
      <c r="D1626" s="21"/>
      <c r="E1626" s="22"/>
      <c r="G1626" s="23"/>
      <c r="H1626" s="24"/>
      <c r="Q1626" s="2"/>
      <c r="R1626" s="2"/>
    </row>
    <row r="1627" spans="1:18" ht="15.75" customHeight="1" x14ac:dyDescent="0.3">
      <c r="A1627" s="11"/>
      <c r="B1627" s="11"/>
      <c r="D1627" s="21"/>
      <c r="E1627" s="22"/>
      <c r="G1627" s="23"/>
      <c r="H1627" s="24"/>
      <c r="Q1627" s="2"/>
      <c r="R1627" s="2"/>
    </row>
    <row r="1628" spans="1:18" ht="15.75" customHeight="1" x14ac:dyDescent="0.3">
      <c r="A1628" s="11"/>
      <c r="B1628" s="11"/>
      <c r="D1628" s="21"/>
      <c r="E1628" s="22"/>
      <c r="G1628" s="23"/>
      <c r="H1628" s="24"/>
      <c r="Q1628" s="2"/>
      <c r="R1628" s="2"/>
    </row>
    <row r="1629" spans="1:18" ht="15.75" customHeight="1" x14ac:dyDescent="0.3">
      <c r="A1629" s="11"/>
      <c r="B1629" s="11"/>
      <c r="D1629" s="21"/>
      <c r="E1629" s="22"/>
      <c r="G1629" s="23"/>
      <c r="H1629" s="24"/>
      <c r="Q1629" s="2"/>
      <c r="R1629" s="2"/>
    </row>
    <row r="1630" spans="1:18" ht="15.75" customHeight="1" x14ac:dyDescent="0.3">
      <c r="A1630" s="11"/>
      <c r="B1630" s="11"/>
      <c r="D1630" s="21"/>
      <c r="E1630" s="22"/>
      <c r="G1630" s="23"/>
      <c r="H1630" s="24"/>
      <c r="Q1630" s="2"/>
      <c r="R1630" s="2"/>
    </row>
    <row r="1631" spans="1:18" ht="15.75" customHeight="1" x14ac:dyDescent="0.3">
      <c r="A1631" s="11"/>
      <c r="B1631" s="11"/>
      <c r="D1631" s="21"/>
      <c r="E1631" s="22"/>
      <c r="G1631" s="23"/>
      <c r="H1631" s="24"/>
      <c r="Q1631" s="2"/>
      <c r="R1631" s="2"/>
    </row>
    <row r="1632" spans="1:18" ht="15.75" customHeight="1" x14ac:dyDescent="0.3">
      <c r="A1632" s="11"/>
      <c r="B1632" s="11"/>
      <c r="D1632" s="21"/>
      <c r="E1632" s="22"/>
      <c r="G1632" s="23"/>
      <c r="H1632" s="24"/>
      <c r="Q1632" s="2"/>
      <c r="R1632" s="2"/>
    </row>
    <row r="1633" spans="1:18" ht="15.75" customHeight="1" x14ac:dyDescent="0.3">
      <c r="A1633" s="11"/>
      <c r="B1633" s="11"/>
      <c r="D1633" s="21"/>
      <c r="E1633" s="22"/>
      <c r="G1633" s="23"/>
      <c r="H1633" s="24"/>
      <c r="Q1633" s="2"/>
      <c r="R1633" s="2"/>
    </row>
    <row r="1634" spans="1:18" ht="15.75" customHeight="1" x14ac:dyDescent="0.3">
      <c r="A1634" s="11"/>
      <c r="B1634" s="11"/>
      <c r="D1634" s="21"/>
      <c r="E1634" s="22"/>
      <c r="G1634" s="23"/>
      <c r="H1634" s="24"/>
      <c r="Q1634" s="2"/>
      <c r="R1634" s="2"/>
    </row>
    <row r="1635" spans="1:18" ht="15.75" customHeight="1" x14ac:dyDescent="0.3">
      <c r="A1635" s="11"/>
      <c r="B1635" s="11"/>
      <c r="D1635" s="21"/>
      <c r="E1635" s="22"/>
      <c r="G1635" s="23"/>
      <c r="H1635" s="24"/>
      <c r="Q1635" s="2"/>
      <c r="R1635" s="2"/>
    </row>
    <row r="1636" spans="1:18" ht="15.75" customHeight="1" x14ac:dyDescent="0.3">
      <c r="A1636" s="11"/>
      <c r="B1636" s="11"/>
      <c r="D1636" s="21"/>
      <c r="E1636" s="22"/>
      <c r="G1636" s="23"/>
      <c r="H1636" s="24"/>
      <c r="Q1636" s="2"/>
      <c r="R1636" s="2"/>
    </row>
    <row r="1637" spans="1:18" ht="15.75" customHeight="1" x14ac:dyDescent="0.3">
      <c r="A1637" s="11"/>
      <c r="B1637" s="11"/>
      <c r="D1637" s="21"/>
      <c r="E1637" s="22"/>
      <c r="G1637" s="23"/>
      <c r="H1637" s="24"/>
      <c r="Q1637" s="2"/>
      <c r="R1637" s="2"/>
    </row>
    <row r="1638" spans="1:18" ht="15.75" customHeight="1" x14ac:dyDescent="0.3">
      <c r="A1638" s="11"/>
      <c r="B1638" s="11"/>
      <c r="D1638" s="21"/>
      <c r="E1638" s="22"/>
      <c r="G1638" s="23"/>
      <c r="H1638" s="24"/>
      <c r="Q1638" s="2"/>
      <c r="R1638" s="2"/>
    </row>
    <row r="1639" spans="1:18" ht="15.75" customHeight="1" x14ac:dyDescent="0.3">
      <c r="A1639" s="11"/>
      <c r="B1639" s="11"/>
      <c r="D1639" s="21"/>
      <c r="E1639" s="22"/>
      <c r="G1639" s="23"/>
      <c r="H1639" s="24"/>
      <c r="Q1639" s="2"/>
      <c r="R1639" s="2"/>
    </row>
    <row r="1640" spans="1:18" ht="15.75" customHeight="1" x14ac:dyDescent="0.3">
      <c r="A1640" s="11"/>
      <c r="B1640" s="11"/>
      <c r="D1640" s="21"/>
      <c r="E1640" s="22"/>
      <c r="G1640" s="23"/>
      <c r="H1640" s="24"/>
      <c r="Q1640" s="2"/>
      <c r="R1640" s="2"/>
    </row>
    <row r="1641" spans="1:18" ht="15.75" customHeight="1" x14ac:dyDescent="0.3">
      <c r="A1641" s="11"/>
      <c r="B1641" s="11"/>
      <c r="D1641" s="21"/>
      <c r="E1641" s="22"/>
      <c r="G1641" s="23"/>
      <c r="H1641" s="24"/>
      <c r="Q1641" s="2"/>
      <c r="R1641" s="2"/>
    </row>
    <row r="1642" spans="1:18" ht="15.75" customHeight="1" x14ac:dyDescent="0.3">
      <c r="A1642" s="11"/>
      <c r="B1642" s="11"/>
      <c r="D1642" s="21"/>
      <c r="E1642" s="22"/>
      <c r="G1642" s="23"/>
      <c r="H1642" s="24"/>
      <c r="Q1642" s="2"/>
      <c r="R1642" s="2"/>
    </row>
    <row r="1643" spans="1:18" ht="15.75" customHeight="1" x14ac:dyDescent="0.3">
      <c r="A1643" s="11"/>
      <c r="B1643" s="11"/>
      <c r="D1643" s="21"/>
      <c r="E1643" s="22"/>
      <c r="G1643" s="23"/>
      <c r="H1643" s="24"/>
      <c r="Q1643" s="2"/>
      <c r="R1643" s="2"/>
    </row>
    <row r="1644" spans="1:18" ht="15.75" customHeight="1" x14ac:dyDescent="0.3">
      <c r="A1644" s="11"/>
      <c r="B1644" s="11"/>
      <c r="D1644" s="21"/>
      <c r="E1644" s="22"/>
      <c r="G1644" s="23"/>
      <c r="H1644" s="24"/>
      <c r="Q1644" s="2"/>
      <c r="R1644" s="2"/>
    </row>
    <row r="1645" spans="1:18" ht="15.75" customHeight="1" x14ac:dyDescent="0.3">
      <c r="A1645" s="11"/>
      <c r="B1645" s="11"/>
      <c r="D1645" s="21"/>
      <c r="E1645" s="22"/>
      <c r="G1645" s="23"/>
      <c r="H1645" s="24"/>
      <c r="Q1645" s="2"/>
      <c r="R1645" s="2"/>
    </row>
    <row r="1646" spans="1:18" ht="15.75" customHeight="1" x14ac:dyDescent="0.3">
      <c r="A1646" s="11"/>
      <c r="B1646" s="11"/>
      <c r="D1646" s="21"/>
      <c r="E1646" s="22"/>
      <c r="G1646" s="23"/>
      <c r="H1646" s="24"/>
      <c r="Q1646" s="2"/>
      <c r="R1646" s="2"/>
    </row>
    <row r="1647" spans="1:18" ht="15.75" customHeight="1" x14ac:dyDescent="0.3">
      <c r="A1647" s="11"/>
      <c r="B1647" s="11"/>
      <c r="D1647" s="21"/>
      <c r="E1647" s="22"/>
      <c r="G1647" s="23"/>
      <c r="H1647" s="24"/>
      <c r="Q1647" s="2"/>
      <c r="R1647" s="2"/>
    </row>
    <row r="1648" spans="1:18" ht="15.75" customHeight="1" x14ac:dyDescent="0.3">
      <c r="A1648" s="11"/>
      <c r="B1648" s="11"/>
      <c r="D1648" s="21"/>
      <c r="E1648" s="22"/>
      <c r="G1648" s="23"/>
      <c r="H1648" s="24"/>
      <c r="Q1648" s="2"/>
      <c r="R1648" s="2"/>
    </row>
    <row r="1649" spans="1:18" ht="15.75" customHeight="1" x14ac:dyDescent="0.3">
      <c r="A1649" s="11"/>
      <c r="B1649" s="11"/>
      <c r="D1649" s="21"/>
      <c r="E1649" s="22"/>
      <c r="G1649" s="23"/>
      <c r="H1649" s="24"/>
      <c r="Q1649" s="2"/>
      <c r="R1649" s="2"/>
    </row>
    <row r="1650" spans="1:18" ht="15.75" customHeight="1" x14ac:dyDescent="0.3">
      <c r="A1650" s="11"/>
      <c r="B1650" s="11"/>
      <c r="D1650" s="21"/>
      <c r="E1650" s="22"/>
      <c r="G1650" s="23"/>
      <c r="H1650" s="24"/>
      <c r="Q1650" s="2"/>
      <c r="R1650" s="2"/>
    </row>
    <row r="1651" spans="1:18" ht="15.75" customHeight="1" x14ac:dyDescent="0.3">
      <c r="A1651" s="11"/>
      <c r="B1651" s="11"/>
      <c r="D1651" s="21"/>
      <c r="E1651" s="22"/>
      <c r="G1651" s="23"/>
      <c r="H1651" s="24"/>
      <c r="Q1651" s="2"/>
      <c r="R1651" s="2"/>
    </row>
    <row r="1652" spans="1:18" ht="15.75" customHeight="1" x14ac:dyDescent="0.3">
      <c r="A1652" s="11"/>
      <c r="B1652" s="11"/>
      <c r="D1652" s="21"/>
      <c r="E1652" s="22"/>
      <c r="G1652" s="23"/>
      <c r="H1652" s="24"/>
      <c r="Q1652" s="2"/>
      <c r="R1652" s="2"/>
    </row>
    <row r="1653" spans="1:18" ht="15.75" customHeight="1" x14ac:dyDescent="0.3">
      <c r="A1653" s="11"/>
      <c r="B1653" s="11"/>
      <c r="D1653" s="21"/>
      <c r="E1653" s="22"/>
      <c r="G1653" s="23"/>
      <c r="H1653" s="24"/>
      <c r="Q1653" s="2"/>
      <c r="R1653" s="2"/>
    </row>
    <row r="1654" spans="1:18" ht="15.75" customHeight="1" x14ac:dyDescent="0.3">
      <c r="A1654" s="11"/>
      <c r="B1654" s="11"/>
      <c r="D1654" s="21"/>
      <c r="E1654" s="22"/>
      <c r="G1654" s="23"/>
      <c r="H1654" s="24"/>
      <c r="Q1654" s="2"/>
      <c r="R1654" s="2"/>
    </row>
    <row r="1655" spans="1:18" ht="15.75" customHeight="1" x14ac:dyDescent="0.3">
      <c r="A1655" s="11"/>
      <c r="B1655" s="11"/>
      <c r="D1655" s="21"/>
      <c r="E1655" s="22"/>
      <c r="G1655" s="23"/>
      <c r="H1655" s="24"/>
      <c r="Q1655" s="2"/>
      <c r="R1655" s="2"/>
    </row>
    <row r="1656" spans="1:18" ht="15.75" customHeight="1" x14ac:dyDescent="0.3">
      <c r="A1656" s="11"/>
      <c r="B1656" s="11"/>
      <c r="D1656" s="21"/>
      <c r="E1656" s="22"/>
      <c r="G1656" s="23"/>
      <c r="H1656" s="24"/>
      <c r="Q1656" s="2"/>
      <c r="R1656" s="2"/>
    </row>
    <row r="1657" spans="1:18" ht="15.75" customHeight="1" x14ac:dyDescent="0.3">
      <c r="A1657" s="11"/>
      <c r="B1657" s="11"/>
      <c r="D1657" s="21"/>
      <c r="E1657" s="22"/>
      <c r="G1657" s="23"/>
      <c r="H1657" s="24"/>
      <c r="Q1657" s="2"/>
      <c r="R1657" s="2"/>
    </row>
    <row r="1658" spans="1:18" ht="15.75" customHeight="1" x14ac:dyDescent="0.3">
      <c r="A1658" s="11"/>
      <c r="B1658" s="11"/>
      <c r="D1658" s="21"/>
      <c r="E1658" s="22"/>
      <c r="G1658" s="23"/>
      <c r="H1658" s="24"/>
      <c r="Q1658" s="2"/>
      <c r="R1658" s="2"/>
    </row>
    <row r="1659" spans="1:18" ht="15.75" customHeight="1" x14ac:dyDescent="0.3">
      <c r="A1659" s="11"/>
      <c r="B1659" s="11"/>
      <c r="D1659" s="21"/>
      <c r="E1659" s="22"/>
      <c r="G1659" s="23"/>
      <c r="H1659" s="24"/>
      <c r="Q1659" s="2"/>
      <c r="R1659" s="2"/>
    </row>
    <row r="1660" spans="1:18" ht="15.75" customHeight="1" x14ac:dyDescent="0.3">
      <c r="A1660" s="11"/>
      <c r="B1660" s="11"/>
      <c r="D1660" s="21"/>
      <c r="E1660" s="22"/>
      <c r="G1660" s="23"/>
      <c r="H1660" s="24"/>
      <c r="Q1660" s="2"/>
      <c r="R1660" s="2"/>
    </row>
    <row r="1661" spans="1:18" ht="15.75" customHeight="1" x14ac:dyDescent="0.3">
      <c r="A1661" s="11"/>
      <c r="B1661" s="11"/>
      <c r="D1661" s="21"/>
      <c r="E1661" s="22"/>
      <c r="G1661" s="23"/>
      <c r="H1661" s="24"/>
      <c r="Q1661" s="2"/>
      <c r="R1661" s="2"/>
    </row>
    <row r="1662" spans="1:18" ht="15.75" customHeight="1" x14ac:dyDescent="0.3">
      <c r="A1662" s="11"/>
      <c r="B1662" s="11"/>
      <c r="D1662" s="21"/>
      <c r="E1662" s="22"/>
      <c r="G1662" s="23"/>
      <c r="H1662" s="24"/>
      <c r="Q1662" s="2"/>
      <c r="R1662" s="2"/>
    </row>
    <row r="1663" spans="1:18" ht="15.75" customHeight="1" x14ac:dyDescent="0.3">
      <c r="A1663" s="11"/>
      <c r="B1663" s="11"/>
      <c r="D1663" s="21"/>
      <c r="E1663" s="22"/>
      <c r="G1663" s="23"/>
      <c r="H1663" s="24"/>
      <c r="Q1663" s="2"/>
      <c r="R1663" s="2"/>
    </row>
    <row r="1664" spans="1:18" ht="15.75" customHeight="1" x14ac:dyDescent="0.3">
      <c r="A1664" s="11"/>
      <c r="B1664" s="11"/>
      <c r="D1664" s="21"/>
      <c r="E1664" s="22"/>
      <c r="G1664" s="23"/>
      <c r="H1664" s="24"/>
      <c r="Q1664" s="2"/>
      <c r="R1664" s="2"/>
    </row>
    <row r="1665" spans="1:18" ht="15.75" customHeight="1" x14ac:dyDescent="0.3">
      <c r="A1665" s="11"/>
      <c r="B1665" s="11"/>
      <c r="D1665" s="21"/>
      <c r="E1665" s="22"/>
      <c r="G1665" s="23"/>
      <c r="H1665" s="24"/>
      <c r="Q1665" s="2"/>
      <c r="R1665" s="2"/>
    </row>
    <row r="1666" spans="1:18" ht="15.75" customHeight="1" x14ac:dyDescent="0.3">
      <c r="A1666" s="11"/>
      <c r="B1666" s="11"/>
      <c r="D1666" s="21"/>
      <c r="E1666" s="22"/>
      <c r="G1666" s="23"/>
      <c r="H1666" s="24"/>
      <c r="Q1666" s="2"/>
      <c r="R1666" s="2"/>
    </row>
    <row r="1667" spans="1:18" ht="15.75" customHeight="1" x14ac:dyDescent="0.3">
      <c r="A1667" s="11"/>
      <c r="B1667" s="11"/>
      <c r="D1667" s="21"/>
      <c r="E1667" s="22"/>
      <c r="G1667" s="23"/>
      <c r="H1667" s="24"/>
      <c r="Q1667" s="2"/>
      <c r="R1667" s="2"/>
    </row>
    <row r="1668" spans="1:18" ht="15.75" customHeight="1" x14ac:dyDescent="0.3">
      <c r="A1668" s="11"/>
      <c r="B1668" s="11"/>
      <c r="D1668" s="21"/>
      <c r="E1668" s="22"/>
      <c r="G1668" s="23"/>
      <c r="H1668" s="24"/>
      <c r="Q1668" s="2"/>
      <c r="R1668" s="2"/>
    </row>
    <row r="1669" spans="1:18" ht="15.75" customHeight="1" x14ac:dyDescent="0.3">
      <c r="A1669" s="11"/>
      <c r="B1669" s="11"/>
      <c r="D1669" s="21"/>
      <c r="E1669" s="22"/>
      <c r="G1669" s="23"/>
      <c r="H1669" s="24"/>
      <c r="Q1669" s="2"/>
      <c r="R1669" s="2"/>
    </row>
    <row r="1670" spans="1:18" ht="15.75" customHeight="1" x14ac:dyDescent="0.3">
      <c r="A1670" s="11"/>
      <c r="B1670" s="11"/>
      <c r="D1670" s="21"/>
      <c r="E1670" s="22"/>
      <c r="G1670" s="23"/>
      <c r="H1670" s="24"/>
      <c r="Q1670" s="2"/>
      <c r="R1670" s="2"/>
    </row>
    <row r="1671" spans="1:18" ht="15.75" customHeight="1" x14ac:dyDescent="0.3">
      <c r="A1671" s="11"/>
      <c r="B1671" s="11"/>
      <c r="D1671" s="21"/>
      <c r="E1671" s="22"/>
      <c r="G1671" s="23"/>
      <c r="H1671" s="24"/>
      <c r="Q1671" s="2"/>
      <c r="R1671" s="2"/>
    </row>
    <row r="1672" spans="1:18" ht="15.75" customHeight="1" x14ac:dyDescent="0.3">
      <c r="A1672" s="11"/>
      <c r="B1672" s="11"/>
      <c r="D1672" s="21"/>
      <c r="E1672" s="22"/>
      <c r="G1672" s="23"/>
      <c r="H1672" s="24"/>
      <c r="Q1672" s="2"/>
      <c r="R1672" s="2"/>
    </row>
    <row r="1673" spans="1:18" ht="15.75" customHeight="1" x14ac:dyDescent="0.3">
      <c r="A1673" s="11"/>
      <c r="B1673" s="11"/>
      <c r="D1673" s="21"/>
      <c r="E1673" s="22"/>
      <c r="G1673" s="23"/>
      <c r="H1673" s="24"/>
      <c r="Q1673" s="2"/>
      <c r="R1673" s="2"/>
    </row>
    <row r="1674" spans="1:18" ht="15.75" customHeight="1" x14ac:dyDescent="0.3">
      <c r="A1674" s="11"/>
      <c r="B1674" s="11"/>
      <c r="D1674" s="21"/>
      <c r="E1674" s="22"/>
      <c r="G1674" s="23"/>
      <c r="H1674" s="24"/>
      <c r="Q1674" s="2"/>
      <c r="R1674" s="2"/>
    </row>
    <row r="1675" spans="1:18" ht="15.75" customHeight="1" x14ac:dyDescent="0.3">
      <c r="A1675" s="11"/>
      <c r="B1675" s="11"/>
      <c r="D1675" s="21"/>
      <c r="E1675" s="22"/>
      <c r="G1675" s="23"/>
      <c r="H1675" s="24"/>
      <c r="Q1675" s="2"/>
      <c r="R1675" s="2"/>
    </row>
    <row r="1676" spans="1:18" ht="15.75" customHeight="1" x14ac:dyDescent="0.3">
      <c r="A1676" s="11"/>
      <c r="B1676" s="11"/>
      <c r="D1676" s="21"/>
      <c r="E1676" s="22"/>
      <c r="G1676" s="23"/>
      <c r="H1676" s="24"/>
      <c r="Q1676" s="2"/>
      <c r="R1676" s="2"/>
    </row>
    <row r="1677" spans="1:18" ht="15.75" customHeight="1" x14ac:dyDescent="0.3">
      <c r="A1677" s="11"/>
      <c r="B1677" s="11"/>
      <c r="D1677" s="21"/>
      <c r="E1677" s="22"/>
      <c r="G1677" s="23"/>
      <c r="H1677" s="24"/>
      <c r="Q1677" s="2"/>
      <c r="R1677" s="2"/>
    </row>
    <row r="1678" spans="1:18" ht="15.75" customHeight="1" x14ac:dyDescent="0.3">
      <c r="A1678" s="11"/>
      <c r="B1678" s="11"/>
      <c r="D1678" s="21"/>
      <c r="E1678" s="22"/>
      <c r="G1678" s="23"/>
      <c r="H1678" s="24"/>
      <c r="Q1678" s="2"/>
      <c r="R1678" s="2"/>
    </row>
    <row r="1679" spans="1:18" ht="15.75" customHeight="1" x14ac:dyDescent="0.3">
      <c r="A1679" s="11"/>
      <c r="B1679" s="11"/>
      <c r="D1679" s="21"/>
      <c r="E1679" s="22"/>
      <c r="G1679" s="23"/>
      <c r="H1679" s="24"/>
      <c r="Q1679" s="2"/>
      <c r="R1679" s="2"/>
    </row>
    <row r="1680" spans="1:18" ht="15.75" customHeight="1" x14ac:dyDescent="0.3">
      <c r="A1680" s="11"/>
      <c r="B1680" s="11"/>
      <c r="D1680" s="21"/>
      <c r="E1680" s="22"/>
      <c r="G1680" s="23"/>
      <c r="H1680" s="24"/>
      <c r="Q1680" s="2"/>
      <c r="R1680" s="2"/>
    </row>
    <row r="1681" spans="1:18" ht="15.75" customHeight="1" x14ac:dyDescent="0.3">
      <c r="A1681" s="11"/>
      <c r="B1681" s="11"/>
      <c r="D1681" s="21"/>
      <c r="E1681" s="22"/>
      <c r="G1681" s="23"/>
      <c r="H1681" s="24"/>
      <c r="Q1681" s="2"/>
      <c r="R1681" s="2"/>
    </row>
    <row r="1682" spans="1:18" ht="15.75" customHeight="1" x14ac:dyDescent="0.3">
      <c r="A1682" s="11"/>
      <c r="B1682" s="11"/>
      <c r="D1682" s="21"/>
      <c r="E1682" s="22"/>
      <c r="G1682" s="23"/>
      <c r="H1682" s="24"/>
      <c r="Q1682" s="2"/>
      <c r="R1682" s="2"/>
    </row>
    <row r="1683" spans="1:18" ht="15.75" customHeight="1" x14ac:dyDescent="0.3">
      <c r="A1683" s="11"/>
      <c r="B1683" s="11"/>
      <c r="D1683" s="21"/>
      <c r="E1683" s="22"/>
      <c r="G1683" s="23"/>
      <c r="H1683" s="24"/>
      <c r="Q1683" s="2"/>
      <c r="R1683" s="2"/>
    </row>
    <row r="1684" spans="1:18" ht="15.75" customHeight="1" x14ac:dyDescent="0.3">
      <c r="A1684" s="11"/>
      <c r="B1684" s="11"/>
      <c r="D1684" s="21"/>
      <c r="E1684" s="22"/>
      <c r="G1684" s="23"/>
      <c r="H1684" s="24"/>
      <c r="Q1684" s="2"/>
      <c r="R1684" s="2"/>
    </row>
    <row r="1685" spans="1:18" ht="15.75" customHeight="1" x14ac:dyDescent="0.3">
      <c r="A1685" s="11"/>
      <c r="B1685" s="11"/>
      <c r="D1685" s="21"/>
      <c r="E1685" s="22"/>
      <c r="G1685" s="23"/>
      <c r="H1685" s="24"/>
      <c r="Q1685" s="2"/>
      <c r="R1685" s="2"/>
    </row>
    <row r="1686" spans="1:18" ht="15.75" customHeight="1" x14ac:dyDescent="0.3">
      <c r="A1686" s="11"/>
      <c r="B1686" s="11"/>
      <c r="D1686" s="21"/>
      <c r="E1686" s="22"/>
      <c r="G1686" s="23"/>
      <c r="H1686" s="24"/>
      <c r="Q1686" s="2"/>
      <c r="R1686" s="2"/>
    </row>
    <row r="1687" spans="1:18" ht="15.75" customHeight="1" x14ac:dyDescent="0.3">
      <c r="A1687" s="11"/>
      <c r="B1687" s="11"/>
      <c r="D1687" s="21"/>
      <c r="E1687" s="22"/>
      <c r="G1687" s="23"/>
      <c r="H1687" s="24"/>
      <c r="Q1687" s="2"/>
      <c r="R1687" s="2"/>
    </row>
    <row r="1688" spans="1:18" ht="15.75" customHeight="1" x14ac:dyDescent="0.3">
      <c r="A1688" s="11"/>
      <c r="B1688" s="11"/>
      <c r="D1688" s="21"/>
      <c r="E1688" s="22"/>
      <c r="G1688" s="23"/>
      <c r="H1688" s="24"/>
      <c r="Q1688" s="2"/>
      <c r="R1688" s="2"/>
    </row>
    <row r="1689" spans="1:18" ht="15.75" customHeight="1" x14ac:dyDescent="0.3">
      <c r="A1689" s="11"/>
      <c r="B1689" s="11"/>
      <c r="D1689" s="21"/>
      <c r="E1689" s="22"/>
      <c r="G1689" s="23"/>
      <c r="H1689" s="24"/>
      <c r="Q1689" s="2"/>
      <c r="R1689" s="2"/>
    </row>
    <row r="1690" spans="1:18" ht="15.75" customHeight="1" x14ac:dyDescent="0.3">
      <c r="A1690" s="11"/>
      <c r="B1690" s="11"/>
      <c r="D1690" s="21"/>
      <c r="E1690" s="22"/>
      <c r="G1690" s="23"/>
      <c r="H1690" s="24"/>
      <c r="Q1690" s="2"/>
      <c r="R1690" s="2"/>
    </row>
    <row r="1691" spans="1:18" ht="15.75" customHeight="1" x14ac:dyDescent="0.3">
      <c r="A1691" s="11"/>
      <c r="B1691" s="11"/>
      <c r="D1691" s="21"/>
      <c r="E1691" s="22"/>
      <c r="G1691" s="23"/>
      <c r="H1691" s="24"/>
      <c r="Q1691" s="2"/>
      <c r="R1691" s="2"/>
    </row>
    <row r="1692" spans="1:18" ht="15.75" customHeight="1" x14ac:dyDescent="0.3">
      <c r="A1692" s="11"/>
      <c r="B1692" s="11"/>
      <c r="D1692" s="21"/>
      <c r="E1692" s="22"/>
      <c r="G1692" s="23"/>
      <c r="H1692" s="24"/>
      <c r="Q1692" s="2"/>
      <c r="R1692" s="2"/>
    </row>
    <row r="1693" spans="1:18" ht="15.75" customHeight="1" x14ac:dyDescent="0.3">
      <c r="A1693" s="11"/>
      <c r="B1693" s="11"/>
      <c r="D1693" s="21"/>
      <c r="E1693" s="22"/>
      <c r="G1693" s="23"/>
      <c r="H1693" s="24"/>
      <c r="Q1693" s="2"/>
      <c r="R1693" s="2"/>
    </row>
    <row r="1694" spans="1:18" ht="15.75" customHeight="1" x14ac:dyDescent="0.3">
      <c r="A1694" s="11"/>
      <c r="B1694" s="11"/>
      <c r="D1694" s="21"/>
      <c r="E1694" s="22"/>
      <c r="G1694" s="23"/>
      <c r="H1694" s="24"/>
      <c r="Q1694" s="2"/>
      <c r="R1694" s="2"/>
    </row>
    <row r="1695" spans="1:18" ht="15.75" customHeight="1" x14ac:dyDescent="0.3">
      <c r="A1695" s="11"/>
      <c r="B1695" s="11"/>
      <c r="D1695" s="21"/>
      <c r="E1695" s="22"/>
      <c r="G1695" s="23"/>
      <c r="H1695" s="24"/>
      <c r="Q1695" s="2"/>
      <c r="R1695" s="2"/>
    </row>
    <row r="1696" spans="1:18" ht="15.75" customHeight="1" x14ac:dyDescent="0.3">
      <c r="A1696" s="11"/>
      <c r="B1696" s="11"/>
      <c r="D1696" s="21"/>
      <c r="E1696" s="22"/>
      <c r="G1696" s="23"/>
      <c r="H1696" s="24"/>
      <c r="Q1696" s="2"/>
      <c r="R1696" s="2"/>
    </row>
    <row r="1697" spans="1:18" ht="15.75" customHeight="1" x14ac:dyDescent="0.3">
      <c r="A1697" s="11"/>
      <c r="B1697" s="11"/>
      <c r="D1697" s="21"/>
      <c r="E1697" s="22"/>
      <c r="G1697" s="23"/>
      <c r="H1697" s="24"/>
      <c r="Q1697" s="2"/>
      <c r="R1697" s="2"/>
    </row>
    <row r="1698" spans="1:18" ht="15.75" customHeight="1" x14ac:dyDescent="0.3">
      <c r="A1698" s="11"/>
      <c r="B1698" s="11"/>
      <c r="D1698" s="21"/>
      <c r="E1698" s="22"/>
      <c r="G1698" s="23"/>
      <c r="H1698" s="24"/>
      <c r="Q1698" s="2"/>
      <c r="R1698" s="2"/>
    </row>
    <row r="1699" spans="1:18" ht="15.75" customHeight="1" x14ac:dyDescent="0.3">
      <c r="A1699" s="11"/>
      <c r="B1699" s="11"/>
      <c r="D1699" s="21"/>
      <c r="E1699" s="22"/>
      <c r="G1699" s="23"/>
      <c r="H1699" s="24"/>
      <c r="Q1699" s="2"/>
      <c r="R1699" s="2"/>
    </row>
    <row r="1700" spans="1:18" ht="15.75" customHeight="1" x14ac:dyDescent="0.3">
      <c r="A1700" s="11"/>
      <c r="B1700" s="11"/>
      <c r="D1700" s="21"/>
      <c r="E1700" s="22"/>
      <c r="G1700" s="23"/>
      <c r="H1700" s="24"/>
      <c r="Q1700" s="2"/>
      <c r="R1700" s="2"/>
    </row>
    <row r="1701" spans="1:18" ht="15.75" customHeight="1" x14ac:dyDescent="0.3">
      <c r="A1701" s="11"/>
      <c r="B1701" s="11"/>
      <c r="D1701" s="21"/>
      <c r="E1701" s="22"/>
      <c r="G1701" s="23"/>
      <c r="H1701" s="24"/>
      <c r="Q1701" s="2"/>
      <c r="R1701" s="2"/>
    </row>
    <row r="1702" spans="1:18" ht="15.75" customHeight="1" x14ac:dyDescent="0.3">
      <c r="A1702" s="11"/>
      <c r="B1702" s="11"/>
      <c r="D1702" s="21"/>
      <c r="E1702" s="22"/>
      <c r="G1702" s="23"/>
      <c r="H1702" s="24"/>
      <c r="Q1702" s="2"/>
      <c r="R1702" s="2"/>
    </row>
    <row r="1703" spans="1:18" ht="15.75" customHeight="1" x14ac:dyDescent="0.3">
      <c r="A1703" s="11"/>
      <c r="B1703" s="11"/>
      <c r="D1703" s="21"/>
      <c r="E1703" s="22"/>
      <c r="G1703" s="23"/>
      <c r="H1703" s="24"/>
      <c r="Q1703" s="2"/>
      <c r="R1703" s="2"/>
    </row>
    <row r="1704" spans="1:18" ht="15.75" customHeight="1" x14ac:dyDescent="0.3">
      <c r="A1704" s="11"/>
      <c r="B1704" s="11"/>
      <c r="D1704" s="21"/>
      <c r="E1704" s="22"/>
      <c r="G1704" s="23"/>
      <c r="H1704" s="24"/>
      <c r="Q1704" s="2"/>
      <c r="R1704" s="2"/>
    </row>
    <row r="1705" spans="1:18" ht="15.75" customHeight="1" x14ac:dyDescent="0.3">
      <c r="A1705" s="11"/>
      <c r="B1705" s="11"/>
      <c r="D1705" s="21"/>
      <c r="E1705" s="22"/>
      <c r="G1705" s="23"/>
      <c r="H1705" s="24"/>
      <c r="Q1705" s="2"/>
      <c r="R1705" s="2"/>
    </row>
    <row r="1706" spans="1:18" ht="15.75" customHeight="1" x14ac:dyDescent="0.3">
      <c r="A1706" s="11"/>
      <c r="B1706" s="11"/>
      <c r="D1706" s="21"/>
      <c r="E1706" s="22"/>
      <c r="G1706" s="23"/>
      <c r="H1706" s="24"/>
      <c r="Q1706" s="2"/>
      <c r="R1706" s="2"/>
    </row>
    <row r="1707" spans="1:18" ht="15.75" customHeight="1" x14ac:dyDescent="0.3">
      <c r="A1707" s="11"/>
      <c r="B1707" s="11"/>
      <c r="D1707" s="21"/>
      <c r="E1707" s="22"/>
      <c r="G1707" s="23"/>
      <c r="H1707" s="24"/>
      <c r="Q1707" s="2"/>
      <c r="R1707" s="2"/>
    </row>
    <row r="1708" spans="1:18" ht="15.75" customHeight="1" x14ac:dyDescent="0.3">
      <c r="A1708" s="11"/>
      <c r="B1708" s="11"/>
      <c r="D1708" s="21"/>
      <c r="E1708" s="22"/>
      <c r="G1708" s="23"/>
      <c r="H1708" s="24"/>
      <c r="Q1708" s="2"/>
      <c r="R1708" s="2"/>
    </row>
    <row r="1709" spans="1:18" ht="15.75" customHeight="1" x14ac:dyDescent="0.3">
      <c r="A1709" s="11"/>
      <c r="B1709" s="11"/>
      <c r="D1709" s="21"/>
      <c r="E1709" s="22"/>
      <c r="G1709" s="23"/>
      <c r="H1709" s="24"/>
      <c r="Q1709" s="2"/>
      <c r="R1709" s="2"/>
    </row>
    <row r="1710" spans="1:18" ht="15.75" customHeight="1" x14ac:dyDescent="0.3">
      <c r="A1710" s="11"/>
      <c r="B1710" s="11"/>
      <c r="D1710" s="21"/>
      <c r="E1710" s="22"/>
      <c r="G1710" s="23"/>
      <c r="H1710" s="24"/>
      <c r="Q1710" s="2"/>
      <c r="R1710" s="2"/>
    </row>
    <row r="1711" spans="1:18" ht="15.75" customHeight="1" x14ac:dyDescent="0.3">
      <c r="A1711" s="11"/>
      <c r="B1711" s="11"/>
      <c r="D1711" s="21"/>
      <c r="E1711" s="22"/>
      <c r="G1711" s="23"/>
      <c r="H1711" s="24"/>
      <c r="Q1711" s="2"/>
      <c r="R1711" s="2"/>
    </row>
    <row r="1712" spans="1:18" ht="15.75" customHeight="1" x14ac:dyDescent="0.3">
      <c r="A1712" s="11"/>
      <c r="B1712" s="11"/>
      <c r="D1712" s="21"/>
      <c r="E1712" s="22"/>
      <c r="G1712" s="23"/>
      <c r="H1712" s="24"/>
      <c r="Q1712" s="2"/>
      <c r="R1712" s="2"/>
    </row>
    <row r="1713" spans="1:18" ht="15.75" customHeight="1" x14ac:dyDescent="0.3">
      <c r="A1713" s="11"/>
      <c r="B1713" s="11"/>
      <c r="D1713" s="21"/>
      <c r="E1713" s="22"/>
      <c r="G1713" s="23"/>
      <c r="H1713" s="24"/>
      <c r="Q1713" s="2"/>
      <c r="R1713" s="2"/>
    </row>
    <row r="1714" spans="1:18" ht="15.75" customHeight="1" x14ac:dyDescent="0.3">
      <c r="A1714" s="11"/>
      <c r="B1714" s="11"/>
      <c r="D1714" s="21"/>
      <c r="E1714" s="22"/>
      <c r="G1714" s="23"/>
      <c r="H1714" s="24"/>
      <c r="Q1714" s="2"/>
      <c r="R1714" s="2"/>
    </row>
    <row r="1715" spans="1:18" ht="15.75" customHeight="1" x14ac:dyDescent="0.3">
      <c r="A1715" s="11"/>
      <c r="B1715" s="11"/>
      <c r="D1715" s="21"/>
      <c r="E1715" s="22"/>
      <c r="G1715" s="23"/>
      <c r="H1715" s="24"/>
      <c r="Q1715" s="2"/>
      <c r="R1715" s="2"/>
    </row>
    <row r="1716" spans="1:18" ht="15.75" customHeight="1" x14ac:dyDescent="0.3">
      <c r="A1716" s="11"/>
      <c r="B1716" s="11"/>
      <c r="D1716" s="21"/>
      <c r="E1716" s="22"/>
      <c r="G1716" s="23"/>
      <c r="H1716" s="24"/>
      <c r="Q1716" s="2"/>
      <c r="R1716" s="2"/>
    </row>
    <row r="1717" spans="1:18" ht="15.75" customHeight="1" x14ac:dyDescent="0.3">
      <c r="A1717" s="11"/>
      <c r="B1717" s="11"/>
      <c r="D1717" s="21"/>
      <c r="E1717" s="22"/>
      <c r="G1717" s="23"/>
      <c r="H1717" s="24"/>
      <c r="Q1717" s="2"/>
      <c r="R1717" s="2"/>
    </row>
    <row r="1718" spans="1:18" ht="15.75" customHeight="1" x14ac:dyDescent="0.3">
      <c r="A1718" s="11"/>
      <c r="B1718" s="11"/>
      <c r="D1718" s="21"/>
      <c r="E1718" s="22"/>
      <c r="G1718" s="23"/>
      <c r="H1718" s="24"/>
      <c r="Q1718" s="2"/>
      <c r="R1718" s="2"/>
    </row>
    <row r="1719" spans="1:18" ht="15.75" customHeight="1" x14ac:dyDescent="0.3">
      <c r="A1719" s="11"/>
      <c r="B1719" s="11"/>
      <c r="D1719" s="21"/>
      <c r="E1719" s="22"/>
      <c r="G1719" s="23"/>
      <c r="H1719" s="24"/>
      <c r="Q1719" s="2"/>
      <c r="R1719" s="2"/>
    </row>
    <row r="1720" spans="1:18" ht="15.75" customHeight="1" x14ac:dyDescent="0.3">
      <c r="A1720" s="11"/>
      <c r="B1720" s="11"/>
      <c r="D1720" s="21"/>
      <c r="E1720" s="22"/>
      <c r="G1720" s="23"/>
      <c r="H1720" s="24"/>
      <c r="Q1720" s="2"/>
      <c r="R1720" s="2"/>
    </row>
    <row r="1721" spans="1:18" ht="15.75" customHeight="1" x14ac:dyDescent="0.3">
      <c r="A1721" s="11"/>
      <c r="B1721" s="11"/>
      <c r="D1721" s="21"/>
      <c r="E1721" s="22"/>
      <c r="G1721" s="23"/>
      <c r="H1721" s="24"/>
      <c r="Q1721" s="2"/>
      <c r="R1721" s="2"/>
    </row>
    <row r="1722" spans="1:18" ht="15.75" customHeight="1" x14ac:dyDescent="0.3">
      <c r="A1722" s="11"/>
      <c r="B1722" s="11"/>
      <c r="D1722" s="21"/>
      <c r="E1722" s="22"/>
      <c r="G1722" s="23"/>
      <c r="H1722" s="24"/>
      <c r="Q1722" s="2"/>
      <c r="R1722" s="2"/>
    </row>
    <row r="1723" spans="1:18" ht="15.75" customHeight="1" x14ac:dyDescent="0.3">
      <c r="A1723" s="11"/>
      <c r="B1723" s="11"/>
      <c r="D1723" s="21"/>
      <c r="E1723" s="22"/>
      <c r="G1723" s="23"/>
      <c r="H1723" s="24"/>
      <c r="Q1723" s="2"/>
      <c r="R1723" s="2"/>
    </row>
    <row r="1724" spans="1:18" ht="15.75" customHeight="1" x14ac:dyDescent="0.3">
      <c r="A1724" s="11"/>
      <c r="B1724" s="11"/>
      <c r="D1724" s="21"/>
      <c r="E1724" s="22"/>
      <c r="G1724" s="23"/>
      <c r="H1724" s="24"/>
      <c r="Q1724" s="2"/>
      <c r="R1724" s="2"/>
    </row>
    <row r="1725" spans="1:18" ht="15.75" customHeight="1" x14ac:dyDescent="0.3">
      <c r="A1725" s="11"/>
      <c r="B1725" s="11"/>
      <c r="D1725" s="21"/>
      <c r="E1725" s="22"/>
      <c r="G1725" s="23"/>
      <c r="H1725" s="24"/>
      <c r="Q1725" s="2"/>
      <c r="R1725" s="2"/>
    </row>
    <row r="1726" spans="1:18" ht="15.75" customHeight="1" x14ac:dyDescent="0.3">
      <c r="A1726" s="11"/>
      <c r="B1726" s="11"/>
      <c r="D1726" s="21"/>
      <c r="E1726" s="22"/>
      <c r="G1726" s="23"/>
      <c r="H1726" s="24"/>
      <c r="Q1726" s="2"/>
      <c r="R1726" s="2"/>
    </row>
    <row r="1727" spans="1:18" ht="15.75" customHeight="1" x14ac:dyDescent="0.3">
      <c r="A1727" s="11"/>
      <c r="B1727" s="11"/>
      <c r="D1727" s="21"/>
      <c r="E1727" s="22"/>
      <c r="G1727" s="23"/>
      <c r="H1727" s="24"/>
      <c r="Q1727" s="2"/>
      <c r="R1727" s="2"/>
    </row>
    <row r="1728" spans="1:18" ht="15.75" customHeight="1" x14ac:dyDescent="0.3">
      <c r="A1728" s="11"/>
      <c r="B1728" s="11"/>
      <c r="D1728" s="21"/>
      <c r="E1728" s="22"/>
      <c r="G1728" s="23"/>
      <c r="H1728" s="24"/>
      <c r="Q1728" s="2"/>
      <c r="R1728" s="2"/>
    </row>
    <row r="1729" spans="1:18" ht="15.75" customHeight="1" x14ac:dyDescent="0.3">
      <c r="A1729" s="11"/>
      <c r="B1729" s="11"/>
      <c r="D1729" s="21"/>
      <c r="E1729" s="22"/>
      <c r="G1729" s="23"/>
      <c r="H1729" s="24"/>
      <c r="Q1729" s="2"/>
      <c r="R1729" s="2"/>
    </row>
    <row r="1730" spans="1:18" ht="15.75" customHeight="1" x14ac:dyDescent="0.3">
      <c r="A1730" s="11"/>
      <c r="B1730" s="11"/>
      <c r="D1730" s="21"/>
      <c r="E1730" s="22"/>
      <c r="G1730" s="23"/>
      <c r="H1730" s="24"/>
      <c r="Q1730" s="2"/>
      <c r="R1730" s="2"/>
    </row>
    <row r="1731" spans="1:18" ht="15.75" customHeight="1" x14ac:dyDescent="0.3">
      <c r="A1731" s="11"/>
      <c r="B1731" s="11"/>
      <c r="D1731" s="21"/>
      <c r="E1731" s="22"/>
      <c r="G1731" s="23"/>
      <c r="H1731" s="24"/>
      <c r="Q1731" s="2"/>
      <c r="R1731" s="2"/>
    </row>
    <row r="1732" spans="1:18" ht="15.75" customHeight="1" x14ac:dyDescent="0.3">
      <c r="A1732" s="11"/>
      <c r="B1732" s="11"/>
      <c r="D1732" s="21"/>
      <c r="E1732" s="22"/>
      <c r="G1732" s="23"/>
      <c r="H1732" s="24"/>
      <c r="Q1732" s="2"/>
      <c r="R1732" s="2"/>
    </row>
    <row r="1733" spans="1:18" ht="15.75" customHeight="1" x14ac:dyDescent="0.3">
      <c r="A1733" s="11"/>
      <c r="B1733" s="11"/>
      <c r="D1733" s="21"/>
      <c r="E1733" s="22"/>
      <c r="G1733" s="23"/>
      <c r="H1733" s="24"/>
      <c r="Q1733" s="2"/>
      <c r="R1733" s="2"/>
    </row>
    <row r="1734" spans="1:18" ht="15.75" customHeight="1" x14ac:dyDescent="0.3">
      <c r="A1734" s="11"/>
      <c r="B1734" s="11"/>
      <c r="D1734" s="21"/>
      <c r="E1734" s="22"/>
      <c r="G1734" s="23"/>
      <c r="H1734" s="24"/>
      <c r="Q1734" s="2"/>
      <c r="R1734" s="2"/>
    </row>
    <row r="1735" spans="1:18" ht="15.75" customHeight="1" x14ac:dyDescent="0.3">
      <c r="A1735" s="11"/>
      <c r="B1735" s="11"/>
      <c r="D1735" s="21"/>
      <c r="E1735" s="22"/>
      <c r="G1735" s="23"/>
      <c r="H1735" s="24"/>
      <c r="Q1735" s="2"/>
      <c r="R1735" s="2"/>
    </row>
    <row r="1736" spans="1:18" ht="15.75" customHeight="1" x14ac:dyDescent="0.3">
      <c r="A1736" s="11"/>
      <c r="B1736" s="11"/>
      <c r="D1736" s="21"/>
      <c r="E1736" s="22"/>
      <c r="G1736" s="23"/>
      <c r="H1736" s="24"/>
      <c r="Q1736" s="2"/>
      <c r="R1736" s="2"/>
    </row>
    <row r="1737" spans="1:18" ht="15.75" customHeight="1" x14ac:dyDescent="0.3">
      <c r="A1737" s="11"/>
      <c r="B1737" s="11"/>
      <c r="D1737" s="21"/>
      <c r="E1737" s="22"/>
      <c r="G1737" s="23"/>
      <c r="H1737" s="24"/>
      <c r="Q1737" s="2"/>
      <c r="R1737" s="2"/>
    </row>
    <row r="1738" spans="1:18" ht="15.75" customHeight="1" x14ac:dyDescent="0.3">
      <c r="A1738" s="11"/>
      <c r="B1738" s="11"/>
      <c r="D1738" s="21"/>
      <c r="E1738" s="22"/>
      <c r="G1738" s="23"/>
      <c r="H1738" s="24"/>
      <c r="Q1738" s="2"/>
      <c r="R1738" s="2"/>
    </row>
    <row r="1739" spans="1:18" ht="15.75" customHeight="1" x14ac:dyDescent="0.3">
      <c r="A1739" s="11"/>
      <c r="B1739" s="11"/>
      <c r="D1739" s="21"/>
      <c r="E1739" s="22"/>
      <c r="G1739" s="23"/>
      <c r="H1739" s="24"/>
      <c r="Q1739" s="2"/>
      <c r="R1739" s="2"/>
    </row>
    <row r="1740" spans="1:18" ht="15.75" customHeight="1" x14ac:dyDescent="0.3">
      <c r="A1740" s="11"/>
      <c r="B1740" s="11"/>
      <c r="D1740" s="21"/>
      <c r="E1740" s="22"/>
      <c r="G1740" s="23"/>
      <c r="H1740" s="24"/>
      <c r="Q1740" s="2"/>
      <c r="R1740" s="2"/>
    </row>
    <row r="1741" spans="1:18" ht="15.75" customHeight="1" x14ac:dyDescent="0.3">
      <c r="A1741" s="11"/>
      <c r="B1741" s="11"/>
      <c r="D1741" s="21"/>
      <c r="E1741" s="22"/>
      <c r="G1741" s="23"/>
      <c r="H1741" s="24"/>
      <c r="Q1741" s="2"/>
      <c r="R1741" s="2"/>
    </row>
    <row r="1742" spans="1:18" ht="15.75" customHeight="1" x14ac:dyDescent="0.3">
      <c r="A1742" s="11"/>
      <c r="B1742" s="11"/>
      <c r="D1742" s="21"/>
      <c r="E1742" s="22"/>
      <c r="G1742" s="23"/>
      <c r="H1742" s="24"/>
      <c r="Q1742" s="2"/>
      <c r="R1742" s="2"/>
    </row>
    <row r="1743" spans="1:18" ht="15.75" customHeight="1" x14ac:dyDescent="0.3">
      <c r="A1743" s="11"/>
      <c r="B1743" s="11"/>
      <c r="D1743" s="21"/>
      <c r="E1743" s="22"/>
      <c r="G1743" s="23"/>
      <c r="H1743" s="24"/>
      <c r="Q1743" s="2"/>
      <c r="R1743" s="2"/>
    </row>
    <row r="1744" spans="1:18" ht="15.75" customHeight="1" x14ac:dyDescent="0.3">
      <c r="A1744" s="11"/>
      <c r="B1744" s="11"/>
      <c r="D1744" s="21"/>
      <c r="E1744" s="22"/>
      <c r="G1744" s="23"/>
      <c r="H1744" s="24"/>
      <c r="Q1744" s="2"/>
      <c r="R1744" s="2"/>
    </row>
    <row r="1745" spans="1:18" ht="15.75" customHeight="1" x14ac:dyDescent="0.3">
      <c r="A1745" s="11"/>
      <c r="B1745" s="11"/>
      <c r="D1745" s="21"/>
      <c r="E1745" s="22"/>
      <c r="G1745" s="23"/>
      <c r="H1745" s="24"/>
      <c r="Q1745" s="2"/>
      <c r="R1745" s="2"/>
    </row>
    <row r="1746" spans="1:18" ht="15.75" customHeight="1" x14ac:dyDescent="0.3">
      <c r="A1746" s="11"/>
      <c r="B1746" s="11"/>
      <c r="D1746" s="21"/>
      <c r="E1746" s="22"/>
      <c r="G1746" s="23"/>
      <c r="H1746" s="24"/>
      <c r="Q1746" s="2"/>
      <c r="R1746" s="2"/>
    </row>
    <row r="1747" spans="1:18" ht="15.75" customHeight="1" x14ac:dyDescent="0.3">
      <c r="A1747" s="11"/>
      <c r="B1747" s="11"/>
      <c r="D1747" s="21"/>
      <c r="E1747" s="22"/>
      <c r="G1747" s="23"/>
      <c r="H1747" s="24"/>
      <c r="Q1747" s="2"/>
      <c r="R1747" s="2"/>
    </row>
    <row r="1748" spans="1:18" ht="15.75" customHeight="1" x14ac:dyDescent="0.3">
      <c r="A1748" s="11"/>
      <c r="B1748" s="11"/>
      <c r="D1748" s="21"/>
      <c r="E1748" s="22"/>
      <c r="G1748" s="23"/>
      <c r="H1748" s="24"/>
      <c r="Q1748" s="2"/>
      <c r="R1748" s="2"/>
    </row>
    <row r="1749" spans="1:18" ht="15.75" customHeight="1" x14ac:dyDescent="0.3">
      <c r="A1749" s="11"/>
      <c r="B1749" s="11"/>
      <c r="D1749" s="21"/>
      <c r="E1749" s="22"/>
      <c r="G1749" s="23"/>
      <c r="H1749" s="24"/>
      <c r="Q1749" s="2"/>
      <c r="R1749" s="2"/>
    </row>
    <row r="1750" spans="1:18" ht="15.75" customHeight="1" x14ac:dyDescent="0.3">
      <c r="A1750" s="11"/>
      <c r="B1750" s="11"/>
      <c r="D1750" s="21"/>
      <c r="E1750" s="22"/>
      <c r="G1750" s="23"/>
      <c r="H1750" s="24"/>
      <c r="Q1750" s="2"/>
      <c r="R1750" s="2"/>
    </row>
    <row r="1751" spans="1:18" ht="15.75" customHeight="1" x14ac:dyDescent="0.3">
      <c r="A1751" s="11"/>
      <c r="B1751" s="11"/>
      <c r="D1751" s="21"/>
      <c r="E1751" s="22"/>
      <c r="G1751" s="23"/>
      <c r="H1751" s="24"/>
      <c r="Q1751" s="2"/>
      <c r="R1751" s="2"/>
    </row>
    <row r="1752" spans="1:18" ht="15.75" customHeight="1" x14ac:dyDescent="0.3">
      <c r="A1752" s="11"/>
      <c r="B1752" s="11"/>
      <c r="D1752" s="21"/>
      <c r="E1752" s="22"/>
      <c r="G1752" s="23"/>
      <c r="H1752" s="24"/>
      <c r="Q1752" s="2"/>
      <c r="R1752" s="2"/>
    </row>
    <row r="1753" spans="1:18" ht="15.75" customHeight="1" x14ac:dyDescent="0.3">
      <c r="A1753" s="11"/>
      <c r="B1753" s="11"/>
      <c r="D1753" s="21"/>
      <c r="E1753" s="22"/>
      <c r="G1753" s="23"/>
      <c r="H1753" s="24"/>
      <c r="Q1753" s="2"/>
      <c r="R1753" s="2"/>
    </row>
    <row r="1754" spans="1:18" ht="15.75" customHeight="1" x14ac:dyDescent="0.3">
      <c r="A1754" s="11"/>
      <c r="B1754" s="11"/>
      <c r="D1754" s="21"/>
      <c r="E1754" s="22"/>
      <c r="G1754" s="23"/>
      <c r="H1754" s="24"/>
      <c r="Q1754" s="2"/>
      <c r="R1754" s="2"/>
    </row>
    <row r="1755" spans="1:18" ht="15.75" customHeight="1" x14ac:dyDescent="0.3">
      <c r="A1755" s="11"/>
      <c r="B1755" s="11"/>
      <c r="D1755" s="21"/>
      <c r="E1755" s="22"/>
      <c r="G1755" s="23"/>
      <c r="H1755" s="24"/>
      <c r="Q1755" s="2"/>
      <c r="R1755" s="2"/>
    </row>
    <row r="1756" spans="1:18" ht="15.75" customHeight="1" x14ac:dyDescent="0.3">
      <c r="A1756" s="11"/>
      <c r="B1756" s="11"/>
      <c r="D1756" s="21"/>
      <c r="E1756" s="22"/>
      <c r="G1756" s="23"/>
      <c r="H1756" s="24"/>
      <c r="Q1756" s="2"/>
      <c r="R1756" s="2"/>
    </row>
    <row r="1757" spans="1:18" ht="15.75" customHeight="1" x14ac:dyDescent="0.3">
      <c r="A1757" s="11"/>
      <c r="B1757" s="11"/>
      <c r="D1757" s="21"/>
      <c r="E1757" s="22"/>
      <c r="G1757" s="23"/>
      <c r="H1757" s="24"/>
      <c r="Q1757" s="2"/>
      <c r="R1757" s="2"/>
    </row>
    <row r="1758" spans="1:18" ht="15.75" customHeight="1" x14ac:dyDescent="0.3">
      <c r="A1758" s="11"/>
      <c r="B1758" s="11"/>
      <c r="D1758" s="21"/>
      <c r="E1758" s="22"/>
      <c r="G1758" s="23"/>
      <c r="H1758" s="24"/>
      <c r="Q1758" s="2"/>
      <c r="R1758" s="2"/>
    </row>
    <row r="1759" spans="1:18" ht="15.75" customHeight="1" x14ac:dyDescent="0.3">
      <c r="A1759" s="11"/>
      <c r="B1759" s="11"/>
      <c r="D1759" s="21"/>
      <c r="E1759" s="22"/>
      <c r="G1759" s="23"/>
      <c r="H1759" s="24"/>
      <c r="Q1759" s="2"/>
      <c r="R1759" s="2"/>
    </row>
    <row r="1760" spans="1:18" ht="15.75" customHeight="1" x14ac:dyDescent="0.3">
      <c r="A1760" s="11"/>
      <c r="B1760" s="11"/>
      <c r="D1760" s="21"/>
      <c r="E1760" s="22"/>
      <c r="G1760" s="23"/>
      <c r="H1760" s="24"/>
      <c r="Q1760" s="2"/>
      <c r="R1760" s="2"/>
    </row>
    <row r="1761" spans="1:18" ht="15.75" customHeight="1" x14ac:dyDescent="0.3">
      <c r="A1761" s="11"/>
      <c r="B1761" s="11"/>
      <c r="D1761" s="21"/>
      <c r="E1761" s="22"/>
      <c r="G1761" s="23"/>
      <c r="H1761" s="24"/>
      <c r="Q1761" s="2"/>
      <c r="R1761" s="2"/>
    </row>
    <row r="1762" spans="1:18" ht="15.75" customHeight="1" x14ac:dyDescent="0.3">
      <c r="A1762" s="11"/>
      <c r="B1762" s="11"/>
      <c r="D1762" s="21"/>
      <c r="E1762" s="22"/>
      <c r="G1762" s="23"/>
      <c r="H1762" s="24"/>
      <c r="Q1762" s="2"/>
      <c r="R1762" s="2"/>
    </row>
    <row r="1763" spans="1:18" ht="15.75" customHeight="1" x14ac:dyDescent="0.3">
      <c r="A1763" s="11"/>
      <c r="B1763" s="11"/>
      <c r="D1763" s="21"/>
      <c r="E1763" s="22"/>
      <c r="G1763" s="23"/>
      <c r="H1763" s="24"/>
      <c r="Q1763" s="2"/>
      <c r="R1763" s="2"/>
    </row>
    <row r="1764" spans="1:18" ht="15.75" customHeight="1" x14ac:dyDescent="0.3">
      <c r="A1764" s="11"/>
      <c r="B1764" s="11"/>
      <c r="D1764" s="21"/>
      <c r="E1764" s="22"/>
      <c r="G1764" s="23"/>
      <c r="H1764" s="24"/>
      <c r="Q1764" s="2"/>
      <c r="R1764" s="2"/>
    </row>
    <row r="1765" spans="1:18" ht="15.75" customHeight="1" x14ac:dyDescent="0.3">
      <c r="A1765" s="11"/>
      <c r="B1765" s="11"/>
      <c r="D1765" s="21"/>
      <c r="E1765" s="22"/>
      <c r="G1765" s="23"/>
      <c r="H1765" s="24"/>
      <c r="Q1765" s="2"/>
      <c r="R1765" s="2"/>
    </row>
    <row r="1766" spans="1:18" ht="15.75" customHeight="1" x14ac:dyDescent="0.3">
      <c r="A1766" s="11"/>
      <c r="B1766" s="11"/>
      <c r="D1766" s="21"/>
      <c r="E1766" s="22"/>
      <c r="G1766" s="23"/>
      <c r="H1766" s="24"/>
      <c r="Q1766" s="2"/>
      <c r="R1766" s="2"/>
    </row>
    <row r="1767" spans="1:18" ht="15.75" customHeight="1" x14ac:dyDescent="0.3">
      <c r="A1767" s="11"/>
      <c r="B1767" s="11"/>
      <c r="D1767" s="21"/>
      <c r="E1767" s="22"/>
      <c r="G1767" s="23"/>
      <c r="H1767" s="24"/>
      <c r="Q1767" s="2"/>
      <c r="R1767" s="2"/>
    </row>
    <row r="1768" spans="1:18" ht="15.75" customHeight="1" x14ac:dyDescent="0.3">
      <c r="A1768" s="11"/>
      <c r="B1768" s="11"/>
      <c r="D1768" s="21"/>
      <c r="E1768" s="22"/>
      <c r="G1768" s="23"/>
      <c r="H1768" s="24"/>
      <c r="Q1768" s="2"/>
      <c r="R1768" s="2"/>
    </row>
    <row r="1769" spans="1:18" ht="15.75" customHeight="1" x14ac:dyDescent="0.3">
      <c r="A1769" s="11"/>
      <c r="B1769" s="11"/>
      <c r="D1769" s="21"/>
      <c r="E1769" s="22"/>
      <c r="G1769" s="23"/>
      <c r="H1769" s="24"/>
      <c r="Q1769" s="2"/>
      <c r="R1769" s="2"/>
    </row>
    <row r="1770" spans="1:18" ht="15.75" customHeight="1" x14ac:dyDescent="0.3">
      <c r="A1770" s="11"/>
      <c r="B1770" s="11"/>
      <c r="D1770" s="21"/>
      <c r="E1770" s="22"/>
      <c r="G1770" s="23"/>
      <c r="H1770" s="24"/>
      <c r="Q1770" s="2"/>
      <c r="R1770" s="2"/>
    </row>
    <row r="1771" spans="1:18" ht="15.75" customHeight="1" x14ac:dyDescent="0.3">
      <c r="A1771" s="11"/>
      <c r="B1771" s="11"/>
      <c r="D1771" s="21"/>
      <c r="E1771" s="22"/>
      <c r="G1771" s="23"/>
      <c r="H1771" s="24"/>
      <c r="Q1771" s="2"/>
      <c r="R1771" s="2"/>
    </row>
    <row r="1772" spans="1:18" ht="15.75" customHeight="1" x14ac:dyDescent="0.3">
      <c r="A1772" s="11"/>
      <c r="B1772" s="11"/>
      <c r="D1772" s="21"/>
      <c r="E1772" s="22"/>
      <c r="G1772" s="23"/>
      <c r="H1772" s="24"/>
      <c r="Q1772" s="2"/>
      <c r="R1772" s="2"/>
    </row>
    <row r="1773" spans="1:18" ht="15.75" customHeight="1" x14ac:dyDescent="0.3">
      <c r="A1773" s="11"/>
      <c r="B1773" s="11"/>
      <c r="D1773" s="21"/>
      <c r="E1773" s="22"/>
      <c r="G1773" s="23"/>
      <c r="H1773" s="24"/>
      <c r="Q1773" s="2"/>
      <c r="R1773" s="2"/>
    </row>
    <row r="1774" spans="1:18" ht="15.75" customHeight="1" x14ac:dyDescent="0.3">
      <c r="A1774" s="11"/>
      <c r="B1774" s="11"/>
      <c r="D1774" s="21"/>
      <c r="E1774" s="22"/>
      <c r="G1774" s="23"/>
      <c r="H1774" s="24"/>
      <c r="Q1774" s="2"/>
      <c r="R1774" s="2"/>
    </row>
    <row r="1775" spans="1:18" ht="15.75" customHeight="1" x14ac:dyDescent="0.3">
      <c r="A1775" s="11"/>
      <c r="B1775" s="11"/>
      <c r="D1775" s="21"/>
      <c r="E1775" s="22"/>
      <c r="G1775" s="23"/>
      <c r="H1775" s="24"/>
      <c r="Q1775" s="2"/>
      <c r="R1775" s="2"/>
    </row>
    <row r="1776" spans="1:18" ht="15.75" customHeight="1" x14ac:dyDescent="0.3">
      <c r="A1776" s="11"/>
      <c r="B1776" s="11"/>
      <c r="D1776" s="21"/>
      <c r="E1776" s="22"/>
      <c r="G1776" s="23"/>
      <c r="H1776" s="24"/>
      <c r="Q1776" s="2"/>
      <c r="R1776" s="2"/>
    </row>
    <row r="1777" spans="1:18" ht="15.75" customHeight="1" x14ac:dyDescent="0.3">
      <c r="A1777" s="11"/>
      <c r="B1777" s="11"/>
      <c r="D1777" s="21"/>
      <c r="E1777" s="22"/>
      <c r="G1777" s="23"/>
      <c r="H1777" s="24"/>
      <c r="Q1777" s="2"/>
      <c r="R1777" s="2"/>
    </row>
    <row r="1778" spans="1:18" ht="15.75" customHeight="1" x14ac:dyDescent="0.3">
      <c r="A1778" s="11"/>
      <c r="B1778" s="11"/>
      <c r="D1778" s="21"/>
      <c r="E1778" s="22"/>
      <c r="G1778" s="23"/>
      <c r="H1778" s="24"/>
      <c r="Q1778" s="2"/>
      <c r="R1778" s="2"/>
    </row>
    <row r="1779" spans="1:18" ht="15.75" customHeight="1" x14ac:dyDescent="0.3">
      <c r="A1779" s="11"/>
      <c r="B1779" s="11"/>
      <c r="D1779" s="21"/>
      <c r="E1779" s="22"/>
      <c r="G1779" s="23"/>
      <c r="H1779" s="24"/>
      <c r="Q1779" s="2"/>
      <c r="R1779" s="2"/>
    </row>
    <row r="1780" spans="1:18" ht="15.75" customHeight="1" x14ac:dyDescent="0.3">
      <c r="A1780" s="11"/>
      <c r="B1780" s="11"/>
      <c r="D1780" s="21"/>
      <c r="E1780" s="22"/>
      <c r="G1780" s="23"/>
      <c r="H1780" s="24"/>
      <c r="Q1780" s="2"/>
      <c r="R1780" s="2"/>
    </row>
    <row r="1781" spans="1:18" ht="15.75" customHeight="1" x14ac:dyDescent="0.3">
      <c r="A1781" s="11"/>
      <c r="B1781" s="11"/>
      <c r="D1781" s="21"/>
      <c r="E1781" s="22"/>
      <c r="G1781" s="23"/>
      <c r="H1781" s="24"/>
      <c r="Q1781" s="2"/>
      <c r="R1781" s="2"/>
    </row>
    <row r="1782" spans="1:18" ht="15.75" customHeight="1" x14ac:dyDescent="0.3">
      <c r="A1782" s="11"/>
      <c r="B1782" s="11"/>
      <c r="D1782" s="21"/>
      <c r="E1782" s="22"/>
      <c r="G1782" s="23"/>
      <c r="H1782" s="24"/>
      <c r="Q1782" s="2"/>
      <c r="R1782" s="2"/>
    </row>
    <row r="1783" spans="1:18" ht="15.75" customHeight="1" x14ac:dyDescent="0.3">
      <c r="A1783" s="11"/>
      <c r="B1783" s="11"/>
      <c r="D1783" s="21"/>
      <c r="E1783" s="22"/>
      <c r="G1783" s="23"/>
      <c r="H1783" s="24"/>
      <c r="Q1783" s="2"/>
      <c r="R1783" s="2"/>
    </row>
    <row r="1784" spans="1:18" ht="15.75" customHeight="1" x14ac:dyDescent="0.3">
      <c r="A1784" s="11"/>
      <c r="B1784" s="11"/>
      <c r="D1784" s="21"/>
      <c r="E1784" s="22"/>
      <c r="G1784" s="23"/>
      <c r="H1784" s="24"/>
      <c r="Q1784" s="2"/>
      <c r="R1784" s="2"/>
    </row>
    <row r="1785" spans="1:18" ht="15.75" customHeight="1" x14ac:dyDescent="0.3">
      <c r="A1785" s="11"/>
      <c r="B1785" s="11"/>
      <c r="D1785" s="21"/>
      <c r="E1785" s="22"/>
      <c r="G1785" s="23"/>
      <c r="H1785" s="24"/>
      <c r="Q1785" s="2"/>
      <c r="R1785" s="2"/>
    </row>
    <row r="1786" spans="1:18" ht="15.75" customHeight="1" x14ac:dyDescent="0.3">
      <c r="A1786" s="11"/>
      <c r="B1786" s="11"/>
      <c r="D1786" s="21"/>
      <c r="E1786" s="22"/>
      <c r="G1786" s="23"/>
      <c r="H1786" s="24"/>
      <c r="Q1786" s="2"/>
      <c r="R1786" s="2"/>
    </row>
    <row r="1787" spans="1:18" ht="15.75" customHeight="1" x14ac:dyDescent="0.3">
      <c r="A1787" s="11"/>
      <c r="B1787" s="11"/>
      <c r="D1787" s="21"/>
      <c r="E1787" s="22"/>
      <c r="G1787" s="23"/>
      <c r="H1787" s="24"/>
      <c r="Q1787" s="2"/>
      <c r="R1787" s="2"/>
    </row>
    <row r="1788" spans="1:18" ht="15.75" customHeight="1" x14ac:dyDescent="0.3">
      <c r="A1788" s="11"/>
      <c r="B1788" s="11"/>
      <c r="D1788" s="21"/>
      <c r="E1788" s="22"/>
      <c r="G1788" s="23"/>
      <c r="H1788" s="24"/>
      <c r="Q1788" s="2"/>
      <c r="R1788" s="2"/>
    </row>
    <row r="1789" spans="1:18" ht="15.75" customHeight="1" x14ac:dyDescent="0.3">
      <c r="A1789" s="11"/>
      <c r="B1789" s="11"/>
      <c r="D1789" s="21"/>
      <c r="E1789" s="22"/>
      <c r="G1789" s="23"/>
      <c r="H1789" s="24"/>
      <c r="Q1789" s="2"/>
      <c r="R1789" s="2"/>
    </row>
    <row r="1790" spans="1:18" ht="15.75" customHeight="1" x14ac:dyDescent="0.3">
      <c r="A1790" s="11"/>
      <c r="B1790" s="11"/>
      <c r="D1790" s="21"/>
      <c r="E1790" s="22"/>
      <c r="G1790" s="23"/>
      <c r="H1790" s="24"/>
      <c r="Q1790" s="2"/>
      <c r="R1790" s="2"/>
    </row>
    <row r="1791" spans="1:18" ht="15.75" customHeight="1" x14ac:dyDescent="0.3">
      <c r="A1791" s="11"/>
      <c r="B1791" s="11"/>
      <c r="D1791" s="21"/>
      <c r="E1791" s="22"/>
      <c r="G1791" s="23"/>
      <c r="H1791" s="24"/>
      <c r="Q1791" s="2"/>
      <c r="R1791" s="2"/>
    </row>
    <row r="1792" spans="1:18" ht="15.75" customHeight="1" x14ac:dyDescent="0.3">
      <c r="A1792" s="11"/>
      <c r="B1792" s="11"/>
      <c r="D1792" s="21"/>
      <c r="E1792" s="22"/>
      <c r="G1792" s="23"/>
      <c r="H1792" s="24"/>
      <c r="Q1792" s="2"/>
      <c r="R1792" s="2"/>
    </row>
    <row r="1793" spans="1:18" ht="15.75" customHeight="1" x14ac:dyDescent="0.3">
      <c r="A1793" s="11"/>
      <c r="B1793" s="11"/>
      <c r="D1793" s="21"/>
      <c r="E1793" s="22"/>
      <c r="G1793" s="23"/>
      <c r="H1793" s="24"/>
      <c r="Q1793" s="2"/>
      <c r="R1793" s="2"/>
    </row>
    <row r="1794" spans="1:18" ht="15.75" customHeight="1" x14ac:dyDescent="0.3">
      <c r="A1794" s="11"/>
      <c r="B1794" s="11"/>
      <c r="D1794" s="21"/>
      <c r="E1794" s="22"/>
      <c r="G1794" s="23"/>
      <c r="H1794" s="24"/>
      <c r="Q1794" s="2"/>
      <c r="R1794" s="2"/>
    </row>
    <row r="1795" spans="1:18" ht="15.75" customHeight="1" x14ac:dyDescent="0.3">
      <c r="A1795" s="11"/>
      <c r="B1795" s="11"/>
      <c r="D1795" s="21"/>
      <c r="E1795" s="22"/>
      <c r="G1795" s="23"/>
      <c r="H1795" s="24"/>
      <c r="Q1795" s="2"/>
      <c r="R1795" s="2"/>
    </row>
    <row r="1796" spans="1:18" ht="15.75" customHeight="1" x14ac:dyDescent="0.3">
      <c r="A1796" s="11"/>
      <c r="B1796" s="11"/>
      <c r="D1796" s="21"/>
      <c r="E1796" s="22"/>
      <c r="G1796" s="23"/>
      <c r="H1796" s="24"/>
      <c r="Q1796" s="2"/>
      <c r="R1796" s="2"/>
    </row>
    <row r="1797" spans="1:18" ht="15.75" customHeight="1" x14ac:dyDescent="0.3">
      <c r="A1797" s="11"/>
      <c r="B1797" s="11"/>
      <c r="D1797" s="21"/>
      <c r="E1797" s="22"/>
      <c r="G1797" s="23"/>
      <c r="H1797" s="24"/>
      <c r="Q1797" s="2"/>
      <c r="R1797" s="2"/>
    </row>
    <row r="1798" spans="1:18" ht="15.75" customHeight="1" x14ac:dyDescent="0.3">
      <c r="A1798" s="11"/>
      <c r="B1798" s="11"/>
      <c r="D1798" s="21"/>
      <c r="E1798" s="22"/>
      <c r="G1798" s="23"/>
      <c r="H1798" s="24"/>
      <c r="Q1798" s="2"/>
      <c r="R1798" s="2"/>
    </row>
    <row r="1799" spans="1:18" ht="15.75" customHeight="1" x14ac:dyDescent="0.3">
      <c r="A1799" s="11"/>
      <c r="B1799" s="11"/>
      <c r="D1799" s="21"/>
      <c r="E1799" s="22"/>
      <c r="G1799" s="23"/>
      <c r="H1799" s="24"/>
      <c r="Q1799" s="2"/>
      <c r="R1799" s="2"/>
    </row>
    <row r="1800" spans="1:18" ht="15.75" customHeight="1" x14ac:dyDescent="0.3">
      <c r="A1800" s="11"/>
      <c r="B1800" s="11"/>
      <c r="D1800" s="21"/>
      <c r="E1800" s="22"/>
      <c r="G1800" s="23"/>
      <c r="H1800" s="24"/>
      <c r="Q1800" s="2"/>
      <c r="R1800" s="2"/>
    </row>
    <row r="1801" spans="1:18" ht="15.75" customHeight="1" x14ac:dyDescent="0.3">
      <c r="A1801" s="11"/>
      <c r="B1801" s="11"/>
      <c r="D1801" s="21"/>
      <c r="E1801" s="22"/>
      <c r="G1801" s="23"/>
      <c r="H1801" s="24"/>
      <c r="Q1801" s="2"/>
      <c r="R1801" s="2"/>
    </row>
    <row r="1802" spans="1:18" ht="15.75" customHeight="1" x14ac:dyDescent="0.3">
      <c r="A1802" s="11"/>
      <c r="B1802" s="11"/>
      <c r="D1802" s="21"/>
      <c r="E1802" s="22"/>
      <c r="G1802" s="23"/>
      <c r="H1802" s="24"/>
      <c r="Q1802" s="2"/>
      <c r="R1802" s="2"/>
    </row>
    <row r="1803" spans="1:18" ht="15.75" customHeight="1" x14ac:dyDescent="0.3">
      <c r="A1803" s="11"/>
      <c r="B1803" s="11"/>
      <c r="D1803" s="21"/>
      <c r="E1803" s="22"/>
      <c r="G1803" s="23"/>
      <c r="H1803" s="24"/>
      <c r="Q1803" s="2"/>
      <c r="R1803" s="2"/>
    </row>
    <row r="1804" spans="1:18" ht="15.75" customHeight="1" x14ac:dyDescent="0.3">
      <c r="A1804" s="11"/>
      <c r="B1804" s="11"/>
      <c r="D1804" s="21"/>
      <c r="E1804" s="22"/>
      <c r="G1804" s="23"/>
      <c r="H1804" s="24"/>
      <c r="Q1804" s="2"/>
      <c r="R1804" s="2"/>
    </row>
    <row r="1805" spans="1:18" ht="15.75" customHeight="1" x14ac:dyDescent="0.3">
      <c r="A1805" s="11"/>
      <c r="B1805" s="11"/>
      <c r="D1805" s="21"/>
      <c r="E1805" s="22"/>
      <c r="G1805" s="23"/>
      <c r="H1805" s="24"/>
      <c r="Q1805" s="2"/>
      <c r="R1805" s="2"/>
    </row>
    <row r="1806" spans="1:18" ht="15.75" customHeight="1" x14ac:dyDescent="0.3">
      <c r="A1806" s="11"/>
      <c r="B1806" s="11"/>
      <c r="D1806" s="21"/>
      <c r="E1806" s="22"/>
      <c r="G1806" s="23"/>
      <c r="H1806" s="24"/>
      <c r="Q1806" s="2"/>
      <c r="R1806" s="2"/>
    </row>
    <row r="1807" spans="1:18" ht="15.75" customHeight="1" x14ac:dyDescent="0.3">
      <c r="A1807" s="11"/>
      <c r="B1807" s="11"/>
      <c r="D1807" s="21"/>
      <c r="E1807" s="22"/>
      <c r="G1807" s="23"/>
      <c r="H1807" s="24"/>
      <c r="Q1807" s="2"/>
      <c r="R1807" s="2"/>
    </row>
    <row r="1808" spans="1:18" ht="15.75" customHeight="1" x14ac:dyDescent="0.3">
      <c r="A1808" s="11"/>
      <c r="B1808" s="11"/>
      <c r="D1808" s="21"/>
      <c r="E1808" s="22"/>
      <c r="G1808" s="23"/>
      <c r="H1808" s="24"/>
      <c r="Q1808" s="2"/>
      <c r="R1808" s="2"/>
    </row>
    <row r="1809" spans="1:18" ht="15.75" customHeight="1" x14ac:dyDescent="0.3">
      <c r="A1809" s="11"/>
      <c r="B1809" s="11"/>
      <c r="D1809" s="21"/>
      <c r="E1809" s="22"/>
      <c r="G1809" s="23"/>
      <c r="H1809" s="24"/>
      <c r="Q1809" s="2"/>
      <c r="R1809" s="2"/>
    </row>
    <row r="1810" spans="1:18" ht="15.75" customHeight="1" x14ac:dyDescent="0.3">
      <c r="A1810" s="11"/>
      <c r="B1810" s="11"/>
      <c r="D1810" s="21"/>
      <c r="E1810" s="22"/>
      <c r="G1810" s="23"/>
      <c r="H1810" s="24"/>
      <c r="Q1810" s="2"/>
      <c r="R1810" s="2"/>
    </row>
    <row r="1811" spans="1:18" ht="15.75" customHeight="1" x14ac:dyDescent="0.3">
      <c r="A1811" s="11"/>
      <c r="B1811" s="11"/>
      <c r="D1811" s="21"/>
      <c r="E1811" s="22"/>
      <c r="G1811" s="23"/>
      <c r="H1811" s="24"/>
      <c r="Q1811" s="2"/>
      <c r="R1811" s="2"/>
    </row>
    <row r="1812" spans="1:18" ht="15.75" customHeight="1" x14ac:dyDescent="0.3">
      <c r="A1812" s="11"/>
      <c r="B1812" s="11"/>
      <c r="D1812" s="21"/>
      <c r="E1812" s="22"/>
      <c r="G1812" s="23"/>
      <c r="H1812" s="24"/>
      <c r="Q1812" s="2"/>
      <c r="R1812" s="2"/>
    </row>
    <row r="1813" spans="1:18" ht="15.75" customHeight="1" x14ac:dyDescent="0.3">
      <c r="A1813" s="11"/>
      <c r="B1813" s="11"/>
      <c r="D1813" s="21"/>
      <c r="E1813" s="22"/>
      <c r="G1813" s="23"/>
      <c r="H1813" s="24"/>
      <c r="Q1813" s="2"/>
      <c r="R1813" s="2"/>
    </row>
    <row r="1814" spans="1:18" ht="15.75" customHeight="1" x14ac:dyDescent="0.3">
      <c r="A1814" s="11"/>
      <c r="B1814" s="11"/>
      <c r="D1814" s="21"/>
      <c r="E1814" s="22"/>
      <c r="G1814" s="23"/>
      <c r="H1814" s="24"/>
      <c r="Q1814" s="2"/>
      <c r="R1814" s="2"/>
    </row>
    <row r="1815" spans="1:18" ht="15.75" customHeight="1" x14ac:dyDescent="0.3">
      <c r="A1815" s="11"/>
      <c r="B1815" s="11"/>
      <c r="D1815" s="21"/>
      <c r="E1815" s="22"/>
      <c r="G1815" s="23"/>
      <c r="H1815" s="24"/>
      <c r="Q1815" s="2"/>
      <c r="R1815" s="2"/>
    </row>
    <row r="1816" spans="1:18" ht="15.75" customHeight="1" x14ac:dyDescent="0.3">
      <c r="A1816" s="11"/>
      <c r="B1816" s="11"/>
      <c r="D1816" s="21"/>
      <c r="E1816" s="22"/>
      <c r="G1816" s="23"/>
      <c r="H1816" s="24"/>
      <c r="Q1816" s="2"/>
      <c r="R1816" s="2"/>
    </row>
    <row r="1817" spans="1:18" ht="15.75" customHeight="1" x14ac:dyDescent="0.3">
      <c r="A1817" s="11"/>
      <c r="B1817" s="11"/>
      <c r="D1817" s="21"/>
      <c r="E1817" s="22"/>
      <c r="G1817" s="23"/>
      <c r="H1817" s="24"/>
      <c r="Q1817" s="2"/>
      <c r="R1817" s="2"/>
    </row>
    <row r="1818" spans="1:18" ht="15.75" customHeight="1" x14ac:dyDescent="0.3">
      <c r="A1818" s="11"/>
      <c r="B1818" s="11"/>
      <c r="D1818" s="21"/>
      <c r="E1818" s="22"/>
      <c r="G1818" s="23"/>
      <c r="H1818" s="24"/>
      <c r="Q1818" s="2"/>
      <c r="R1818" s="2"/>
    </row>
    <row r="1819" spans="1:18" ht="15.75" customHeight="1" x14ac:dyDescent="0.3">
      <c r="A1819" s="11"/>
      <c r="B1819" s="11"/>
      <c r="D1819" s="21"/>
      <c r="E1819" s="22"/>
      <c r="G1819" s="23"/>
      <c r="H1819" s="24"/>
      <c r="Q1819" s="2"/>
      <c r="R1819" s="2"/>
    </row>
    <row r="1820" spans="1:18" ht="15.75" customHeight="1" x14ac:dyDescent="0.3">
      <c r="A1820" s="11"/>
      <c r="B1820" s="11"/>
      <c r="D1820" s="21"/>
      <c r="E1820" s="22"/>
      <c r="G1820" s="23"/>
      <c r="H1820" s="24"/>
      <c r="Q1820" s="2"/>
      <c r="R1820" s="2"/>
    </row>
    <row r="1821" spans="1:18" ht="15.75" customHeight="1" x14ac:dyDescent="0.3">
      <c r="A1821" s="11"/>
      <c r="B1821" s="11"/>
      <c r="D1821" s="21"/>
      <c r="E1821" s="22"/>
      <c r="G1821" s="23"/>
      <c r="H1821" s="24"/>
      <c r="Q1821" s="2"/>
      <c r="R1821" s="2"/>
    </row>
    <row r="1822" spans="1:18" ht="15.75" customHeight="1" x14ac:dyDescent="0.3">
      <c r="A1822" s="11"/>
      <c r="B1822" s="11"/>
      <c r="D1822" s="21"/>
      <c r="E1822" s="22"/>
      <c r="G1822" s="23"/>
      <c r="H1822" s="24"/>
      <c r="Q1822" s="2"/>
      <c r="R1822" s="2"/>
    </row>
    <row r="1823" spans="1:18" ht="15.75" customHeight="1" x14ac:dyDescent="0.3">
      <c r="A1823" s="11"/>
      <c r="B1823" s="11"/>
      <c r="D1823" s="21"/>
      <c r="E1823" s="22"/>
      <c r="G1823" s="23"/>
      <c r="H1823" s="24"/>
      <c r="Q1823" s="2"/>
      <c r="R1823" s="2"/>
    </row>
    <row r="1824" spans="1:18" ht="15.75" customHeight="1" x14ac:dyDescent="0.3">
      <c r="A1824" s="11"/>
      <c r="B1824" s="11"/>
      <c r="D1824" s="21"/>
      <c r="E1824" s="22"/>
      <c r="G1824" s="23"/>
      <c r="H1824" s="24"/>
      <c r="Q1824" s="2"/>
      <c r="R1824" s="2"/>
    </row>
    <row r="1825" spans="1:18" ht="15.75" customHeight="1" x14ac:dyDescent="0.3">
      <c r="A1825" s="11"/>
      <c r="B1825" s="11"/>
      <c r="D1825" s="21"/>
      <c r="E1825" s="22"/>
      <c r="G1825" s="23"/>
      <c r="H1825" s="24"/>
      <c r="Q1825" s="2"/>
      <c r="R1825" s="2"/>
    </row>
    <row r="1826" spans="1:18" ht="15.75" customHeight="1" x14ac:dyDescent="0.3">
      <c r="A1826" s="11"/>
      <c r="B1826" s="11"/>
      <c r="D1826" s="21"/>
      <c r="E1826" s="22"/>
      <c r="G1826" s="23"/>
      <c r="H1826" s="24"/>
      <c r="Q1826" s="2"/>
      <c r="R1826" s="2"/>
    </row>
    <row r="1827" spans="1:18" ht="15.75" customHeight="1" x14ac:dyDescent="0.3">
      <c r="A1827" s="11"/>
      <c r="B1827" s="11"/>
      <c r="D1827" s="21"/>
      <c r="E1827" s="22"/>
      <c r="G1827" s="23"/>
      <c r="H1827" s="24"/>
      <c r="Q1827" s="2"/>
      <c r="R1827" s="2"/>
    </row>
    <row r="1828" spans="1:18" ht="15.75" customHeight="1" x14ac:dyDescent="0.3">
      <c r="A1828" s="11"/>
      <c r="B1828" s="11"/>
      <c r="D1828" s="21"/>
      <c r="E1828" s="22"/>
      <c r="G1828" s="23"/>
      <c r="H1828" s="24"/>
      <c r="Q1828" s="2"/>
      <c r="R1828" s="2"/>
    </row>
    <row r="1829" spans="1:18" ht="15.75" customHeight="1" x14ac:dyDescent="0.3">
      <c r="A1829" s="11"/>
      <c r="B1829" s="11"/>
      <c r="D1829" s="21"/>
      <c r="E1829" s="22"/>
      <c r="G1829" s="23"/>
      <c r="H1829" s="24"/>
      <c r="Q1829" s="2"/>
      <c r="R1829" s="2"/>
    </row>
    <row r="1830" spans="1:18" ht="15.75" customHeight="1" x14ac:dyDescent="0.3">
      <c r="A1830" s="11"/>
      <c r="B1830" s="11"/>
      <c r="D1830" s="21"/>
      <c r="E1830" s="22"/>
      <c r="G1830" s="23"/>
      <c r="H1830" s="24"/>
      <c r="Q1830" s="2"/>
      <c r="R1830" s="2"/>
    </row>
    <row r="1831" spans="1:18" ht="15.75" customHeight="1" x14ac:dyDescent="0.3">
      <c r="A1831" s="11"/>
      <c r="B1831" s="11"/>
      <c r="D1831" s="21"/>
      <c r="E1831" s="22"/>
      <c r="G1831" s="23"/>
      <c r="H1831" s="24"/>
      <c r="Q1831" s="2"/>
      <c r="R1831" s="2"/>
    </row>
    <row r="1832" spans="1:18" ht="15.75" customHeight="1" x14ac:dyDescent="0.3">
      <c r="A1832" s="11"/>
      <c r="B1832" s="11"/>
      <c r="D1832" s="21"/>
      <c r="E1832" s="22"/>
      <c r="G1832" s="23"/>
      <c r="H1832" s="24"/>
      <c r="Q1832" s="2"/>
      <c r="R1832" s="2"/>
    </row>
    <row r="1833" spans="1:18" ht="15.75" customHeight="1" x14ac:dyDescent="0.3">
      <c r="A1833" s="11"/>
      <c r="B1833" s="11"/>
      <c r="D1833" s="21"/>
      <c r="E1833" s="22"/>
      <c r="G1833" s="23"/>
      <c r="H1833" s="24"/>
      <c r="Q1833" s="2"/>
      <c r="R1833" s="2"/>
    </row>
    <row r="1834" spans="1:18" ht="15.75" customHeight="1" x14ac:dyDescent="0.3">
      <c r="A1834" s="11"/>
      <c r="B1834" s="11"/>
      <c r="D1834" s="21"/>
      <c r="E1834" s="22"/>
      <c r="G1834" s="23"/>
      <c r="H1834" s="24"/>
      <c r="Q1834" s="2"/>
      <c r="R1834" s="2"/>
    </row>
    <row r="1835" spans="1:18" ht="15.75" customHeight="1" x14ac:dyDescent="0.3">
      <c r="A1835" s="11"/>
      <c r="B1835" s="11"/>
      <c r="D1835" s="21"/>
      <c r="E1835" s="22"/>
      <c r="G1835" s="23"/>
      <c r="H1835" s="24"/>
      <c r="Q1835" s="2"/>
      <c r="R1835" s="2"/>
    </row>
    <row r="1836" spans="1:18" ht="15.75" customHeight="1" x14ac:dyDescent="0.3">
      <c r="A1836" s="11"/>
      <c r="B1836" s="11"/>
      <c r="D1836" s="21"/>
      <c r="E1836" s="22"/>
      <c r="G1836" s="23"/>
      <c r="H1836" s="24"/>
      <c r="Q1836" s="2"/>
      <c r="R1836" s="2"/>
    </row>
    <row r="1837" spans="1:18" ht="15.75" customHeight="1" x14ac:dyDescent="0.3">
      <c r="A1837" s="11"/>
      <c r="B1837" s="11"/>
      <c r="D1837" s="21"/>
      <c r="E1837" s="22"/>
      <c r="G1837" s="23"/>
      <c r="H1837" s="24"/>
      <c r="Q1837" s="2"/>
      <c r="R1837" s="2"/>
    </row>
    <row r="1838" spans="1:18" ht="15.75" customHeight="1" x14ac:dyDescent="0.3">
      <c r="A1838" s="11"/>
      <c r="B1838" s="11"/>
      <c r="D1838" s="21"/>
      <c r="E1838" s="22"/>
      <c r="G1838" s="23"/>
      <c r="H1838" s="24"/>
      <c r="Q1838" s="2"/>
      <c r="R1838" s="2"/>
    </row>
    <row r="1839" spans="1:18" ht="15.75" customHeight="1" x14ac:dyDescent="0.3">
      <c r="A1839" s="11"/>
      <c r="B1839" s="11"/>
      <c r="D1839" s="21"/>
      <c r="E1839" s="22"/>
      <c r="G1839" s="23"/>
      <c r="H1839" s="24"/>
      <c r="Q1839" s="2"/>
      <c r="R1839" s="2"/>
    </row>
    <row r="1840" spans="1:18" ht="15.75" customHeight="1" x14ac:dyDescent="0.3">
      <c r="A1840" s="11"/>
      <c r="B1840" s="11"/>
      <c r="D1840" s="21"/>
      <c r="E1840" s="22"/>
      <c r="G1840" s="23"/>
      <c r="H1840" s="24"/>
      <c r="Q1840" s="2"/>
      <c r="R1840" s="2"/>
    </row>
    <row r="1841" spans="1:18" ht="15.75" customHeight="1" x14ac:dyDescent="0.3">
      <c r="A1841" s="11"/>
      <c r="B1841" s="11"/>
      <c r="D1841" s="21"/>
      <c r="E1841" s="22"/>
      <c r="G1841" s="23"/>
      <c r="H1841" s="24"/>
      <c r="Q1841" s="2"/>
      <c r="R1841" s="2"/>
    </row>
    <row r="1842" spans="1:18" ht="15.75" customHeight="1" x14ac:dyDescent="0.3">
      <c r="A1842" s="11"/>
      <c r="B1842" s="11"/>
      <c r="D1842" s="21"/>
      <c r="E1842" s="22"/>
      <c r="G1842" s="23"/>
      <c r="H1842" s="24"/>
      <c r="Q1842" s="2"/>
      <c r="R1842" s="2"/>
    </row>
    <row r="1843" spans="1:18" ht="15.75" customHeight="1" x14ac:dyDescent="0.3">
      <c r="A1843" s="11"/>
      <c r="B1843" s="11"/>
      <c r="D1843" s="21"/>
      <c r="E1843" s="22"/>
      <c r="G1843" s="23"/>
      <c r="H1843" s="24"/>
      <c r="Q1843" s="2"/>
      <c r="R1843" s="2"/>
    </row>
    <row r="1844" spans="1:18" ht="15.75" customHeight="1" x14ac:dyDescent="0.3">
      <c r="A1844" s="11"/>
      <c r="B1844" s="11"/>
      <c r="D1844" s="21"/>
      <c r="E1844" s="22"/>
      <c r="G1844" s="23"/>
      <c r="H1844" s="24"/>
      <c r="Q1844" s="2"/>
      <c r="R1844" s="2"/>
    </row>
    <row r="1845" spans="1:18" ht="15.75" customHeight="1" x14ac:dyDescent="0.3">
      <c r="A1845" s="11"/>
      <c r="B1845" s="11"/>
      <c r="D1845" s="21"/>
      <c r="E1845" s="22"/>
      <c r="G1845" s="23"/>
      <c r="H1845" s="24"/>
      <c r="Q1845" s="2"/>
      <c r="R1845" s="2"/>
    </row>
    <row r="1846" spans="1:18" ht="15.75" customHeight="1" x14ac:dyDescent="0.3">
      <c r="A1846" s="11"/>
      <c r="B1846" s="11"/>
      <c r="D1846" s="21"/>
      <c r="E1846" s="22"/>
      <c r="G1846" s="23"/>
      <c r="H1846" s="24"/>
      <c r="Q1846" s="2"/>
      <c r="R1846" s="2"/>
    </row>
    <row r="1847" spans="1:18" ht="15.75" customHeight="1" x14ac:dyDescent="0.3">
      <c r="A1847" s="11"/>
      <c r="B1847" s="11"/>
      <c r="D1847" s="21"/>
      <c r="E1847" s="22"/>
      <c r="G1847" s="23"/>
      <c r="H1847" s="24"/>
      <c r="Q1847" s="2"/>
      <c r="R1847" s="2"/>
    </row>
    <row r="1848" spans="1:18" ht="15.75" customHeight="1" x14ac:dyDescent="0.3">
      <c r="A1848" s="11"/>
      <c r="B1848" s="11"/>
      <c r="D1848" s="21"/>
      <c r="E1848" s="22"/>
      <c r="G1848" s="23"/>
      <c r="H1848" s="24"/>
      <c r="Q1848" s="2"/>
      <c r="R1848" s="2"/>
    </row>
    <row r="1849" spans="1:18" ht="15.75" customHeight="1" x14ac:dyDescent="0.3">
      <c r="A1849" s="11"/>
      <c r="B1849" s="11"/>
      <c r="D1849" s="21"/>
      <c r="E1849" s="22"/>
      <c r="G1849" s="23"/>
      <c r="H1849" s="24"/>
      <c r="Q1849" s="2"/>
      <c r="R1849" s="2"/>
    </row>
    <row r="1850" spans="1:18" ht="15.75" customHeight="1" x14ac:dyDescent="0.3">
      <c r="A1850" s="11"/>
      <c r="B1850" s="11"/>
      <c r="D1850" s="21"/>
      <c r="E1850" s="22"/>
      <c r="G1850" s="23"/>
      <c r="H1850" s="24"/>
      <c r="Q1850" s="2"/>
      <c r="R1850" s="2"/>
    </row>
    <row r="1851" spans="1:18" ht="15.75" customHeight="1" x14ac:dyDescent="0.3">
      <c r="A1851" s="11"/>
      <c r="B1851" s="11"/>
      <c r="D1851" s="21"/>
      <c r="E1851" s="22"/>
      <c r="G1851" s="23"/>
      <c r="H1851" s="24"/>
      <c r="Q1851" s="2"/>
      <c r="R1851" s="2"/>
    </row>
    <row r="1852" spans="1:18" ht="15.75" customHeight="1" x14ac:dyDescent="0.3">
      <c r="A1852" s="11"/>
      <c r="B1852" s="11"/>
      <c r="D1852" s="21"/>
      <c r="E1852" s="22"/>
      <c r="G1852" s="23"/>
      <c r="H1852" s="24"/>
      <c r="Q1852" s="2"/>
      <c r="R1852" s="2"/>
    </row>
    <row r="1853" spans="1:18" ht="15.75" customHeight="1" x14ac:dyDescent="0.3">
      <c r="A1853" s="11"/>
      <c r="B1853" s="11"/>
      <c r="D1853" s="21"/>
      <c r="E1853" s="22"/>
      <c r="G1853" s="23"/>
      <c r="H1853" s="24"/>
      <c r="Q1853" s="2"/>
      <c r="R1853" s="2"/>
    </row>
    <row r="1854" spans="1:18" ht="15.75" customHeight="1" x14ac:dyDescent="0.3">
      <c r="A1854" s="11"/>
      <c r="B1854" s="11"/>
      <c r="D1854" s="21"/>
      <c r="E1854" s="22"/>
      <c r="G1854" s="23"/>
      <c r="H1854" s="24"/>
      <c r="Q1854" s="2"/>
      <c r="R1854" s="2"/>
    </row>
    <row r="1855" spans="1:18" ht="15.75" customHeight="1" x14ac:dyDescent="0.3">
      <c r="A1855" s="11"/>
      <c r="B1855" s="11"/>
      <c r="D1855" s="21"/>
      <c r="E1855" s="22"/>
      <c r="G1855" s="23"/>
      <c r="H1855" s="24"/>
      <c r="Q1855" s="2"/>
      <c r="R1855" s="2"/>
    </row>
    <row r="1856" spans="1:18" ht="15.75" customHeight="1" x14ac:dyDescent="0.3">
      <c r="A1856" s="11"/>
      <c r="B1856" s="11"/>
      <c r="D1856" s="21"/>
      <c r="E1856" s="22"/>
      <c r="G1856" s="23"/>
      <c r="H1856" s="24"/>
      <c r="Q1856" s="2"/>
      <c r="R1856" s="2"/>
    </row>
    <row r="1857" spans="1:18" ht="15.75" customHeight="1" x14ac:dyDescent="0.3">
      <c r="A1857" s="11"/>
      <c r="B1857" s="11"/>
      <c r="D1857" s="21"/>
      <c r="E1857" s="22"/>
      <c r="G1857" s="23"/>
      <c r="H1857" s="24"/>
      <c r="Q1857" s="2"/>
      <c r="R1857" s="2"/>
    </row>
    <row r="1858" spans="1:18" ht="15.75" customHeight="1" x14ac:dyDescent="0.3">
      <c r="A1858" s="11"/>
      <c r="B1858" s="11"/>
      <c r="D1858" s="21"/>
      <c r="E1858" s="22"/>
      <c r="G1858" s="23"/>
      <c r="H1858" s="24"/>
      <c r="Q1858" s="2"/>
      <c r="R1858" s="2"/>
    </row>
    <row r="1859" spans="1:18" ht="15.75" customHeight="1" x14ac:dyDescent="0.3">
      <c r="A1859" s="11"/>
      <c r="B1859" s="11"/>
      <c r="D1859" s="21"/>
      <c r="E1859" s="22"/>
      <c r="G1859" s="23"/>
      <c r="H1859" s="24"/>
      <c r="Q1859" s="2"/>
      <c r="R1859" s="2"/>
    </row>
    <row r="1860" spans="1:18" ht="15.75" customHeight="1" x14ac:dyDescent="0.3">
      <c r="A1860" s="11"/>
      <c r="B1860" s="11"/>
      <c r="D1860" s="21"/>
      <c r="E1860" s="22"/>
      <c r="G1860" s="23"/>
      <c r="H1860" s="24"/>
      <c r="Q1860" s="2"/>
      <c r="R1860" s="2"/>
    </row>
    <row r="1861" spans="1:18" ht="15.75" customHeight="1" x14ac:dyDescent="0.3">
      <c r="A1861" s="11"/>
      <c r="B1861" s="11"/>
      <c r="D1861" s="21"/>
      <c r="E1861" s="22"/>
      <c r="G1861" s="23"/>
      <c r="H1861" s="24"/>
      <c r="Q1861" s="2"/>
      <c r="R1861" s="2"/>
    </row>
    <row r="1862" spans="1:18" ht="15.75" customHeight="1" x14ac:dyDescent="0.3">
      <c r="A1862" s="11"/>
      <c r="B1862" s="11"/>
      <c r="D1862" s="21"/>
      <c r="E1862" s="22"/>
      <c r="G1862" s="23"/>
      <c r="H1862" s="24"/>
      <c r="Q1862" s="2"/>
      <c r="R1862" s="2"/>
    </row>
    <row r="1863" spans="1:18" ht="15.75" customHeight="1" x14ac:dyDescent="0.3">
      <c r="A1863" s="11"/>
      <c r="B1863" s="11"/>
      <c r="D1863" s="21"/>
      <c r="E1863" s="22"/>
      <c r="G1863" s="23"/>
      <c r="H1863" s="24"/>
      <c r="Q1863" s="2"/>
      <c r="R1863" s="2"/>
    </row>
    <row r="1864" spans="1:18" ht="15.75" customHeight="1" x14ac:dyDescent="0.3">
      <c r="A1864" s="11"/>
      <c r="B1864" s="11"/>
      <c r="D1864" s="21"/>
      <c r="E1864" s="22"/>
      <c r="G1864" s="23"/>
      <c r="H1864" s="24"/>
      <c r="Q1864" s="2"/>
      <c r="R1864" s="2"/>
    </row>
    <row r="1865" spans="1:18" ht="15.75" customHeight="1" x14ac:dyDescent="0.3">
      <c r="A1865" s="11"/>
      <c r="B1865" s="11"/>
      <c r="D1865" s="21"/>
      <c r="E1865" s="22"/>
      <c r="G1865" s="23"/>
      <c r="H1865" s="24"/>
      <c r="Q1865" s="2"/>
      <c r="R1865" s="2"/>
    </row>
    <row r="1866" spans="1:18" ht="15.75" customHeight="1" x14ac:dyDescent="0.3">
      <c r="A1866" s="11"/>
      <c r="B1866" s="11"/>
      <c r="D1866" s="21"/>
      <c r="E1866" s="22"/>
      <c r="G1866" s="23"/>
      <c r="H1866" s="24"/>
      <c r="Q1866" s="2"/>
      <c r="R1866" s="2"/>
    </row>
    <row r="1867" spans="1:18" ht="15.75" customHeight="1" x14ac:dyDescent="0.3">
      <c r="A1867" s="11"/>
      <c r="B1867" s="11"/>
      <c r="D1867" s="21"/>
      <c r="E1867" s="22"/>
      <c r="G1867" s="23"/>
      <c r="H1867" s="24"/>
      <c r="Q1867" s="2"/>
      <c r="R1867" s="2"/>
    </row>
    <row r="1868" spans="1:18" ht="15.75" customHeight="1" x14ac:dyDescent="0.3">
      <c r="A1868" s="11"/>
      <c r="B1868" s="11"/>
      <c r="D1868" s="21"/>
      <c r="E1868" s="22"/>
      <c r="G1868" s="23"/>
      <c r="H1868" s="24"/>
      <c r="Q1868" s="2"/>
      <c r="R1868" s="2"/>
    </row>
    <row r="1869" spans="1:18" ht="15.75" customHeight="1" x14ac:dyDescent="0.3">
      <c r="A1869" s="11"/>
      <c r="B1869" s="11"/>
      <c r="D1869" s="21"/>
      <c r="E1869" s="22"/>
      <c r="G1869" s="23"/>
      <c r="H1869" s="24"/>
      <c r="Q1869" s="2"/>
      <c r="R1869" s="2"/>
    </row>
    <row r="1870" spans="1:18" ht="15.75" customHeight="1" x14ac:dyDescent="0.3">
      <c r="A1870" s="11"/>
      <c r="B1870" s="11"/>
      <c r="D1870" s="21"/>
      <c r="E1870" s="22"/>
      <c r="G1870" s="23"/>
      <c r="H1870" s="24"/>
      <c r="Q1870" s="2"/>
      <c r="R1870" s="2"/>
    </row>
    <row r="1871" spans="1:18" ht="15.75" customHeight="1" x14ac:dyDescent="0.3">
      <c r="A1871" s="11"/>
      <c r="B1871" s="11"/>
      <c r="D1871" s="21"/>
      <c r="E1871" s="22"/>
      <c r="G1871" s="23"/>
      <c r="H1871" s="24"/>
      <c r="Q1871" s="2"/>
      <c r="R1871" s="2"/>
    </row>
    <row r="1872" spans="1:18" ht="15.75" customHeight="1" x14ac:dyDescent="0.3">
      <c r="A1872" s="11"/>
      <c r="B1872" s="11"/>
      <c r="D1872" s="21"/>
      <c r="E1872" s="22"/>
      <c r="G1872" s="23"/>
      <c r="H1872" s="24"/>
      <c r="Q1872" s="2"/>
      <c r="R1872" s="2"/>
    </row>
    <row r="1873" spans="1:18" ht="15.75" customHeight="1" x14ac:dyDescent="0.3">
      <c r="A1873" s="11"/>
      <c r="B1873" s="11"/>
      <c r="D1873" s="21"/>
      <c r="E1873" s="22"/>
      <c r="G1873" s="23"/>
      <c r="H1873" s="24"/>
      <c r="Q1873" s="2"/>
      <c r="R1873" s="2"/>
    </row>
    <row r="1874" spans="1:18" ht="15.75" customHeight="1" x14ac:dyDescent="0.3">
      <c r="A1874" s="11"/>
      <c r="B1874" s="11"/>
      <c r="D1874" s="21"/>
      <c r="E1874" s="22"/>
      <c r="G1874" s="23"/>
      <c r="H1874" s="24"/>
      <c r="Q1874" s="2"/>
      <c r="R1874" s="2"/>
    </row>
    <row r="1875" spans="1:18" ht="15.75" customHeight="1" x14ac:dyDescent="0.3">
      <c r="A1875" s="11"/>
      <c r="B1875" s="11"/>
      <c r="D1875" s="21"/>
      <c r="E1875" s="22"/>
      <c r="G1875" s="23"/>
      <c r="H1875" s="24"/>
      <c r="Q1875" s="2"/>
      <c r="R1875" s="2"/>
    </row>
    <row r="1876" spans="1:18" ht="15.75" customHeight="1" x14ac:dyDescent="0.3">
      <c r="A1876" s="11"/>
      <c r="B1876" s="11"/>
      <c r="D1876" s="21"/>
      <c r="E1876" s="22"/>
      <c r="G1876" s="23"/>
      <c r="H1876" s="24"/>
      <c r="Q1876" s="2"/>
      <c r="R1876" s="2"/>
    </row>
    <row r="1877" spans="1:18" ht="15.75" customHeight="1" x14ac:dyDescent="0.3">
      <c r="A1877" s="11"/>
      <c r="B1877" s="11"/>
      <c r="D1877" s="21"/>
      <c r="E1877" s="22"/>
      <c r="G1877" s="23"/>
      <c r="H1877" s="24"/>
      <c r="Q1877" s="2"/>
      <c r="R1877" s="2"/>
    </row>
    <row r="1878" spans="1:18" ht="15.75" customHeight="1" x14ac:dyDescent="0.3">
      <c r="A1878" s="11"/>
      <c r="B1878" s="11"/>
      <c r="D1878" s="21"/>
      <c r="E1878" s="22"/>
      <c r="G1878" s="23"/>
      <c r="H1878" s="24"/>
      <c r="Q1878" s="2"/>
      <c r="R1878" s="2"/>
    </row>
    <row r="1879" spans="1:18" ht="15.75" customHeight="1" x14ac:dyDescent="0.3">
      <c r="A1879" s="11"/>
      <c r="B1879" s="11"/>
      <c r="D1879" s="21"/>
      <c r="E1879" s="22"/>
      <c r="G1879" s="23"/>
      <c r="H1879" s="24"/>
      <c r="Q1879" s="2"/>
      <c r="R1879" s="2"/>
    </row>
    <row r="1880" spans="1:18" ht="15.75" customHeight="1" x14ac:dyDescent="0.3">
      <c r="A1880" s="11"/>
      <c r="B1880" s="11"/>
      <c r="D1880" s="21"/>
      <c r="E1880" s="22"/>
      <c r="G1880" s="23"/>
      <c r="H1880" s="24"/>
      <c r="Q1880" s="2"/>
      <c r="R1880" s="2"/>
    </row>
    <row r="1881" spans="1:18" ht="15.75" customHeight="1" x14ac:dyDescent="0.3">
      <c r="A1881" s="11"/>
      <c r="B1881" s="11"/>
      <c r="D1881" s="21"/>
      <c r="E1881" s="22"/>
      <c r="G1881" s="23"/>
      <c r="H1881" s="24"/>
      <c r="Q1881" s="2"/>
      <c r="R1881" s="2"/>
    </row>
    <row r="1882" spans="1:18" ht="15.75" customHeight="1" x14ac:dyDescent="0.3">
      <c r="A1882" s="11"/>
      <c r="B1882" s="11"/>
      <c r="D1882" s="21"/>
      <c r="E1882" s="22"/>
      <c r="G1882" s="23"/>
      <c r="H1882" s="24"/>
      <c r="Q1882" s="2"/>
      <c r="R1882" s="2"/>
    </row>
    <row r="1883" spans="1:18" ht="15.75" customHeight="1" x14ac:dyDescent="0.3">
      <c r="A1883" s="11"/>
      <c r="B1883" s="11"/>
      <c r="D1883" s="21"/>
      <c r="E1883" s="22"/>
      <c r="G1883" s="23"/>
      <c r="H1883" s="24"/>
      <c r="Q1883" s="2"/>
      <c r="R1883" s="2"/>
    </row>
    <row r="1884" spans="1:18" ht="15.75" customHeight="1" x14ac:dyDescent="0.3">
      <c r="A1884" s="11"/>
      <c r="B1884" s="11"/>
      <c r="D1884" s="21"/>
      <c r="E1884" s="22"/>
      <c r="G1884" s="23"/>
      <c r="H1884" s="24"/>
      <c r="Q1884" s="2"/>
      <c r="R1884" s="2"/>
    </row>
    <row r="1885" spans="1:18" ht="15.75" customHeight="1" x14ac:dyDescent="0.3">
      <c r="A1885" s="11"/>
      <c r="B1885" s="11"/>
      <c r="D1885" s="21"/>
      <c r="E1885" s="22"/>
      <c r="G1885" s="23"/>
      <c r="H1885" s="24"/>
      <c r="Q1885" s="2"/>
      <c r="R1885" s="2"/>
    </row>
    <row r="1886" spans="1:18" ht="15.75" customHeight="1" x14ac:dyDescent="0.3">
      <c r="A1886" s="11"/>
      <c r="B1886" s="11"/>
      <c r="D1886" s="21"/>
      <c r="E1886" s="22"/>
      <c r="G1886" s="23"/>
      <c r="H1886" s="24"/>
      <c r="Q1886" s="2"/>
      <c r="R1886" s="2"/>
    </row>
    <row r="1887" spans="1:18" ht="15.75" customHeight="1" x14ac:dyDescent="0.3">
      <c r="A1887" s="11"/>
      <c r="B1887" s="11"/>
      <c r="D1887" s="21"/>
      <c r="E1887" s="22"/>
      <c r="G1887" s="23"/>
      <c r="H1887" s="24"/>
      <c r="Q1887" s="2"/>
      <c r="R1887" s="2"/>
    </row>
    <row r="1888" spans="1:18" ht="15.75" customHeight="1" x14ac:dyDescent="0.3">
      <c r="A1888" s="11"/>
      <c r="B1888" s="11"/>
      <c r="D1888" s="21"/>
      <c r="E1888" s="22"/>
      <c r="G1888" s="23"/>
      <c r="H1888" s="24"/>
      <c r="Q1888" s="2"/>
      <c r="R1888" s="2"/>
    </row>
    <row r="1889" spans="1:18" ht="15.75" customHeight="1" x14ac:dyDescent="0.3">
      <c r="A1889" s="11"/>
      <c r="B1889" s="11"/>
      <c r="D1889" s="21"/>
      <c r="E1889" s="22"/>
      <c r="G1889" s="23"/>
      <c r="H1889" s="24"/>
      <c r="Q1889" s="2"/>
      <c r="R1889" s="2"/>
    </row>
    <row r="1890" spans="1:18" ht="15.75" customHeight="1" x14ac:dyDescent="0.3">
      <c r="A1890" s="11"/>
      <c r="B1890" s="11"/>
      <c r="D1890" s="21"/>
      <c r="E1890" s="22"/>
      <c r="G1890" s="23"/>
      <c r="H1890" s="24"/>
      <c r="Q1890" s="2"/>
      <c r="R1890" s="2"/>
    </row>
    <row r="1891" spans="1:18" ht="15.75" customHeight="1" x14ac:dyDescent="0.3">
      <c r="A1891" s="11"/>
      <c r="B1891" s="11"/>
      <c r="D1891" s="21"/>
      <c r="E1891" s="22"/>
      <c r="G1891" s="23"/>
      <c r="H1891" s="24"/>
      <c r="Q1891" s="2"/>
      <c r="R1891" s="2"/>
    </row>
    <row r="1892" spans="1:18" ht="15.75" customHeight="1" x14ac:dyDescent="0.3">
      <c r="A1892" s="11"/>
      <c r="B1892" s="11"/>
      <c r="D1892" s="21"/>
      <c r="E1892" s="22"/>
      <c r="G1892" s="23"/>
      <c r="H1892" s="24"/>
      <c r="Q1892" s="2"/>
      <c r="R1892" s="2"/>
    </row>
    <row r="1893" spans="1:18" ht="15.75" customHeight="1" x14ac:dyDescent="0.3">
      <c r="A1893" s="11"/>
      <c r="B1893" s="11"/>
      <c r="D1893" s="21"/>
      <c r="E1893" s="22"/>
      <c r="G1893" s="23"/>
      <c r="H1893" s="24"/>
      <c r="Q1893" s="2"/>
      <c r="R1893" s="2"/>
    </row>
    <row r="1894" spans="1:18" ht="15.75" customHeight="1" x14ac:dyDescent="0.3">
      <c r="A1894" s="11"/>
      <c r="B1894" s="11"/>
      <c r="D1894" s="21"/>
      <c r="E1894" s="22"/>
      <c r="G1894" s="23"/>
      <c r="H1894" s="24"/>
      <c r="Q1894" s="2"/>
      <c r="R1894" s="2"/>
    </row>
    <row r="1895" spans="1:18" ht="15.75" customHeight="1" x14ac:dyDescent="0.3">
      <c r="A1895" s="11"/>
      <c r="B1895" s="11"/>
      <c r="D1895" s="21"/>
      <c r="E1895" s="22"/>
      <c r="G1895" s="23"/>
      <c r="H1895" s="24"/>
      <c r="Q1895" s="2"/>
      <c r="R1895" s="2"/>
    </row>
    <row r="1896" spans="1:18" ht="15.75" customHeight="1" x14ac:dyDescent="0.3">
      <c r="A1896" s="11"/>
      <c r="B1896" s="11"/>
      <c r="D1896" s="21"/>
      <c r="E1896" s="22"/>
      <c r="G1896" s="23"/>
      <c r="H1896" s="24"/>
      <c r="Q1896" s="2"/>
      <c r="R1896" s="2"/>
    </row>
    <row r="1897" spans="1:18" ht="15.75" customHeight="1" x14ac:dyDescent="0.3">
      <c r="A1897" s="11"/>
      <c r="B1897" s="11"/>
      <c r="D1897" s="21"/>
      <c r="E1897" s="22"/>
      <c r="G1897" s="23"/>
      <c r="H1897" s="24"/>
      <c r="Q1897" s="2"/>
      <c r="R1897" s="2"/>
    </row>
    <row r="1898" spans="1:18" ht="15.75" customHeight="1" x14ac:dyDescent="0.3">
      <c r="A1898" s="11"/>
      <c r="B1898" s="11"/>
      <c r="D1898" s="21"/>
      <c r="E1898" s="22"/>
      <c r="G1898" s="23"/>
      <c r="H1898" s="24"/>
      <c r="Q1898" s="2"/>
      <c r="R1898" s="2"/>
    </row>
    <row r="1899" spans="1:18" ht="15.75" customHeight="1" x14ac:dyDescent="0.3">
      <c r="A1899" s="11"/>
      <c r="B1899" s="11"/>
      <c r="D1899" s="21"/>
      <c r="E1899" s="22"/>
      <c r="G1899" s="23"/>
      <c r="H1899" s="24"/>
      <c r="Q1899" s="2"/>
      <c r="R1899" s="2"/>
    </row>
    <row r="1900" spans="1:18" ht="15.75" customHeight="1" x14ac:dyDescent="0.3">
      <c r="A1900" s="11"/>
      <c r="B1900" s="11"/>
      <c r="D1900" s="21"/>
      <c r="E1900" s="22"/>
      <c r="G1900" s="23"/>
      <c r="H1900" s="24"/>
      <c r="Q1900" s="2"/>
      <c r="R1900" s="2"/>
    </row>
    <row r="1901" spans="1:18" ht="15.75" customHeight="1" x14ac:dyDescent="0.3">
      <c r="A1901" s="11"/>
      <c r="B1901" s="11"/>
      <c r="D1901" s="21"/>
      <c r="E1901" s="22"/>
      <c r="G1901" s="23"/>
      <c r="H1901" s="24"/>
      <c r="Q1901" s="2"/>
      <c r="R1901" s="2"/>
    </row>
    <row r="1902" spans="1:18" ht="15.75" customHeight="1" x14ac:dyDescent="0.3">
      <c r="A1902" s="11"/>
      <c r="B1902" s="11"/>
      <c r="D1902" s="21"/>
      <c r="E1902" s="22"/>
      <c r="G1902" s="23"/>
      <c r="H1902" s="24"/>
      <c r="Q1902" s="2"/>
      <c r="R1902" s="2"/>
    </row>
    <row r="1903" spans="1:18" ht="15.75" customHeight="1" x14ac:dyDescent="0.3">
      <c r="A1903" s="11"/>
      <c r="B1903" s="11"/>
      <c r="D1903" s="21"/>
      <c r="E1903" s="22"/>
      <c r="G1903" s="23"/>
      <c r="H1903" s="24"/>
      <c r="Q1903" s="2"/>
      <c r="R1903" s="2"/>
    </row>
    <row r="1904" spans="1:18" ht="15.75" customHeight="1" x14ac:dyDescent="0.3">
      <c r="A1904" s="11"/>
      <c r="B1904" s="11"/>
      <c r="D1904" s="21"/>
      <c r="E1904" s="22"/>
      <c r="G1904" s="23"/>
      <c r="H1904" s="24"/>
      <c r="Q1904" s="2"/>
      <c r="R1904" s="2"/>
    </row>
    <row r="1905" spans="1:18" ht="15.75" customHeight="1" x14ac:dyDescent="0.3">
      <c r="A1905" s="11"/>
      <c r="B1905" s="11"/>
      <c r="D1905" s="21"/>
      <c r="E1905" s="22"/>
      <c r="G1905" s="23"/>
      <c r="H1905" s="24"/>
      <c r="Q1905" s="2"/>
      <c r="R1905" s="2"/>
    </row>
    <row r="1906" spans="1:18" ht="15.75" customHeight="1" x14ac:dyDescent="0.3">
      <c r="A1906" s="11"/>
      <c r="B1906" s="11"/>
      <c r="D1906" s="21"/>
      <c r="E1906" s="22"/>
      <c r="G1906" s="23"/>
      <c r="H1906" s="24"/>
      <c r="Q1906" s="2"/>
      <c r="R1906" s="2"/>
    </row>
    <row r="1907" spans="1:18" ht="15.75" customHeight="1" x14ac:dyDescent="0.3">
      <c r="A1907" s="11"/>
      <c r="B1907" s="11"/>
      <c r="D1907" s="21"/>
      <c r="E1907" s="22"/>
      <c r="G1907" s="23"/>
      <c r="H1907" s="24"/>
      <c r="Q1907" s="2"/>
      <c r="R1907" s="2"/>
    </row>
    <row r="1908" spans="1:18" ht="15.75" customHeight="1" x14ac:dyDescent="0.3">
      <c r="A1908" s="11"/>
      <c r="B1908" s="11"/>
      <c r="D1908" s="21"/>
      <c r="E1908" s="22"/>
      <c r="G1908" s="23"/>
      <c r="H1908" s="24"/>
      <c r="Q1908" s="2"/>
      <c r="R1908" s="2"/>
    </row>
    <row r="1909" spans="1:18" ht="15.75" customHeight="1" x14ac:dyDescent="0.3">
      <c r="A1909" s="11"/>
      <c r="B1909" s="11"/>
      <c r="D1909" s="21"/>
      <c r="E1909" s="22"/>
      <c r="G1909" s="23"/>
      <c r="H1909" s="24"/>
      <c r="Q1909" s="2"/>
      <c r="R1909" s="2"/>
    </row>
    <row r="1910" spans="1:18" ht="15.75" customHeight="1" x14ac:dyDescent="0.3">
      <c r="A1910" s="11"/>
      <c r="B1910" s="11"/>
      <c r="D1910" s="21"/>
      <c r="E1910" s="22"/>
      <c r="G1910" s="23"/>
      <c r="H1910" s="24"/>
      <c r="Q1910" s="2"/>
      <c r="R1910" s="2"/>
    </row>
    <row r="1911" spans="1:18" ht="15.75" customHeight="1" x14ac:dyDescent="0.3">
      <c r="A1911" s="11"/>
      <c r="B1911" s="11"/>
      <c r="D1911" s="21"/>
      <c r="E1911" s="22"/>
      <c r="G1911" s="23"/>
      <c r="H1911" s="24"/>
      <c r="Q1911" s="2"/>
      <c r="R1911" s="2"/>
    </row>
    <row r="1912" spans="1:18" ht="15.75" customHeight="1" x14ac:dyDescent="0.3">
      <c r="A1912" s="11"/>
      <c r="B1912" s="11"/>
      <c r="D1912" s="21"/>
      <c r="E1912" s="22"/>
      <c r="G1912" s="23"/>
      <c r="H1912" s="24"/>
      <c r="Q1912" s="2"/>
      <c r="R1912" s="2"/>
    </row>
    <row r="1913" spans="1:18" ht="15.75" customHeight="1" x14ac:dyDescent="0.3">
      <c r="A1913" s="11"/>
      <c r="B1913" s="11"/>
      <c r="D1913" s="21"/>
      <c r="E1913" s="22"/>
      <c r="G1913" s="23"/>
      <c r="H1913" s="24"/>
      <c r="Q1913" s="2"/>
      <c r="R1913" s="2"/>
    </row>
    <row r="1914" spans="1:18" ht="15.75" customHeight="1" x14ac:dyDescent="0.3">
      <c r="A1914" s="11"/>
      <c r="B1914" s="11"/>
      <c r="D1914" s="21"/>
      <c r="E1914" s="22"/>
      <c r="G1914" s="23"/>
      <c r="H1914" s="24"/>
      <c r="Q1914" s="2"/>
      <c r="R1914" s="2"/>
    </row>
    <row r="1915" spans="1:18" ht="15.75" customHeight="1" x14ac:dyDescent="0.3">
      <c r="A1915" s="11"/>
      <c r="B1915" s="11"/>
      <c r="D1915" s="21"/>
      <c r="E1915" s="22"/>
      <c r="G1915" s="23"/>
      <c r="H1915" s="24"/>
      <c r="Q1915" s="2"/>
      <c r="R1915" s="2"/>
    </row>
    <row r="1916" spans="1:18" ht="15.75" customHeight="1" x14ac:dyDescent="0.3">
      <c r="A1916" s="11"/>
      <c r="B1916" s="11"/>
      <c r="D1916" s="21"/>
      <c r="E1916" s="22"/>
      <c r="G1916" s="23"/>
      <c r="H1916" s="24"/>
      <c r="Q1916" s="2"/>
      <c r="R1916" s="2"/>
    </row>
    <row r="1917" spans="1:18" ht="15.75" customHeight="1" x14ac:dyDescent="0.3">
      <c r="A1917" s="11"/>
      <c r="B1917" s="11"/>
      <c r="D1917" s="21"/>
      <c r="E1917" s="22"/>
      <c r="G1917" s="23"/>
      <c r="H1917" s="24"/>
      <c r="Q1917" s="2"/>
      <c r="R1917" s="2"/>
    </row>
    <row r="1918" spans="1:18" ht="15.75" customHeight="1" x14ac:dyDescent="0.3">
      <c r="A1918" s="11"/>
      <c r="B1918" s="11"/>
      <c r="D1918" s="21"/>
      <c r="E1918" s="22"/>
      <c r="G1918" s="23"/>
      <c r="H1918" s="24"/>
      <c r="Q1918" s="2"/>
      <c r="R1918" s="2"/>
    </row>
    <row r="1919" spans="1:18" ht="15.75" customHeight="1" x14ac:dyDescent="0.3">
      <c r="A1919" s="11"/>
      <c r="B1919" s="11"/>
      <c r="D1919" s="21"/>
      <c r="E1919" s="22"/>
      <c r="G1919" s="23"/>
      <c r="H1919" s="24"/>
      <c r="Q1919" s="2"/>
      <c r="R1919" s="2"/>
    </row>
    <row r="1920" spans="1:18" ht="15.75" customHeight="1" x14ac:dyDescent="0.3">
      <c r="A1920" s="11"/>
      <c r="B1920" s="11"/>
      <c r="D1920" s="21"/>
      <c r="E1920" s="22"/>
      <c r="G1920" s="23"/>
      <c r="H1920" s="24"/>
      <c r="Q1920" s="2"/>
      <c r="R1920" s="2"/>
    </row>
    <row r="1921" spans="1:18" ht="15.75" customHeight="1" x14ac:dyDescent="0.3">
      <c r="A1921" s="11"/>
      <c r="B1921" s="11"/>
      <c r="D1921" s="21"/>
      <c r="E1921" s="22"/>
      <c r="G1921" s="23"/>
      <c r="H1921" s="24"/>
      <c r="Q1921" s="2"/>
      <c r="R1921" s="2"/>
    </row>
    <row r="1922" spans="1:18" ht="15.75" customHeight="1" x14ac:dyDescent="0.3">
      <c r="A1922" s="11"/>
      <c r="B1922" s="11"/>
      <c r="D1922" s="21"/>
      <c r="E1922" s="22"/>
      <c r="G1922" s="23"/>
      <c r="H1922" s="24"/>
      <c r="Q1922" s="2"/>
      <c r="R1922" s="2"/>
    </row>
    <row r="1923" spans="1:18" ht="15.75" customHeight="1" x14ac:dyDescent="0.3">
      <c r="A1923" s="11"/>
      <c r="B1923" s="11"/>
      <c r="D1923" s="21"/>
      <c r="E1923" s="22"/>
      <c r="G1923" s="23"/>
      <c r="H1923" s="24"/>
      <c r="Q1923" s="2"/>
      <c r="R1923" s="2"/>
    </row>
    <row r="1924" spans="1:18" ht="15.75" customHeight="1" x14ac:dyDescent="0.3">
      <c r="A1924" s="11"/>
      <c r="B1924" s="11"/>
      <c r="D1924" s="21"/>
      <c r="E1924" s="22"/>
      <c r="G1924" s="23"/>
      <c r="H1924" s="24"/>
      <c r="Q1924" s="2"/>
      <c r="R1924" s="2"/>
    </row>
    <row r="1925" spans="1:18" ht="15.75" customHeight="1" x14ac:dyDescent="0.3">
      <c r="A1925" s="11"/>
      <c r="B1925" s="11"/>
      <c r="D1925" s="21"/>
      <c r="E1925" s="22"/>
      <c r="G1925" s="23"/>
      <c r="H1925" s="24"/>
      <c r="Q1925" s="2"/>
      <c r="R1925" s="2"/>
    </row>
    <row r="1926" spans="1:18" ht="15.75" customHeight="1" x14ac:dyDescent="0.3">
      <c r="A1926" s="11"/>
      <c r="B1926" s="11"/>
      <c r="D1926" s="21"/>
      <c r="E1926" s="22"/>
      <c r="G1926" s="23"/>
      <c r="H1926" s="24"/>
      <c r="Q1926" s="2"/>
      <c r="R1926" s="2"/>
    </row>
    <row r="1927" spans="1:18" ht="15.75" customHeight="1" x14ac:dyDescent="0.3">
      <c r="A1927" s="11"/>
      <c r="B1927" s="11"/>
      <c r="D1927" s="21"/>
      <c r="E1927" s="22"/>
      <c r="G1927" s="23"/>
      <c r="H1927" s="24"/>
      <c r="Q1927" s="2"/>
      <c r="R1927" s="2"/>
    </row>
    <row r="1928" spans="1:18" ht="15.75" customHeight="1" x14ac:dyDescent="0.3">
      <c r="A1928" s="11"/>
      <c r="B1928" s="11"/>
      <c r="D1928" s="21"/>
      <c r="E1928" s="22"/>
      <c r="G1928" s="23"/>
      <c r="H1928" s="24"/>
      <c r="Q1928" s="2"/>
      <c r="R1928" s="2"/>
    </row>
    <row r="1929" spans="1:18" ht="15.75" customHeight="1" x14ac:dyDescent="0.3">
      <c r="A1929" s="11"/>
      <c r="B1929" s="11"/>
      <c r="D1929" s="21"/>
      <c r="E1929" s="22"/>
      <c r="G1929" s="23"/>
      <c r="H1929" s="24"/>
      <c r="Q1929" s="2"/>
      <c r="R1929" s="2"/>
    </row>
    <row r="1930" spans="1:18" ht="15.75" customHeight="1" x14ac:dyDescent="0.3">
      <c r="A1930" s="11"/>
      <c r="B1930" s="11"/>
      <c r="D1930" s="21"/>
      <c r="E1930" s="22"/>
      <c r="G1930" s="23"/>
      <c r="H1930" s="24"/>
      <c r="Q1930" s="2"/>
      <c r="R1930" s="2"/>
    </row>
    <row r="1931" spans="1:18" ht="15.75" customHeight="1" x14ac:dyDescent="0.3">
      <c r="A1931" s="11"/>
      <c r="B1931" s="11"/>
      <c r="D1931" s="21"/>
      <c r="E1931" s="22"/>
      <c r="G1931" s="23"/>
      <c r="H1931" s="24"/>
      <c r="Q1931" s="2"/>
      <c r="R1931" s="2"/>
    </row>
    <row r="1932" spans="1:18" ht="15.75" customHeight="1" x14ac:dyDescent="0.3">
      <c r="A1932" s="11"/>
      <c r="B1932" s="11"/>
      <c r="D1932" s="21"/>
      <c r="E1932" s="22"/>
      <c r="G1932" s="23"/>
      <c r="H1932" s="24"/>
      <c r="Q1932" s="2"/>
      <c r="R1932" s="2"/>
    </row>
    <row r="1933" spans="1:18" ht="15.75" customHeight="1" x14ac:dyDescent="0.3">
      <c r="A1933" s="11"/>
      <c r="B1933" s="11"/>
      <c r="D1933" s="21"/>
      <c r="E1933" s="22"/>
      <c r="G1933" s="23"/>
      <c r="H1933" s="24"/>
      <c r="Q1933" s="2"/>
      <c r="R1933" s="2"/>
    </row>
    <row r="1934" spans="1:18" ht="15.75" customHeight="1" x14ac:dyDescent="0.3">
      <c r="A1934" s="11"/>
      <c r="B1934" s="11"/>
      <c r="D1934" s="21"/>
      <c r="E1934" s="22"/>
      <c r="G1934" s="23"/>
      <c r="H1934" s="24"/>
      <c r="Q1934" s="2"/>
      <c r="R1934" s="2"/>
    </row>
    <row r="1935" spans="1:18" ht="15.75" customHeight="1" x14ac:dyDescent="0.3">
      <c r="A1935" s="11"/>
      <c r="B1935" s="11"/>
      <c r="D1935" s="21"/>
      <c r="E1935" s="22"/>
      <c r="G1935" s="23"/>
      <c r="H1935" s="24"/>
      <c r="Q1935" s="2"/>
      <c r="R1935" s="2"/>
    </row>
    <row r="1936" spans="1:18" ht="15.75" customHeight="1" x14ac:dyDescent="0.3">
      <c r="A1936" s="11"/>
      <c r="B1936" s="11"/>
      <c r="D1936" s="21"/>
      <c r="E1936" s="22"/>
      <c r="G1936" s="23"/>
      <c r="H1936" s="24"/>
      <c r="Q1936" s="2"/>
      <c r="R1936" s="2"/>
    </row>
    <row r="1937" spans="1:18" ht="15.75" customHeight="1" x14ac:dyDescent="0.3">
      <c r="A1937" s="11"/>
      <c r="B1937" s="11"/>
      <c r="D1937" s="21"/>
      <c r="E1937" s="22"/>
      <c r="G1937" s="23"/>
      <c r="H1937" s="24"/>
      <c r="Q1937" s="2"/>
      <c r="R1937" s="2"/>
    </row>
    <row r="1938" spans="1:18" ht="15.75" customHeight="1" x14ac:dyDescent="0.3">
      <c r="A1938" s="11"/>
      <c r="B1938" s="11"/>
      <c r="D1938" s="21"/>
      <c r="E1938" s="22"/>
      <c r="G1938" s="23"/>
      <c r="H1938" s="24"/>
      <c r="Q1938" s="2"/>
      <c r="R1938" s="2"/>
    </row>
    <row r="1939" spans="1:18" ht="15.75" customHeight="1" x14ac:dyDescent="0.3">
      <c r="A1939" s="11"/>
      <c r="B1939" s="11"/>
      <c r="D1939" s="21"/>
      <c r="E1939" s="22"/>
      <c r="G1939" s="23"/>
      <c r="H1939" s="24"/>
      <c r="Q1939" s="2"/>
      <c r="R1939" s="2"/>
    </row>
    <row r="1940" spans="1:18" ht="15.75" customHeight="1" x14ac:dyDescent="0.3">
      <c r="A1940" s="11"/>
      <c r="B1940" s="11"/>
      <c r="D1940" s="21"/>
      <c r="E1940" s="22"/>
      <c r="G1940" s="23"/>
      <c r="H1940" s="24"/>
      <c r="Q1940" s="2"/>
      <c r="R1940" s="2"/>
    </row>
    <row r="1941" spans="1:18" ht="15.75" customHeight="1" x14ac:dyDescent="0.3">
      <c r="A1941" s="11"/>
      <c r="B1941" s="11"/>
      <c r="D1941" s="21"/>
      <c r="E1941" s="22"/>
      <c r="G1941" s="23"/>
      <c r="H1941" s="24"/>
      <c r="Q1941" s="2"/>
      <c r="R1941" s="2"/>
    </row>
    <row r="1942" spans="1:18" ht="15.75" customHeight="1" x14ac:dyDescent="0.3">
      <c r="A1942" s="11"/>
      <c r="B1942" s="11"/>
      <c r="D1942" s="21"/>
      <c r="E1942" s="22"/>
      <c r="G1942" s="23"/>
      <c r="H1942" s="24"/>
      <c r="Q1942" s="2"/>
      <c r="R1942" s="2"/>
    </row>
    <row r="1943" spans="1:18" ht="15.75" customHeight="1" x14ac:dyDescent="0.3">
      <c r="A1943" s="11"/>
      <c r="B1943" s="11"/>
      <c r="D1943" s="21"/>
      <c r="E1943" s="22"/>
      <c r="G1943" s="23"/>
      <c r="H1943" s="24"/>
      <c r="Q1943" s="2"/>
      <c r="R1943" s="2"/>
    </row>
    <row r="1944" spans="1:18" ht="15.75" customHeight="1" x14ac:dyDescent="0.3">
      <c r="A1944" s="11"/>
      <c r="B1944" s="11"/>
      <c r="D1944" s="21"/>
      <c r="E1944" s="22"/>
      <c r="G1944" s="23"/>
      <c r="H1944" s="24"/>
      <c r="Q1944" s="2"/>
      <c r="R1944" s="2"/>
    </row>
    <row r="1945" spans="1:18" ht="15.75" customHeight="1" x14ac:dyDescent="0.3">
      <c r="A1945" s="11"/>
      <c r="B1945" s="11"/>
      <c r="D1945" s="21"/>
      <c r="E1945" s="22"/>
      <c r="G1945" s="23"/>
      <c r="H1945" s="24"/>
      <c r="Q1945" s="2"/>
      <c r="R1945" s="2"/>
    </row>
    <row r="1946" spans="1:18" ht="15.75" customHeight="1" x14ac:dyDescent="0.3">
      <c r="A1946" s="11"/>
      <c r="B1946" s="11"/>
      <c r="D1946" s="21"/>
      <c r="E1946" s="22"/>
      <c r="G1946" s="23"/>
      <c r="H1946" s="24"/>
      <c r="Q1946" s="2"/>
      <c r="R1946" s="2"/>
    </row>
    <row r="1947" spans="1:18" ht="15.75" customHeight="1" x14ac:dyDescent="0.3">
      <c r="A1947" s="11"/>
      <c r="B1947" s="11"/>
      <c r="D1947" s="21"/>
      <c r="E1947" s="22"/>
      <c r="G1947" s="23"/>
      <c r="H1947" s="24"/>
      <c r="Q1947" s="2"/>
      <c r="R1947" s="2"/>
    </row>
    <row r="1948" spans="1:18" ht="15.75" customHeight="1" x14ac:dyDescent="0.3">
      <c r="A1948" s="11"/>
      <c r="B1948" s="11"/>
      <c r="D1948" s="21"/>
      <c r="E1948" s="22"/>
      <c r="G1948" s="23"/>
      <c r="H1948" s="24"/>
      <c r="Q1948" s="2"/>
      <c r="R1948" s="2"/>
    </row>
    <row r="1949" spans="1:18" ht="15.75" customHeight="1" x14ac:dyDescent="0.3">
      <c r="A1949" s="11"/>
      <c r="B1949" s="11"/>
      <c r="D1949" s="21"/>
      <c r="E1949" s="22"/>
      <c r="G1949" s="23"/>
      <c r="H1949" s="24"/>
      <c r="Q1949" s="2"/>
      <c r="R1949" s="2"/>
    </row>
    <row r="1950" spans="1:18" ht="15.75" customHeight="1" x14ac:dyDescent="0.3">
      <c r="A1950" s="11"/>
      <c r="B1950" s="11"/>
      <c r="D1950" s="21"/>
      <c r="E1950" s="22"/>
      <c r="G1950" s="23"/>
      <c r="H1950" s="24"/>
      <c r="Q1950" s="2"/>
      <c r="R1950" s="2"/>
    </row>
    <row r="1951" spans="1:18" ht="15.75" customHeight="1" x14ac:dyDescent="0.3">
      <c r="A1951" s="11"/>
      <c r="B1951" s="11"/>
      <c r="D1951" s="21"/>
      <c r="E1951" s="22"/>
      <c r="G1951" s="23"/>
      <c r="H1951" s="24"/>
      <c r="Q1951" s="2"/>
      <c r="R1951" s="2"/>
    </row>
    <row r="1952" spans="1:18" ht="15.75" customHeight="1" x14ac:dyDescent="0.3">
      <c r="A1952" s="11"/>
      <c r="B1952" s="11"/>
      <c r="D1952" s="21"/>
      <c r="E1952" s="22"/>
      <c r="G1952" s="23"/>
      <c r="H1952" s="24"/>
      <c r="Q1952" s="2"/>
      <c r="R1952" s="2"/>
    </row>
    <row r="1953" spans="1:18" ht="15.75" customHeight="1" x14ac:dyDescent="0.3">
      <c r="A1953" s="11"/>
      <c r="B1953" s="11"/>
      <c r="D1953" s="21"/>
      <c r="E1953" s="22"/>
      <c r="G1953" s="23"/>
      <c r="H1953" s="24"/>
      <c r="Q1953" s="2"/>
      <c r="R1953" s="2"/>
    </row>
    <row r="1954" spans="1:18" ht="15.75" customHeight="1" x14ac:dyDescent="0.3">
      <c r="A1954" s="11"/>
      <c r="B1954" s="11"/>
      <c r="D1954" s="21"/>
      <c r="E1954" s="22"/>
      <c r="G1954" s="23"/>
      <c r="H1954" s="24"/>
      <c r="Q1954" s="2"/>
      <c r="R1954" s="2"/>
    </row>
    <row r="1955" spans="1:18" ht="15.75" customHeight="1" x14ac:dyDescent="0.3">
      <c r="A1955" s="11"/>
      <c r="B1955" s="11"/>
      <c r="D1955" s="21"/>
      <c r="E1955" s="22"/>
      <c r="G1955" s="23"/>
      <c r="H1955" s="24"/>
      <c r="Q1955" s="2"/>
      <c r="R1955" s="2"/>
    </row>
    <row r="1956" spans="1:18" ht="15.75" customHeight="1" x14ac:dyDescent="0.3">
      <c r="A1956" s="11"/>
      <c r="B1956" s="11"/>
      <c r="D1956" s="21"/>
      <c r="E1956" s="22"/>
      <c r="G1956" s="23"/>
      <c r="H1956" s="24"/>
      <c r="Q1956" s="2"/>
      <c r="R1956" s="2"/>
    </row>
    <row r="1957" spans="1:18" ht="15.75" customHeight="1" x14ac:dyDescent="0.3">
      <c r="A1957" s="11"/>
      <c r="B1957" s="11"/>
      <c r="D1957" s="21"/>
      <c r="E1957" s="22"/>
      <c r="G1957" s="23"/>
      <c r="H1957" s="24"/>
      <c r="Q1957" s="2"/>
      <c r="R1957" s="2"/>
    </row>
    <row r="1958" spans="1:18" ht="15.75" customHeight="1" x14ac:dyDescent="0.3">
      <c r="A1958" s="11"/>
      <c r="B1958" s="11"/>
      <c r="D1958" s="21"/>
      <c r="E1958" s="22"/>
      <c r="G1958" s="23"/>
      <c r="H1958" s="24"/>
      <c r="Q1958" s="2"/>
      <c r="R1958" s="2"/>
    </row>
    <row r="1959" spans="1:18" ht="15.75" customHeight="1" x14ac:dyDescent="0.3">
      <c r="A1959" s="11"/>
      <c r="B1959" s="11"/>
      <c r="D1959" s="21"/>
      <c r="E1959" s="22"/>
      <c r="G1959" s="23"/>
      <c r="H1959" s="24"/>
      <c r="Q1959" s="2"/>
      <c r="R1959" s="2"/>
    </row>
    <row r="1960" spans="1:18" ht="15.75" customHeight="1" x14ac:dyDescent="0.3">
      <c r="A1960" s="11"/>
      <c r="B1960" s="11"/>
      <c r="D1960" s="21"/>
      <c r="E1960" s="22"/>
      <c r="G1960" s="23"/>
      <c r="H1960" s="24"/>
      <c r="Q1960" s="2"/>
      <c r="R1960" s="2"/>
    </row>
    <row r="1961" spans="1:18" ht="15.75" customHeight="1" x14ac:dyDescent="0.3">
      <c r="A1961" s="11"/>
      <c r="B1961" s="11"/>
      <c r="D1961" s="21"/>
      <c r="E1961" s="22"/>
      <c r="G1961" s="23"/>
      <c r="H1961" s="24"/>
      <c r="Q1961" s="2"/>
      <c r="R1961" s="2"/>
    </row>
    <row r="1962" spans="1:18" ht="15.75" customHeight="1" x14ac:dyDescent="0.3">
      <c r="A1962" s="11"/>
      <c r="B1962" s="11"/>
      <c r="D1962" s="21"/>
      <c r="E1962" s="22"/>
      <c r="G1962" s="23"/>
      <c r="H1962" s="24"/>
      <c r="Q1962" s="2"/>
      <c r="R1962" s="2"/>
    </row>
    <row r="1963" spans="1:18" ht="15.75" customHeight="1" x14ac:dyDescent="0.3">
      <c r="A1963" s="11"/>
      <c r="B1963" s="11"/>
      <c r="D1963" s="21"/>
      <c r="E1963" s="22"/>
      <c r="G1963" s="23"/>
      <c r="H1963" s="24"/>
      <c r="Q1963" s="2"/>
      <c r="R1963" s="2"/>
    </row>
    <row r="1964" spans="1:18" ht="15.75" customHeight="1" x14ac:dyDescent="0.3">
      <c r="A1964" s="11"/>
      <c r="B1964" s="11"/>
      <c r="D1964" s="21"/>
      <c r="E1964" s="22"/>
      <c r="G1964" s="23"/>
      <c r="H1964" s="24"/>
      <c r="Q1964" s="2"/>
      <c r="R1964" s="2"/>
    </row>
    <row r="1965" spans="1:18" ht="15.75" customHeight="1" x14ac:dyDescent="0.3">
      <c r="A1965" s="11"/>
      <c r="B1965" s="11"/>
      <c r="D1965" s="21"/>
      <c r="E1965" s="22"/>
      <c r="G1965" s="23"/>
      <c r="H1965" s="24"/>
      <c r="Q1965" s="2"/>
      <c r="R1965" s="2"/>
    </row>
    <row r="1966" spans="1:18" ht="15.75" customHeight="1" x14ac:dyDescent="0.3">
      <c r="A1966" s="11"/>
      <c r="B1966" s="11"/>
      <c r="D1966" s="21"/>
      <c r="E1966" s="22"/>
      <c r="G1966" s="23"/>
      <c r="H1966" s="24"/>
      <c r="Q1966" s="2"/>
      <c r="R1966" s="2"/>
    </row>
    <row r="1967" spans="1:18" ht="15.75" customHeight="1" x14ac:dyDescent="0.3">
      <c r="A1967" s="11"/>
      <c r="B1967" s="11"/>
      <c r="D1967" s="21"/>
      <c r="E1967" s="22"/>
      <c r="G1967" s="23"/>
      <c r="H1967" s="24"/>
      <c r="Q1967" s="2"/>
      <c r="R1967" s="2"/>
    </row>
    <row r="1968" spans="1:18" ht="15.75" customHeight="1" x14ac:dyDescent="0.3">
      <c r="A1968" s="11"/>
      <c r="B1968" s="11"/>
      <c r="D1968" s="21"/>
      <c r="E1968" s="22"/>
      <c r="G1968" s="23"/>
      <c r="H1968" s="24"/>
      <c r="Q1968" s="2"/>
      <c r="R1968" s="2"/>
    </row>
    <row r="1969" spans="1:18" ht="15.75" customHeight="1" x14ac:dyDescent="0.3">
      <c r="A1969" s="11"/>
      <c r="B1969" s="11"/>
      <c r="D1969" s="21"/>
      <c r="E1969" s="22"/>
      <c r="G1969" s="23"/>
      <c r="H1969" s="24"/>
      <c r="Q1969" s="2"/>
      <c r="R1969" s="2"/>
    </row>
    <row r="1970" spans="1:18" ht="15.75" customHeight="1" x14ac:dyDescent="0.3">
      <c r="A1970" s="11"/>
      <c r="B1970" s="11"/>
      <c r="D1970" s="21"/>
      <c r="E1970" s="22"/>
      <c r="G1970" s="23"/>
      <c r="H1970" s="24"/>
      <c r="Q1970" s="2"/>
      <c r="R1970" s="2"/>
    </row>
    <row r="1971" spans="1:18" ht="15.75" customHeight="1" x14ac:dyDescent="0.3">
      <c r="A1971" s="11"/>
      <c r="B1971" s="11"/>
      <c r="D1971" s="21"/>
      <c r="E1971" s="22"/>
      <c r="G1971" s="23"/>
      <c r="H1971" s="24"/>
      <c r="Q1971" s="2"/>
      <c r="R1971" s="2"/>
    </row>
    <row r="1972" spans="1:18" ht="15.75" customHeight="1" x14ac:dyDescent="0.3">
      <c r="A1972" s="11"/>
      <c r="B1972" s="11"/>
      <c r="D1972" s="21"/>
      <c r="E1972" s="22"/>
      <c r="G1972" s="23"/>
      <c r="H1972" s="24"/>
      <c r="Q1972" s="2"/>
      <c r="R1972" s="2"/>
    </row>
    <row r="1973" spans="1:18" ht="15.75" customHeight="1" x14ac:dyDescent="0.3">
      <c r="A1973" s="11"/>
      <c r="B1973" s="11"/>
      <c r="D1973" s="21"/>
      <c r="E1973" s="22"/>
      <c r="G1973" s="23"/>
      <c r="H1973" s="24"/>
      <c r="Q1973" s="2"/>
      <c r="R1973" s="2"/>
    </row>
    <row r="1974" spans="1:18" ht="15.75" customHeight="1" x14ac:dyDescent="0.3">
      <c r="A1974" s="11"/>
      <c r="B1974" s="11"/>
      <c r="D1974" s="21"/>
      <c r="E1974" s="22"/>
      <c r="G1974" s="23"/>
      <c r="H1974" s="24"/>
      <c r="Q1974" s="2"/>
      <c r="R1974" s="2"/>
    </row>
    <row r="1975" spans="1:18" ht="15.75" customHeight="1" x14ac:dyDescent="0.3">
      <c r="A1975" s="11"/>
      <c r="B1975" s="11"/>
      <c r="D1975" s="21"/>
      <c r="E1975" s="22"/>
      <c r="G1975" s="23"/>
      <c r="H1975" s="24"/>
      <c r="Q1975" s="2"/>
      <c r="R1975" s="2"/>
    </row>
    <row r="1976" spans="1:18" ht="15.75" customHeight="1" x14ac:dyDescent="0.3">
      <c r="A1976" s="11"/>
      <c r="B1976" s="11"/>
      <c r="D1976" s="21"/>
      <c r="E1976" s="22"/>
      <c r="G1976" s="23"/>
      <c r="H1976" s="24"/>
      <c r="Q1976" s="2"/>
      <c r="R1976" s="2"/>
    </row>
    <row r="1977" spans="1:18" ht="15.75" customHeight="1" x14ac:dyDescent="0.3">
      <c r="A1977" s="11"/>
      <c r="B1977" s="11"/>
      <c r="D1977" s="21"/>
      <c r="E1977" s="22"/>
      <c r="G1977" s="23"/>
      <c r="H1977" s="24"/>
      <c r="Q1977" s="2"/>
      <c r="R1977" s="2"/>
    </row>
    <row r="1978" spans="1:18" ht="15.75" customHeight="1" x14ac:dyDescent="0.3">
      <c r="A1978" s="11"/>
      <c r="B1978" s="11"/>
      <c r="D1978" s="21"/>
      <c r="E1978" s="22"/>
      <c r="G1978" s="23"/>
      <c r="H1978" s="24"/>
      <c r="Q1978" s="2"/>
      <c r="R1978" s="2"/>
    </row>
    <row r="1979" spans="1:18" ht="15.75" customHeight="1" x14ac:dyDescent="0.3">
      <c r="A1979" s="11"/>
      <c r="B1979" s="11"/>
      <c r="D1979" s="21"/>
      <c r="E1979" s="22"/>
      <c r="G1979" s="23"/>
      <c r="H1979" s="24"/>
      <c r="Q1979" s="2"/>
      <c r="R1979" s="2"/>
    </row>
    <row r="1980" spans="1:18" ht="15.75" customHeight="1" x14ac:dyDescent="0.3">
      <c r="A1980" s="11"/>
      <c r="B1980" s="11"/>
      <c r="D1980" s="21"/>
      <c r="E1980" s="22"/>
      <c r="G1980" s="23"/>
      <c r="H1980" s="24"/>
      <c r="Q1980" s="2"/>
      <c r="R1980" s="2"/>
    </row>
    <row r="1981" spans="1:18" ht="15.75" customHeight="1" x14ac:dyDescent="0.3">
      <c r="A1981" s="11"/>
      <c r="B1981" s="11"/>
      <c r="D1981" s="21"/>
      <c r="E1981" s="22"/>
      <c r="G1981" s="23"/>
      <c r="H1981" s="24"/>
      <c r="Q1981" s="2"/>
      <c r="R1981" s="2"/>
    </row>
    <row r="1982" spans="1:18" ht="15.75" customHeight="1" x14ac:dyDescent="0.3">
      <c r="A1982" s="11"/>
      <c r="B1982" s="11"/>
      <c r="D1982" s="21"/>
      <c r="E1982" s="22"/>
      <c r="G1982" s="23"/>
      <c r="H1982" s="24"/>
      <c r="Q1982" s="2"/>
      <c r="R1982" s="2"/>
    </row>
    <row r="1983" spans="1:18" ht="15.75" customHeight="1" x14ac:dyDescent="0.3">
      <c r="A1983" s="11"/>
      <c r="B1983" s="11"/>
      <c r="D1983" s="21"/>
      <c r="E1983" s="22"/>
      <c r="G1983" s="23"/>
      <c r="H1983" s="24"/>
      <c r="Q1983" s="2"/>
      <c r="R1983" s="2"/>
    </row>
    <row r="1984" spans="1:18" ht="15.75" customHeight="1" x14ac:dyDescent="0.3">
      <c r="A1984" s="11"/>
      <c r="B1984" s="11"/>
      <c r="D1984" s="21"/>
      <c r="E1984" s="22"/>
      <c r="G1984" s="23"/>
      <c r="H1984" s="24"/>
      <c r="Q1984" s="2"/>
      <c r="R1984" s="2"/>
    </row>
    <row r="1985" spans="1:18" ht="15.75" customHeight="1" x14ac:dyDescent="0.3">
      <c r="A1985" s="11"/>
      <c r="B1985" s="11"/>
      <c r="D1985" s="21"/>
      <c r="E1985" s="22"/>
      <c r="G1985" s="23"/>
      <c r="H1985" s="24"/>
      <c r="Q1985" s="2"/>
      <c r="R1985" s="2"/>
    </row>
    <row r="1986" spans="1:18" ht="15.75" customHeight="1" x14ac:dyDescent="0.3">
      <c r="A1986" s="11"/>
      <c r="B1986" s="11"/>
      <c r="D1986" s="21"/>
      <c r="E1986" s="22"/>
      <c r="G1986" s="23"/>
      <c r="H1986" s="24"/>
      <c r="Q1986" s="2"/>
      <c r="R1986" s="2"/>
    </row>
    <row r="1987" spans="1:18" ht="15.75" customHeight="1" x14ac:dyDescent="0.3">
      <c r="A1987" s="11"/>
      <c r="B1987" s="11"/>
      <c r="D1987" s="21"/>
      <c r="E1987" s="22"/>
      <c r="G1987" s="23"/>
      <c r="H1987" s="24"/>
      <c r="Q1987" s="2"/>
      <c r="R1987" s="2"/>
    </row>
    <row r="1988" spans="1:18" ht="15.75" customHeight="1" x14ac:dyDescent="0.3">
      <c r="A1988" s="11"/>
      <c r="B1988" s="11"/>
      <c r="D1988" s="21"/>
      <c r="E1988" s="22"/>
      <c r="G1988" s="23"/>
      <c r="H1988" s="24"/>
      <c r="Q1988" s="2"/>
      <c r="R1988" s="2"/>
    </row>
    <row r="1989" spans="1:18" ht="15.75" customHeight="1" x14ac:dyDescent="0.3">
      <c r="A1989" s="11"/>
      <c r="B1989" s="11"/>
      <c r="D1989" s="21"/>
      <c r="E1989" s="22"/>
      <c r="G1989" s="23"/>
      <c r="H1989" s="24"/>
      <c r="Q1989" s="2"/>
      <c r="R1989" s="2"/>
    </row>
    <row r="1990" spans="1:18" ht="15.75" customHeight="1" x14ac:dyDescent="0.3">
      <c r="A1990" s="11"/>
      <c r="B1990" s="11"/>
      <c r="D1990" s="21"/>
      <c r="E1990" s="22"/>
      <c r="G1990" s="23"/>
      <c r="H1990" s="24"/>
      <c r="Q1990" s="2"/>
      <c r="R1990" s="2"/>
    </row>
    <row r="1991" spans="1:18" ht="15.75" customHeight="1" x14ac:dyDescent="0.3">
      <c r="A1991" s="11"/>
      <c r="B1991" s="11"/>
      <c r="D1991" s="21"/>
      <c r="E1991" s="22"/>
      <c r="G1991" s="23"/>
      <c r="H1991" s="24"/>
      <c r="Q1991" s="2"/>
      <c r="R1991" s="2"/>
    </row>
    <row r="1992" spans="1:18" ht="15.75" customHeight="1" x14ac:dyDescent="0.3">
      <c r="A1992" s="11"/>
      <c r="B1992" s="11"/>
      <c r="D1992" s="21"/>
      <c r="E1992" s="22"/>
      <c r="G1992" s="23"/>
      <c r="H1992" s="24"/>
      <c r="Q1992" s="2"/>
      <c r="R1992" s="2"/>
    </row>
    <row r="1993" spans="1:18" ht="15.75" customHeight="1" x14ac:dyDescent="0.3">
      <c r="A1993" s="11"/>
      <c r="B1993" s="11"/>
      <c r="D1993" s="21"/>
      <c r="E1993" s="22"/>
      <c r="G1993" s="23"/>
      <c r="H1993" s="24"/>
      <c r="Q1993" s="2"/>
      <c r="R1993" s="2"/>
    </row>
    <row r="1994" spans="1:18" ht="15.75" customHeight="1" x14ac:dyDescent="0.3">
      <c r="A1994" s="11"/>
      <c r="B1994" s="11"/>
      <c r="D1994" s="21"/>
      <c r="E1994" s="22"/>
      <c r="G1994" s="23"/>
      <c r="H1994" s="24"/>
      <c r="Q1994" s="2"/>
      <c r="R1994" s="2"/>
    </row>
    <row r="1995" spans="1:18" ht="15.75" customHeight="1" x14ac:dyDescent="0.3">
      <c r="A1995" s="11"/>
      <c r="B1995" s="11"/>
      <c r="D1995" s="21"/>
      <c r="E1995" s="22"/>
      <c r="G1995" s="23"/>
      <c r="H1995" s="24"/>
      <c r="Q1995" s="2"/>
      <c r="R1995" s="2"/>
    </row>
    <row r="1996" spans="1:18" ht="15.75" customHeight="1" x14ac:dyDescent="0.3">
      <c r="A1996" s="11"/>
      <c r="B1996" s="11"/>
      <c r="D1996" s="21"/>
      <c r="E1996" s="22"/>
      <c r="G1996" s="23"/>
      <c r="H1996" s="24"/>
      <c r="Q1996" s="2"/>
      <c r="R1996" s="2"/>
    </row>
    <row r="1997" spans="1:18" ht="15.75" customHeight="1" x14ac:dyDescent="0.3">
      <c r="A1997" s="11"/>
      <c r="B1997" s="11"/>
      <c r="D1997" s="21"/>
      <c r="E1997" s="22"/>
      <c r="G1997" s="23"/>
      <c r="H1997" s="24"/>
      <c r="Q1997" s="2"/>
      <c r="R1997" s="2"/>
    </row>
    <row r="1998" spans="1:18" ht="15.75" customHeight="1" x14ac:dyDescent="0.3">
      <c r="A1998" s="11"/>
      <c r="B1998" s="11"/>
      <c r="D1998" s="21"/>
      <c r="E1998" s="22"/>
      <c r="G1998" s="23"/>
      <c r="H1998" s="24"/>
      <c r="Q1998" s="2"/>
      <c r="R1998" s="2"/>
    </row>
    <row r="1999" spans="1:18" ht="15.75" customHeight="1" x14ac:dyDescent="0.3">
      <c r="A1999" s="11"/>
      <c r="B1999" s="11"/>
      <c r="D1999" s="21"/>
      <c r="E1999" s="22"/>
      <c r="G1999" s="23"/>
      <c r="H1999" s="24"/>
      <c r="Q1999" s="2"/>
      <c r="R1999" s="2"/>
    </row>
    <row r="2000" spans="1:18" ht="15.75" customHeight="1" x14ac:dyDescent="0.3">
      <c r="A2000" s="11"/>
      <c r="B2000" s="11"/>
      <c r="D2000" s="21"/>
      <c r="E2000" s="22"/>
      <c r="G2000" s="23"/>
      <c r="H2000" s="24"/>
      <c r="Q2000" s="2"/>
      <c r="R2000" s="2"/>
    </row>
    <row r="2001" spans="1:18" ht="15.75" customHeight="1" x14ac:dyDescent="0.3">
      <c r="A2001" s="11"/>
      <c r="B2001" s="11"/>
      <c r="D2001" s="21"/>
      <c r="E2001" s="22"/>
      <c r="G2001" s="23"/>
      <c r="H2001" s="24"/>
      <c r="Q2001" s="2"/>
      <c r="R2001" s="2"/>
    </row>
    <row r="2002" spans="1:18" ht="15.75" customHeight="1" x14ac:dyDescent="0.3">
      <c r="A2002" s="11"/>
      <c r="B2002" s="11"/>
      <c r="D2002" s="21"/>
      <c r="E2002" s="22"/>
      <c r="G2002" s="23"/>
      <c r="H2002" s="24"/>
      <c r="Q2002" s="2"/>
      <c r="R2002" s="2"/>
    </row>
    <row r="2003" spans="1:18" ht="15.75" customHeight="1" x14ac:dyDescent="0.3">
      <c r="A2003" s="11"/>
      <c r="B2003" s="11"/>
      <c r="D2003" s="21"/>
      <c r="E2003" s="22"/>
      <c r="G2003" s="23"/>
      <c r="H2003" s="24"/>
      <c r="Q2003" s="2"/>
      <c r="R2003" s="2"/>
    </row>
    <row r="2004" spans="1:18" ht="15.75" customHeight="1" x14ac:dyDescent="0.3">
      <c r="A2004" s="11"/>
      <c r="B2004" s="11"/>
      <c r="D2004" s="21"/>
      <c r="E2004" s="22"/>
      <c r="G2004" s="23"/>
      <c r="H2004" s="24"/>
      <c r="Q2004" s="2"/>
      <c r="R2004" s="2"/>
    </row>
    <row r="2005" spans="1:18" ht="15.75" customHeight="1" x14ac:dyDescent="0.3">
      <c r="A2005" s="11"/>
      <c r="B2005" s="11"/>
      <c r="D2005" s="21"/>
      <c r="E2005" s="22"/>
      <c r="G2005" s="23"/>
      <c r="H2005" s="24"/>
      <c r="Q2005" s="2"/>
      <c r="R2005" s="2"/>
    </row>
    <row r="2006" spans="1:18" ht="15.75" customHeight="1" x14ac:dyDescent="0.3">
      <c r="A2006" s="11"/>
      <c r="B2006" s="11"/>
      <c r="D2006" s="21"/>
      <c r="E2006" s="22"/>
      <c r="G2006" s="23"/>
      <c r="H2006" s="24"/>
      <c r="Q2006" s="2"/>
      <c r="R2006" s="2"/>
    </row>
    <row r="2007" spans="1:18" ht="15.75" customHeight="1" x14ac:dyDescent="0.3">
      <c r="A2007" s="11"/>
      <c r="B2007" s="11"/>
      <c r="D2007" s="21"/>
      <c r="E2007" s="22"/>
      <c r="G2007" s="23"/>
      <c r="H2007" s="24"/>
      <c r="Q2007" s="2"/>
      <c r="R2007" s="2"/>
    </row>
    <row r="2008" spans="1:18" ht="15.75" customHeight="1" x14ac:dyDescent="0.3">
      <c r="A2008" s="11"/>
      <c r="B2008" s="11"/>
      <c r="D2008" s="21"/>
      <c r="E2008" s="22"/>
      <c r="G2008" s="23"/>
      <c r="H2008" s="24"/>
      <c r="Q2008" s="2"/>
      <c r="R2008" s="2"/>
    </row>
    <row r="2009" spans="1:18" ht="15.75" customHeight="1" x14ac:dyDescent="0.3">
      <c r="A2009" s="11"/>
      <c r="B2009" s="11"/>
      <c r="D2009" s="21"/>
      <c r="E2009" s="22"/>
      <c r="G2009" s="23"/>
      <c r="H2009" s="24"/>
      <c r="Q2009" s="2"/>
      <c r="R2009" s="2"/>
    </row>
    <row r="2010" spans="1:18" ht="15.75" customHeight="1" x14ac:dyDescent="0.3">
      <c r="A2010" s="11"/>
      <c r="B2010" s="11"/>
      <c r="D2010" s="21"/>
      <c r="E2010" s="22"/>
      <c r="G2010" s="23"/>
      <c r="H2010" s="24"/>
      <c r="Q2010" s="2"/>
      <c r="R2010" s="2"/>
    </row>
    <row r="2011" spans="1:18" ht="15.75" customHeight="1" x14ac:dyDescent="0.3">
      <c r="A2011" s="11"/>
      <c r="B2011" s="11"/>
      <c r="D2011" s="21"/>
      <c r="E2011" s="22"/>
      <c r="G2011" s="23"/>
      <c r="H2011" s="24"/>
      <c r="Q2011" s="2"/>
      <c r="R2011" s="2"/>
    </row>
    <row r="2012" spans="1:18" ht="15.75" customHeight="1" x14ac:dyDescent="0.3">
      <c r="A2012" s="11"/>
      <c r="B2012" s="11"/>
      <c r="D2012" s="21"/>
      <c r="E2012" s="22"/>
      <c r="G2012" s="23"/>
      <c r="H2012" s="24"/>
      <c r="Q2012" s="2"/>
      <c r="R2012" s="2"/>
    </row>
    <row r="2013" spans="1:18" ht="15.75" customHeight="1" x14ac:dyDescent="0.3">
      <c r="A2013" s="11"/>
      <c r="B2013" s="11"/>
      <c r="D2013" s="21"/>
      <c r="E2013" s="22"/>
      <c r="G2013" s="23"/>
      <c r="H2013" s="24"/>
      <c r="Q2013" s="2"/>
      <c r="R2013" s="2"/>
    </row>
    <row r="2014" spans="1:18" ht="15.75" customHeight="1" x14ac:dyDescent="0.3">
      <c r="A2014" s="11"/>
      <c r="B2014" s="11"/>
      <c r="D2014" s="21"/>
      <c r="E2014" s="22"/>
      <c r="G2014" s="23"/>
      <c r="H2014" s="24"/>
      <c r="Q2014" s="2"/>
      <c r="R2014" s="2"/>
    </row>
    <row r="2015" spans="1:18" ht="15.75" customHeight="1" x14ac:dyDescent="0.3">
      <c r="A2015" s="11"/>
      <c r="B2015" s="11"/>
      <c r="D2015" s="21"/>
      <c r="E2015" s="22"/>
      <c r="G2015" s="23"/>
      <c r="H2015" s="24"/>
      <c r="Q2015" s="2"/>
      <c r="R2015" s="2"/>
    </row>
    <row r="2016" spans="1:18" ht="15.75" customHeight="1" x14ac:dyDescent="0.3">
      <c r="A2016" s="11"/>
      <c r="B2016" s="11"/>
      <c r="D2016" s="21"/>
      <c r="E2016" s="22"/>
      <c r="G2016" s="23"/>
      <c r="H2016" s="24"/>
      <c r="Q2016" s="2"/>
      <c r="R2016" s="2"/>
    </row>
    <row r="2017" spans="1:18" ht="15.75" customHeight="1" x14ac:dyDescent="0.3">
      <c r="A2017" s="11"/>
      <c r="B2017" s="11"/>
      <c r="D2017" s="21"/>
      <c r="E2017" s="22"/>
      <c r="G2017" s="23"/>
      <c r="H2017" s="24"/>
      <c r="Q2017" s="2"/>
      <c r="R2017" s="2"/>
    </row>
    <row r="2018" spans="1:18" ht="15.75" customHeight="1" x14ac:dyDescent="0.3">
      <c r="A2018" s="11"/>
      <c r="B2018" s="11"/>
      <c r="D2018" s="21"/>
      <c r="E2018" s="22"/>
      <c r="G2018" s="23"/>
      <c r="H2018" s="24"/>
      <c r="Q2018" s="2"/>
      <c r="R2018" s="2"/>
    </row>
    <row r="2019" spans="1:18" ht="15.75" customHeight="1" x14ac:dyDescent="0.3">
      <c r="A2019" s="11"/>
      <c r="B2019" s="11"/>
      <c r="D2019" s="21"/>
      <c r="E2019" s="22"/>
      <c r="G2019" s="23"/>
      <c r="H2019" s="24"/>
      <c r="Q2019" s="2"/>
      <c r="R2019" s="2"/>
    </row>
    <row r="2020" spans="1:18" ht="15.75" customHeight="1" x14ac:dyDescent="0.3">
      <c r="A2020" s="11"/>
      <c r="B2020" s="11"/>
      <c r="D2020" s="21"/>
      <c r="E2020" s="22"/>
      <c r="G2020" s="23"/>
      <c r="H2020" s="24"/>
      <c r="Q2020" s="2"/>
      <c r="R2020" s="2"/>
    </row>
    <row r="2021" spans="1:18" ht="15.75" customHeight="1" x14ac:dyDescent="0.3">
      <c r="A2021" s="11"/>
      <c r="B2021" s="11"/>
      <c r="D2021" s="21"/>
      <c r="E2021" s="22"/>
      <c r="G2021" s="23"/>
      <c r="H2021" s="24"/>
      <c r="Q2021" s="2"/>
      <c r="R2021" s="2"/>
    </row>
    <row r="2022" spans="1:18" ht="15.75" customHeight="1" x14ac:dyDescent="0.3">
      <c r="A2022" s="11"/>
      <c r="B2022" s="11"/>
      <c r="D2022" s="21"/>
      <c r="E2022" s="22"/>
      <c r="G2022" s="23"/>
      <c r="H2022" s="24"/>
      <c r="Q2022" s="2"/>
      <c r="R2022" s="2"/>
    </row>
    <row r="2023" spans="1:18" ht="15.75" customHeight="1" x14ac:dyDescent="0.3">
      <c r="A2023" s="11"/>
      <c r="B2023" s="11"/>
      <c r="D2023" s="21"/>
      <c r="E2023" s="22"/>
      <c r="G2023" s="23"/>
      <c r="H2023" s="24"/>
      <c r="Q2023" s="2"/>
      <c r="R2023" s="2"/>
    </row>
    <row r="2024" spans="1:18" ht="15.75" customHeight="1" x14ac:dyDescent="0.3">
      <c r="A2024" s="11"/>
      <c r="B2024" s="11"/>
      <c r="D2024" s="21"/>
      <c r="E2024" s="22"/>
      <c r="G2024" s="23"/>
      <c r="H2024" s="24"/>
      <c r="Q2024" s="2"/>
      <c r="R2024" s="2"/>
    </row>
    <row r="2025" spans="1:18" ht="15.75" customHeight="1" x14ac:dyDescent="0.3">
      <c r="A2025" s="11"/>
      <c r="B2025" s="11"/>
      <c r="D2025" s="21"/>
      <c r="E2025" s="22"/>
      <c r="G2025" s="23"/>
      <c r="H2025" s="24"/>
      <c r="Q2025" s="2"/>
      <c r="R2025" s="2"/>
    </row>
    <row r="2026" spans="1:18" ht="15.75" customHeight="1" x14ac:dyDescent="0.3">
      <c r="A2026" s="11"/>
      <c r="B2026" s="11"/>
      <c r="D2026" s="21"/>
      <c r="E2026" s="22"/>
      <c r="G2026" s="23"/>
      <c r="H2026" s="24"/>
      <c r="Q2026" s="2"/>
      <c r="R2026" s="2"/>
    </row>
    <row r="2027" spans="1:18" ht="15.75" customHeight="1" x14ac:dyDescent="0.3">
      <c r="A2027" s="11"/>
      <c r="B2027" s="11"/>
      <c r="D2027" s="21"/>
      <c r="E2027" s="22"/>
      <c r="G2027" s="23"/>
      <c r="H2027" s="24"/>
      <c r="Q2027" s="2"/>
      <c r="R2027" s="2"/>
    </row>
    <row r="2028" spans="1:18" ht="15.75" customHeight="1" x14ac:dyDescent="0.3">
      <c r="A2028" s="11"/>
      <c r="B2028" s="11"/>
      <c r="D2028" s="21"/>
      <c r="E2028" s="22"/>
      <c r="G2028" s="23"/>
      <c r="H2028" s="24"/>
      <c r="Q2028" s="2"/>
      <c r="R2028" s="2"/>
    </row>
    <row r="2029" spans="1:18" ht="15.75" customHeight="1" x14ac:dyDescent="0.3">
      <c r="A2029" s="11"/>
      <c r="B2029" s="11"/>
      <c r="D2029" s="21"/>
      <c r="E2029" s="22"/>
      <c r="G2029" s="23"/>
      <c r="H2029" s="24"/>
      <c r="Q2029" s="2"/>
      <c r="R2029" s="2"/>
    </row>
    <row r="2030" spans="1:18" ht="15.75" customHeight="1" x14ac:dyDescent="0.3">
      <c r="A2030" s="11"/>
      <c r="B2030" s="11"/>
      <c r="D2030" s="21"/>
      <c r="E2030" s="22"/>
      <c r="G2030" s="23"/>
      <c r="H2030" s="24"/>
      <c r="Q2030" s="2"/>
      <c r="R2030" s="2"/>
    </row>
    <row r="2031" spans="1:18" ht="15.75" customHeight="1" x14ac:dyDescent="0.3">
      <c r="A2031" s="11"/>
      <c r="B2031" s="11"/>
      <c r="D2031" s="21"/>
      <c r="E2031" s="22"/>
      <c r="G2031" s="23"/>
      <c r="H2031" s="24"/>
      <c r="Q2031" s="2"/>
      <c r="R2031" s="2"/>
    </row>
    <row r="2032" spans="1:18" ht="15.75" customHeight="1" x14ac:dyDescent="0.3">
      <c r="A2032" s="11"/>
      <c r="B2032" s="11"/>
      <c r="D2032" s="21"/>
      <c r="E2032" s="22"/>
      <c r="G2032" s="23"/>
      <c r="H2032" s="24"/>
      <c r="Q2032" s="2"/>
      <c r="R2032" s="2"/>
    </row>
    <row r="2033" spans="1:18" ht="15.75" customHeight="1" x14ac:dyDescent="0.3">
      <c r="A2033" s="11"/>
      <c r="B2033" s="11"/>
      <c r="D2033" s="21"/>
      <c r="E2033" s="22"/>
      <c r="G2033" s="23"/>
      <c r="H2033" s="24"/>
      <c r="Q2033" s="2"/>
      <c r="R2033" s="2"/>
    </row>
    <row r="2034" spans="1:18" ht="15.75" customHeight="1" x14ac:dyDescent="0.3">
      <c r="A2034" s="11"/>
      <c r="B2034" s="11"/>
      <c r="D2034" s="21"/>
      <c r="E2034" s="22"/>
      <c r="G2034" s="23"/>
      <c r="H2034" s="24"/>
      <c r="Q2034" s="2"/>
      <c r="R2034" s="2"/>
    </row>
    <row r="2035" spans="1:18" ht="15.75" customHeight="1" x14ac:dyDescent="0.3">
      <c r="A2035" s="11"/>
      <c r="B2035" s="11"/>
      <c r="D2035" s="21"/>
      <c r="E2035" s="22"/>
      <c r="G2035" s="23"/>
      <c r="H2035" s="24"/>
      <c r="Q2035" s="2"/>
      <c r="R2035" s="2"/>
    </row>
    <row r="2036" spans="1:18" ht="15.75" customHeight="1" x14ac:dyDescent="0.3">
      <c r="A2036" s="11"/>
      <c r="B2036" s="11"/>
      <c r="D2036" s="21"/>
      <c r="E2036" s="22"/>
      <c r="G2036" s="23"/>
      <c r="H2036" s="24"/>
      <c r="Q2036" s="2"/>
      <c r="R2036" s="2"/>
    </row>
    <row r="2037" spans="1:18" ht="15.75" customHeight="1" x14ac:dyDescent="0.3">
      <c r="A2037" s="11"/>
      <c r="B2037" s="11"/>
      <c r="D2037" s="21"/>
      <c r="E2037" s="22"/>
      <c r="G2037" s="23"/>
      <c r="H2037" s="24"/>
      <c r="Q2037" s="2"/>
      <c r="R2037" s="2"/>
    </row>
    <row r="2038" spans="1:18" ht="15.75" customHeight="1" x14ac:dyDescent="0.3">
      <c r="A2038" s="11"/>
      <c r="B2038" s="11"/>
      <c r="D2038" s="21"/>
      <c r="E2038" s="22"/>
      <c r="G2038" s="23"/>
      <c r="H2038" s="24"/>
      <c r="Q2038" s="2"/>
      <c r="R2038" s="2"/>
    </row>
    <row r="2039" spans="1:18" ht="15.75" customHeight="1" x14ac:dyDescent="0.3">
      <c r="A2039" s="11"/>
      <c r="B2039" s="11"/>
      <c r="D2039" s="21"/>
      <c r="E2039" s="22"/>
      <c r="G2039" s="23"/>
      <c r="H2039" s="24"/>
      <c r="Q2039" s="2"/>
      <c r="R2039" s="2"/>
    </row>
    <row r="2040" spans="1:18" ht="15.75" customHeight="1" x14ac:dyDescent="0.3">
      <c r="A2040" s="11"/>
      <c r="B2040" s="11"/>
      <c r="D2040" s="21"/>
      <c r="E2040" s="22"/>
      <c r="G2040" s="23"/>
      <c r="H2040" s="24"/>
      <c r="Q2040" s="2"/>
      <c r="R2040" s="2"/>
    </row>
    <row r="2041" spans="1:18" ht="15.75" customHeight="1" x14ac:dyDescent="0.3">
      <c r="A2041" s="11"/>
      <c r="B2041" s="11"/>
      <c r="D2041" s="21"/>
      <c r="E2041" s="22"/>
      <c r="G2041" s="23"/>
      <c r="H2041" s="24"/>
      <c r="Q2041" s="2"/>
      <c r="R2041" s="2"/>
    </row>
    <row r="2042" spans="1:18" ht="15.75" customHeight="1" x14ac:dyDescent="0.3">
      <c r="A2042" s="11"/>
      <c r="B2042" s="11"/>
      <c r="D2042" s="21"/>
      <c r="E2042" s="22"/>
      <c r="G2042" s="23"/>
      <c r="H2042" s="24"/>
      <c r="Q2042" s="2"/>
      <c r="R2042" s="2"/>
    </row>
    <row r="2043" spans="1:18" ht="15.75" customHeight="1" x14ac:dyDescent="0.3">
      <c r="A2043" s="11"/>
      <c r="B2043" s="11"/>
      <c r="D2043" s="21"/>
      <c r="E2043" s="22"/>
      <c r="G2043" s="23"/>
      <c r="H2043" s="24"/>
      <c r="Q2043" s="2"/>
      <c r="R2043" s="2"/>
    </row>
    <row r="2044" spans="1:18" ht="15.75" customHeight="1" x14ac:dyDescent="0.3">
      <c r="A2044" s="11"/>
      <c r="B2044" s="11"/>
      <c r="D2044" s="21"/>
      <c r="E2044" s="22"/>
      <c r="G2044" s="23"/>
      <c r="H2044" s="24"/>
      <c r="Q2044" s="2"/>
      <c r="R2044" s="2"/>
    </row>
    <row r="2045" spans="1:18" ht="15.75" customHeight="1" x14ac:dyDescent="0.3">
      <c r="A2045" s="11"/>
      <c r="B2045" s="11"/>
      <c r="D2045" s="21"/>
      <c r="E2045" s="22"/>
      <c r="G2045" s="23"/>
      <c r="H2045" s="24"/>
      <c r="Q2045" s="2"/>
      <c r="R2045" s="2"/>
    </row>
    <row r="2046" spans="1:18" ht="15.75" customHeight="1" x14ac:dyDescent="0.3">
      <c r="A2046" s="11"/>
      <c r="B2046" s="11"/>
      <c r="D2046" s="21"/>
      <c r="E2046" s="22"/>
      <c r="G2046" s="23"/>
      <c r="H2046" s="24"/>
      <c r="Q2046" s="2"/>
      <c r="R2046" s="2"/>
    </row>
    <row r="2047" spans="1:18" ht="15.75" customHeight="1" x14ac:dyDescent="0.3">
      <c r="A2047" s="11"/>
      <c r="B2047" s="11"/>
      <c r="D2047" s="21"/>
      <c r="E2047" s="22"/>
      <c r="G2047" s="23"/>
      <c r="H2047" s="24"/>
      <c r="Q2047" s="2"/>
      <c r="R2047" s="2"/>
    </row>
    <row r="2048" spans="1:18" ht="15.75" customHeight="1" x14ac:dyDescent="0.3">
      <c r="A2048" s="11"/>
      <c r="B2048" s="11"/>
      <c r="D2048" s="21"/>
      <c r="E2048" s="22"/>
      <c r="G2048" s="23"/>
      <c r="H2048" s="24"/>
      <c r="Q2048" s="2"/>
      <c r="R2048" s="2"/>
    </row>
    <row r="2049" spans="1:18" ht="15.75" customHeight="1" x14ac:dyDescent="0.3">
      <c r="A2049" s="11"/>
      <c r="B2049" s="11"/>
      <c r="D2049" s="21"/>
      <c r="E2049" s="22"/>
      <c r="G2049" s="23"/>
      <c r="H2049" s="24"/>
      <c r="Q2049" s="2"/>
      <c r="R2049" s="2"/>
    </row>
    <row r="2050" spans="1:18" ht="15.75" customHeight="1" x14ac:dyDescent="0.3">
      <c r="A2050" s="11"/>
      <c r="B2050" s="11"/>
      <c r="D2050" s="21"/>
      <c r="E2050" s="22"/>
      <c r="G2050" s="23"/>
      <c r="H2050" s="24"/>
      <c r="Q2050" s="2"/>
      <c r="R2050" s="2"/>
    </row>
    <row r="2051" spans="1:18" ht="15.75" customHeight="1" x14ac:dyDescent="0.3">
      <c r="A2051" s="11"/>
      <c r="B2051" s="11"/>
      <c r="D2051" s="21"/>
      <c r="E2051" s="22"/>
      <c r="G2051" s="23"/>
      <c r="H2051" s="24"/>
      <c r="Q2051" s="2"/>
      <c r="R2051" s="2"/>
    </row>
    <row r="2052" spans="1:18" ht="15.75" customHeight="1" x14ac:dyDescent="0.3">
      <c r="A2052" s="11"/>
      <c r="B2052" s="11"/>
      <c r="D2052" s="21"/>
      <c r="E2052" s="22"/>
      <c r="G2052" s="23"/>
      <c r="H2052" s="24"/>
      <c r="Q2052" s="2"/>
      <c r="R2052" s="2"/>
    </row>
    <row r="2053" spans="1:18" ht="15.75" customHeight="1" x14ac:dyDescent="0.3">
      <c r="A2053" s="11"/>
      <c r="B2053" s="11"/>
      <c r="D2053" s="21"/>
      <c r="E2053" s="22"/>
      <c r="G2053" s="23"/>
      <c r="H2053" s="24"/>
      <c r="Q2053" s="2"/>
      <c r="R2053" s="2"/>
    </row>
    <row r="2054" spans="1:18" ht="15.75" customHeight="1" x14ac:dyDescent="0.3">
      <c r="A2054" s="11"/>
      <c r="B2054" s="11"/>
      <c r="D2054" s="21"/>
      <c r="E2054" s="22"/>
      <c r="G2054" s="23"/>
      <c r="H2054" s="24"/>
      <c r="Q2054" s="2"/>
      <c r="R2054" s="2"/>
    </row>
    <row r="2055" spans="1:18" ht="15.75" customHeight="1" x14ac:dyDescent="0.3">
      <c r="A2055" s="11"/>
      <c r="B2055" s="11"/>
      <c r="D2055" s="21"/>
      <c r="E2055" s="22"/>
      <c r="G2055" s="23"/>
      <c r="H2055" s="24"/>
      <c r="Q2055" s="2"/>
      <c r="R2055" s="2"/>
    </row>
    <row r="2056" spans="1:18" ht="15.75" customHeight="1" x14ac:dyDescent="0.3">
      <c r="A2056" s="11"/>
      <c r="B2056" s="11"/>
      <c r="D2056" s="21"/>
      <c r="E2056" s="22"/>
      <c r="G2056" s="23"/>
      <c r="H2056" s="24"/>
      <c r="Q2056" s="2"/>
      <c r="R2056" s="2"/>
    </row>
    <row r="2057" spans="1:18" ht="15.75" customHeight="1" x14ac:dyDescent="0.3">
      <c r="A2057" s="11"/>
      <c r="B2057" s="11"/>
      <c r="D2057" s="21"/>
      <c r="E2057" s="22"/>
      <c r="G2057" s="23"/>
      <c r="H2057" s="24"/>
      <c r="Q2057" s="2"/>
      <c r="R2057" s="2"/>
    </row>
    <row r="2058" spans="1:18" ht="15.75" customHeight="1" x14ac:dyDescent="0.3">
      <c r="A2058" s="11"/>
      <c r="B2058" s="11"/>
      <c r="D2058" s="21"/>
      <c r="E2058" s="22"/>
      <c r="G2058" s="23"/>
      <c r="H2058" s="24"/>
      <c r="Q2058" s="2"/>
      <c r="R2058" s="2"/>
    </row>
    <row r="2059" spans="1:18" ht="15.75" customHeight="1" x14ac:dyDescent="0.3">
      <c r="A2059" s="11"/>
      <c r="B2059" s="11"/>
      <c r="D2059" s="21"/>
      <c r="E2059" s="22"/>
      <c r="G2059" s="23"/>
      <c r="H2059" s="24"/>
      <c r="Q2059" s="2"/>
      <c r="R2059" s="2"/>
    </row>
    <row r="2060" spans="1:18" ht="15.75" customHeight="1" x14ac:dyDescent="0.3">
      <c r="A2060" s="11"/>
      <c r="B2060" s="11"/>
      <c r="D2060" s="21"/>
      <c r="E2060" s="22"/>
      <c r="G2060" s="23"/>
      <c r="H2060" s="24"/>
      <c r="Q2060" s="2"/>
      <c r="R2060" s="2"/>
    </row>
    <row r="2061" spans="1:18" ht="15.75" customHeight="1" x14ac:dyDescent="0.3">
      <c r="A2061" s="11"/>
      <c r="B2061" s="11"/>
      <c r="D2061" s="21"/>
      <c r="E2061" s="22"/>
      <c r="G2061" s="23"/>
      <c r="H2061" s="24"/>
      <c r="Q2061" s="2"/>
      <c r="R2061" s="2"/>
    </row>
    <row r="2062" spans="1:18" ht="15.75" customHeight="1" x14ac:dyDescent="0.3">
      <c r="A2062" s="11"/>
      <c r="B2062" s="11"/>
      <c r="D2062" s="21"/>
      <c r="E2062" s="22"/>
      <c r="G2062" s="23"/>
      <c r="H2062" s="24"/>
      <c r="Q2062" s="2"/>
      <c r="R2062" s="2"/>
    </row>
    <row r="2063" spans="1:18" ht="15.75" customHeight="1" x14ac:dyDescent="0.3">
      <c r="A2063" s="11"/>
      <c r="B2063" s="11"/>
      <c r="D2063" s="21"/>
      <c r="E2063" s="22"/>
      <c r="G2063" s="23"/>
      <c r="H2063" s="24"/>
      <c r="Q2063" s="2"/>
      <c r="R2063" s="2"/>
    </row>
    <row r="2064" spans="1:18" ht="15.75" customHeight="1" x14ac:dyDescent="0.3">
      <c r="A2064" s="11"/>
      <c r="B2064" s="11"/>
      <c r="D2064" s="21"/>
      <c r="E2064" s="22"/>
      <c r="G2064" s="23"/>
      <c r="H2064" s="24"/>
      <c r="Q2064" s="2"/>
      <c r="R2064" s="2"/>
    </row>
    <row r="2065" spans="1:18" ht="15.75" customHeight="1" x14ac:dyDescent="0.3">
      <c r="A2065" s="11"/>
      <c r="B2065" s="11"/>
      <c r="D2065" s="21"/>
      <c r="E2065" s="22"/>
      <c r="G2065" s="23"/>
      <c r="H2065" s="24"/>
      <c r="Q2065" s="2"/>
      <c r="R2065" s="2"/>
    </row>
    <row r="2066" spans="1:18" ht="15.75" customHeight="1" x14ac:dyDescent="0.3">
      <c r="A2066" s="11"/>
      <c r="B2066" s="11"/>
      <c r="D2066" s="21"/>
      <c r="E2066" s="22"/>
      <c r="G2066" s="23"/>
      <c r="H2066" s="24"/>
      <c r="Q2066" s="2"/>
      <c r="R2066" s="2"/>
    </row>
    <row r="2067" spans="1:18" ht="15.75" customHeight="1" x14ac:dyDescent="0.3">
      <c r="A2067" s="11"/>
      <c r="B2067" s="11"/>
      <c r="D2067" s="21"/>
      <c r="E2067" s="22"/>
      <c r="G2067" s="23"/>
      <c r="H2067" s="24"/>
      <c r="Q2067" s="2"/>
      <c r="R2067" s="2"/>
    </row>
    <row r="2068" spans="1:18" ht="15.75" customHeight="1" x14ac:dyDescent="0.3">
      <c r="A2068" s="11"/>
      <c r="B2068" s="11"/>
      <c r="D2068" s="21"/>
      <c r="E2068" s="22"/>
      <c r="G2068" s="23"/>
      <c r="H2068" s="24"/>
      <c r="Q2068" s="2"/>
      <c r="R2068" s="2"/>
    </row>
    <row r="2069" spans="1:18" ht="15.75" customHeight="1" x14ac:dyDescent="0.3">
      <c r="A2069" s="11"/>
      <c r="B2069" s="11"/>
      <c r="D2069" s="21"/>
      <c r="E2069" s="22"/>
      <c r="G2069" s="23"/>
      <c r="H2069" s="24"/>
      <c r="Q2069" s="2"/>
      <c r="R2069" s="2"/>
    </row>
    <row r="2070" spans="1:18" ht="15.75" customHeight="1" x14ac:dyDescent="0.3">
      <c r="A2070" s="11"/>
      <c r="B2070" s="11"/>
      <c r="D2070" s="21"/>
      <c r="E2070" s="22"/>
      <c r="G2070" s="23"/>
      <c r="H2070" s="24"/>
      <c r="Q2070" s="2"/>
      <c r="R2070" s="2"/>
    </row>
    <row r="2071" spans="1:18" ht="15.75" customHeight="1" x14ac:dyDescent="0.3">
      <c r="A2071" s="11"/>
      <c r="B2071" s="11"/>
      <c r="D2071" s="21"/>
      <c r="E2071" s="22"/>
      <c r="G2071" s="23"/>
      <c r="H2071" s="24"/>
      <c r="Q2071" s="2"/>
      <c r="R2071" s="2"/>
    </row>
    <row r="2072" spans="1:18" ht="15.75" customHeight="1" x14ac:dyDescent="0.3">
      <c r="A2072" s="11"/>
      <c r="B2072" s="11"/>
      <c r="D2072" s="21"/>
      <c r="E2072" s="22"/>
      <c r="G2072" s="23"/>
      <c r="H2072" s="24"/>
      <c r="Q2072" s="2"/>
      <c r="R2072" s="2"/>
    </row>
    <row r="2073" spans="1:18" ht="15.75" customHeight="1" x14ac:dyDescent="0.3">
      <c r="A2073" s="11"/>
      <c r="B2073" s="11"/>
      <c r="D2073" s="21"/>
      <c r="E2073" s="22"/>
      <c r="G2073" s="23"/>
      <c r="H2073" s="24"/>
      <c r="Q2073" s="2"/>
      <c r="R2073" s="2"/>
    </row>
    <row r="2074" spans="1:18" ht="15.75" customHeight="1" x14ac:dyDescent="0.3">
      <c r="A2074" s="11"/>
      <c r="B2074" s="11"/>
      <c r="D2074" s="21"/>
      <c r="E2074" s="22"/>
      <c r="G2074" s="23"/>
      <c r="H2074" s="24"/>
      <c r="Q2074" s="2"/>
      <c r="R2074" s="2"/>
    </row>
    <row r="2075" spans="1:18" ht="15.75" customHeight="1" x14ac:dyDescent="0.3">
      <c r="A2075" s="11"/>
      <c r="B2075" s="11"/>
      <c r="D2075" s="21"/>
      <c r="E2075" s="22"/>
      <c r="G2075" s="23"/>
      <c r="H2075" s="24"/>
      <c r="Q2075" s="2"/>
      <c r="R2075" s="2"/>
    </row>
    <row r="2076" spans="1:18" ht="15.75" customHeight="1" x14ac:dyDescent="0.3">
      <c r="A2076" s="11"/>
      <c r="B2076" s="11"/>
      <c r="D2076" s="21"/>
      <c r="E2076" s="22"/>
      <c r="G2076" s="23"/>
      <c r="H2076" s="24"/>
      <c r="Q2076" s="2"/>
      <c r="R2076" s="2"/>
    </row>
    <row r="2077" spans="1:18" ht="15.75" customHeight="1" x14ac:dyDescent="0.3">
      <c r="A2077" s="11"/>
      <c r="B2077" s="11"/>
      <c r="D2077" s="21"/>
      <c r="E2077" s="22"/>
      <c r="G2077" s="23"/>
      <c r="H2077" s="24"/>
      <c r="Q2077" s="2"/>
      <c r="R2077" s="2"/>
    </row>
    <row r="2078" spans="1:18" ht="15.75" customHeight="1" x14ac:dyDescent="0.3">
      <c r="A2078" s="11"/>
      <c r="B2078" s="11"/>
      <c r="D2078" s="21"/>
      <c r="E2078" s="22"/>
      <c r="G2078" s="23"/>
      <c r="H2078" s="24"/>
      <c r="Q2078" s="2"/>
      <c r="R2078" s="2"/>
    </row>
    <row r="2079" spans="1:18" ht="15.75" customHeight="1" x14ac:dyDescent="0.3">
      <c r="A2079" s="11"/>
      <c r="B2079" s="11"/>
      <c r="D2079" s="21"/>
      <c r="E2079" s="22"/>
      <c r="G2079" s="23"/>
      <c r="H2079" s="24"/>
      <c r="Q2079" s="2"/>
      <c r="R2079" s="2"/>
    </row>
    <row r="2080" spans="1:18" ht="15.75" customHeight="1" x14ac:dyDescent="0.3">
      <c r="A2080" s="11"/>
      <c r="B2080" s="11"/>
      <c r="D2080" s="21"/>
      <c r="E2080" s="22"/>
      <c r="G2080" s="23"/>
      <c r="H2080" s="24"/>
      <c r="Q2080" s="2"/>
      <c r="R2080" s="2"/>
    </row>
    <row r="2081" spans="1:18" ht="15.75" customHeight="1" x14ac:dyDescent="0.3">
      <c r="A2081" s="11"/>
      <c r="B2081" s="11"/>
      <c r="D2081" s="21"/>
      <c r="E2081" s="22"/>
      <c r="G2081" s="23"/>
      <c r="H2081" s="24"/>
      <c r="Q2081" s="2"/>
      <c r="R2081" s="2"/>
    </row>
    <row r="2082" spans="1:18" ht="15.75" customHeight="1" x14ac:dyDescent="0.3">
      <c r="A2082" s="11"/>
      <c r="B2082" s="11"/>
      <c r="D2082" s="21"/>
      <c r="E2082" s="22"/>
      <c r="G2082" s="23"/>
      <c r="H2082" s="24"/>
      <c r="Q2082" s="2"/>
      <c r="R2082" s="2"/>
    </row>
    <row r="2083" spans="1:18" ht="15.75" customHeight="1" x14ac:dyDescent="0.3">
      <c r="A2083" s="11"/>
      <c r="B2083" s="11"/>
      <c r="D2083" s="21"/>
      <c r="E2083" s="22"/>
      <c r="G2083" s="23"/>
      <c r="H2083" s="24"/>
      <c r="Q2083" s="2"/>
      <c r="R2083" s="2"/>
    </row>
    <row r="2084" spans="1:18" ht="15.75" customHeight="1" x14ac:dyDescent="0.3">
      <c r="A2084" s="11"/>
      <c r="B2084" s="11"/>
      <c r="D2084" s="21"/>
      <c r="E2084" s="22"/>
      <c r="G2084" s="23"/>
      <c r="H2084" s="24"/>
      <c r="Q2084" s="2"/>
      <c r="R2084" s="2"/>
    </row>
    <row r="2085" spans="1:18" ht="15.75" customHeight="1" x14ac:dyDescent="0.3">
      <c r="A2085" s="11"/>
      <c r="B2085" s="11"/>
      <c r="D2085" s="21"/>
      <c r="E2085" s="22"/>
      <c r="G2085" s="23"/>
      <c r="H2085" s="24"/>
      <c r="Q2085" s="2"/>
      <c r="R2085" s="2"/>
    </row>
    <row r="2086" spans="1:18" ht="15.75" customHeight="1" x14ac:dyDescent="0.3">
      <c r="A2086" s="11"/>
      <c r="B2086" s="11"/>
      <c r="D2086" s="21"/>
      <c r="E2086" s="22"/>
      <c r="G2086" s="23"/>
      <c r="H2086" s="24"/>
      <c r="Q2086" s="2"/>
      <c r="R2086" s="2"/>
    </row>
    <row r="2087" spans="1:18" ht="15.75" customHeight="1" x14ac:dyDescent="0.3">
      <c r="A2087" s="11"/>
      <c r="B2087" s="11"/>
      <c r="D2087" s="21"/>
      <c r="E2087" s="22"/>
      <c r="G2087" s="23"/>
      <c r="H2087" s="24"/>
      <c r="Q2087" s="2"/>
      <c r="R2087" s="2"/>
    </row>
    <row r="2088" spans="1:18" ht="15.75" customHeight="1" x14ac:dyDescent="0.3">
      <c r="A2088" s="11"/>
      <c r="B2088" s="11"/>
      <c r="D2088" s="21"/>
      <c r="E2088" s="22"/>
      <c r="G2088" s="23"/>
      <c r="H2088" s="24"/>
      <c r="Q2088" s="2"/>
      <c r="R2088" s="2"/>
    </row>
    <row r="2089" spans="1:18" ht="15.75" customHeight="1" x14ac:dyDescent="0.3">
      <c r="A2089" s="11"/>
      <c r="B2089" s="11"/>
      <c r="D2089" s="21"/>
      <c r="E2089" s="22"/>
      <c r="G2089" s="23"/>
      <c r="H2089" s="24"/>
      <c r="Q2089" s="2"/>
      <c r="R2089" s="2"/>
    </row>
    <row r="2090" spans="1:18" ht="15.75" customHeight="1" x14ac:dyDescent="0.3">
      <c r="A2090" s="11"/>
      <c r="B2090" s="11"/>
      <c r="D2090" s="21"/>
      <c r="E2090" s="22"/>
      <c r="G2090" s="23"/>
      <c r="H2090" s="24"/>
      <c r="Q2090" s="2"/>
      <c r="R2090" s="2"/>
    </row>
    <row r="2091" spans="1:18" ht="15.75" customHeight="1" x14ac:dyDescent="0.3">
      <c r="A2091" s="11"/>
      <c r="B2091" s="11"/>
      <c r="D2091" s="21"/>
      <c r="E2091" s="22"/>
      <c r="G2091" s="23"/>
      <c r="H2091" s="24"/>
      <c r="Q2091" s="2"/>
      <c r="R2091" s="2"/>
    </row>
    <row r="2092" spans="1:18" ht="15.75" customHeight="1" x14ac:dyDescent="0.3">
      <c r="A2092" s="11"/>
      <c r="B2092" s="11"/>
      <c r="D2092" s="21"/>
      <c r="E2092" s="22"/>
      <c r="G2092" s="23"/>
      <c r="H2092" s="24"/>
      <c r="Q2092" s="2"/>
      <c r="R2092" s="2"/>
    </row>
    <row r="2093" spans="1:18" ht="15.75" customHeight="1" x14ac:dyDescent="0.3">
      <c r="A2093" s="11"/>
      <c r="B2093" s="11"/>
      <c r="D2093" s="21"/>
      <c r="E2093" s="22"/>
      <c r="G2093" s="23"/>
      <c r="H2093" s="24"/>
      <c r="Q2093" s="2"/>
      <c r="R2093" s="2"/>
    </row>
    <row r="2094" spans="1:18" ht="15.75" customHeight="1" x14ac:dyDescent="0.3">
      <c r="A2094" s="11"/>
      <c r="B2094" s="11"/>
      <c r="D2094" s="21"/>
      <c r="E2094" s="22"/>
      <c r="G2094" s="23"/>
      <c r="H2094" s="24"/>
      <c r="Q2094" s="2"/>
      <c r="R2094" s="2"/>
    </row>
    <row r="2095" spans="1:18" ht="15.75" customHeight="1" x14ac:dyDescent="0.3">
      <c r="A2095" s="11"/>
      <c r="B2095" s="11"/>
      <c r="D2095" s="21"/>
      <c r="E2095" s="22"/>
      <c r="G2095" s="23"/>
      <c r="H2095" s="24"/>
      <c r="Q2095" s="2"/>
      <c r="R2095" s="2"/>
    </row>
    <row r="2096" spans="1:18" ht="15.75" customHeight="1" x14ac:dyDescent="0.3">
      <c r="A2096" s="11"/>
      <c r="B2096" s="11"/>
      <c r="D2096" s="21"/>
      <c r="E2096" s="22"/>
      <c r="G2096" s="23"/>
      <c r="H2096" s="24"/>
      <c r="Q2096" s="2"/>
      <c r="R2096" s="2"/>
    </row>
    <row r="2097" spans="1:18" ht="15.75" customHeight="1" x14ac:dyDescent="0.3">
      <c r="A2097" s="11"/>
      <c r="B2097" s="11"/>
      <c r="D2097" s="21"/>
      <c r="E2097" s="22"/>
      <c r="G2097" s="23"/>
      <c r="H2097" s="24"/>
      <c r="Q2097" s="2"/>
      <c r="R2097" s="2"/>
    </row>
    <row r="2098" spans="1:18" ht="15.75" customHeight="1" x14ac:dyDescent="0.3">
      <c r="A2098" s="11"/>
      <c r="B2098" s="11"/>
      <c r="D2098" s="21"/>
      <c r="E2098" s="22"/>
      <c r="G2098" s="23"/>
      <c r="H2098" s="24"/>
      <c r="Q2098" s="2"/>
      <c r="R2098" s="2"/>
    </row>
    <row r="2099" spans="1:18" ht="15.75" customHeight="1" x14ac:dyDescent="0.3">
      <c r="A2099" s="11"/>
      <c r="B2099" s="11"/>
      <c r="D2099" s="21"/>
      <c r="E2099" s="22"/>
      <c r="G2099" s="23"/>
      <c r="H2099" s="24"/>
      <c r="Q2099" s="2"/>
      <c r="R2099" s="2"/>
    </row>
    <row r="2100" spans="1:18" ht="15.75" customHeight="1" x14ac:dyDescent="0.3">
      <c r="A2100" s="11"/>
      <c r="B2100" s="11"/>
      <c r="D2100" s="21"/>
      <c r="E2100" s="22"/>
      <c r="G2100" s="23"/>
      <c r="H2100" s="24"/>
      <c r="Q2100" s="2"/>
      <c r="R2100" s="2"/>
    </row>
    <row r="2101" spans="1:18" ht="15.75" customHeight="1" x14ac:dyDescent="0.3">
      <c r="A2101" s="11"/>
      <c r="B2101" s="11"/>
      <c r="D2101" s="21"/>
      <c r="E2101" s="22"/>
      <c r="G2101" s="23"/>
      <c r="H2101" s="24"/>
      <c r="Q2101" s="2"/>
      <c r="R2101" s="2"/>
    </row>
    <row r="2102" spans="1:18" ht="15.75" customHeight="1" x14ac:dyDescent="0.3">
      <c r="A2102" s="11"/>
      <c r="B2102" s="11"/>
      <c r="D2102" s="21"/>
      <c r="E2102" s="22"/>
      <c r="G2102" s="23"/>
      <c r="H2102" s="24"/>
      <c r="Q2102" s="2"/>
      <c r="R2102" s="2"/>
    </row>
    <row r="2103" spans="1:18" ht="15.75" customHeight="1" x14ac:dyDescent="0.3">
      <c r="A2103" s="11"/>
      <c r="B2103" s="11"/>
      <c r="D2103" s="21"/>
      <c r="E2103" s="22"/>
      <c r="G2103" s="23"/>
      <c r="H2103" s="24"/>
      <c r="Q2103" s="2"/>
      <c r="R2103" s="2"/>
    </row>
    <row r="2104" spans="1:18" ht="15.75" customHeight="1" x14ac:dyDescent="0.3">
      <c r="A2104" s="11"/>
      <c r="B2104" s="11"/>
      <c r="D2104" s="21"/>
      <c r="E2104" s="22"/>
      <c r="G2104" s="23"/>
      <c r="H2104" s="24"/>
      <c r="Q2104" s="2"/>
      <c r="R2104" s="2"/>
    </row>
    <row r="2105" spans="1:18" ht="15.75" customHeight="1" x14ac:dyDescent="0.3">
      <c r="A2105" s="11"/>
      <c r="B2105" s="11"/>
      <c r="D2105" s="21"/>
      <c r="E2105" s="22"/>
      <c r="G2105" s="23"/>
      <c r="H2105" s="24"/>
      <c r="Q2105" s="2"/>
      <c r="R2105" s="2"/>
    </row>
    <row r="2106" spans="1:18" ht="15.75" customHeight="1" x14ac:dyDescent="0.3">
      <c r="A2106" s="11"/>
      <c r="B2106" s="11"/>
      <c r="D2106" s="21"/>
      <c r="E2106" s="22"/>
      <c r="G2106" s="23"/>
      <c r="H2106" s="24"/>
      <c r="Q2106" s="2"/>
      <c r="R2106" s="2"/>
    </row>
    <row r="2107" spans="1:18" ht="15.75" customHeight="1" x14ac:dyDescent="0.3">
      <c r="A2107" s="11"/>
      <c r="B2107" s="11"/>
      <c r="D2107" s="21"/>
      <c r="E2107" s="22"/>
      <c r="G2107" s="23"/>
      <c r="H2107" s="24"/>
      <c r="Q2107" s="2"/>
      <c r="R2107" s="2"/>
    </row>
    <row r="2108" spans="1:18" ht="15.75" customHeight="1" x14ac:dyDescent="0.3">
      <c r="A2108" s="11"/>
      <c r="B2108" s="11"/>
      <c r="D2108" s="21"/>
      <c r="E2108" s="22"/>
      <c r="G2108" s="23"/>
      <c r="H2108" s="24"/>
      <c r="Q2108" s="2"/>
      <c r="R2108" s="2"/>
    </row>
    <row r="2109" spans="1:18" ht="15.75" customHeight="1" x14ac:dyDescent="0.3">
      <c r="A2109" s="11"/>
      <c r="B2109" s="11"/>
      <c r="D2109" s="21"/>
      <c r="E2109" s="22"/>
      <c r="G2109" s="23"/>
      <c r="H2109" s="24"/>
      <c r="Q2109" s="2"/>
      <c r="R2109" s="2"/>
    </row>
    <row r="2110" spans="1:18" ht="15.75" customHeight="1" x14ac:dyDescent="0.3">
      <c r="A2110" s="11"/>
      <c r="B2110" s="11"/>
      <c r="D2110" s="21"/>
      <c r="E2110" s="22"/>
      <c r="G2110" s="23"/>
      <c r="H2110" s="24"/>
      <c r="Q2110" s="2"/>
      <c r="R2110" s="2"/>
    </row>
    <row r="2111" spans="1:18" ht="15.75" customHeight="1" x14ac:dyDescent="0.3">
      <c r="A2111" s="11"/>
      <c r="B2111" s="11"/>
      <c r="D2111" s="21"/>
      <c r="E2111" s="22"/>
      <c r="G2111" s="23"/>
      <c r="H2111" s="24"/>
      <c r="Q2111" s="2"/>
      <c r="R2111" s="2"/>
    </row>
    <row r="2112" spans="1:18" ht="15.75" customHeight="1" x14ac:dyDescent="0.3">
      <c r="A2112" s="11"/>
      <c r="B2112" s="11"/>
      <c r="D2112" s="21"/>
      <c r="E2112" s="22"/>
      <c r="G2112" s="23"/>
      <c r="H2112" s="24"/>
      <c r="Q2112" s="2"/>
      <c r="R2112" s="2"/>
    </row>
    <row r="2113" spans="1:18" ht="15.75" customHeight="1" x14ac:dyDescent="0.3">
      <c r="A2113" s="11"/>
      <c r="B2113" s="11"/>
      <c r="D2113" s="21"/>
      <c r="E2113" s="22"/>
      <c r="G2113" s="23"/>
      <c r="H2113" s="24"/>
      <c r="Q2113" s="2"/>
      <c r="R2113" s="2"/>
    </row>
    <row r="2114" spans="1:18" ht="15.75" customHeight="1" x14ac:dyDescent="0.3">
      <c r="A2114" s="11"/>
      <c r="B2114" s="11"/>
      <c r="D2114" s="21"/>
      <c r="E2114" s="22"/>
      <c r="G2114" s="23"/>
      <c r="H2114" s="24"/>
      <c r="Q2114" s="2"/>
      <c r="R2114" s="2"/>
    </row>
    <row r="2115" spans="1:18" ht="15.75" customHeight="1" x14ac:dyDescent="0.3">
      <c r="A2115" s="11"/>
      <c r="B2115" s="11"/>
      <c r="D2115" s="21"/>
      <c r="E2115" s="22"/>
      <c r="G2115" s="23"/>
      <c r="H2115" s="24"/>
      <c r="Q2115" s="2"/>
      <c r="R2115" s="2"/>
    </row>
    <row r="2116" spans="1:18" ht="15.75" customHeight="1" x14ac:dyDescent="0.3">
      <c r="A2116" s="11"/>
      <c r="B2116" s="11"/>
      <c r="D2116" s="21"/>
      <c r="E2116" s="22"/>
      <c r="G2116" s="23"/>
      <c r="H2116" s="24"/>
      <c r="Q2116" s="2"/>
      <c r="R2116" s="2"/>
    </row>
    <row r="2117" spans="1:18" ht="15.75" customHeight="1" x14ac:dyDescent="0.3">
      <c r="A2117" s="11"/>
      <c r="B2117" s="11"/>
      <c r="D2117" s="21"/>
      <c r="E2117" s="22"/>
      <c r="G2117" s="23"/>
      <c r="H2117" s="24"/>
      <c r="Q2117" s="2"/>
      <c r="R2117" s="2"/>
    </row>
    <row r="2118" spans="1:18" ht="15.75" customHeight="1" x14ac:dyDescent="0.3">
      <c r="A2118" s="11"/>
      <c r="B2118" s="11"/>
      <c r="D2118" s="21"/>
      <c r="E2118" s="22"/>
      <c r="G2118" s="23"/>
      <c r="H2118" s="24"/>
      <c r="Q2118" s="2"/>
      <c r="R2118" s="2"/>
    </row>
    <row r="2119" spans="1:18" ht="15.75" customHeight="1" x14ac:dyDescent="0.3">
      <c r="A2119" s="11"/>
      <c r="B2119" s="11"/>
      <c r="D2119" s="21"/>
      <c r="E2119" s="22"/>
      <c r="G2119" s="23"/>
      <c r="H2119" s="24"/>
      <c r="Q2119" s="2"/>
      <c r="R2119" s="2"/>
    </row>
    <row r="2120" spans="1:18" ht="15.75" customHeight="1" x14ac:dyDescent="0.3">
      <c r="A2120" s="11"/>
      <c r="B2120" s="11"/>
      <c r="D2120" s="21"/>
      <c r="E2120" s="22"/>
      <c r="G2120" s="23"/>
      <c r="H2120" s="24"/>
      <c r="Q2120" s="2"/>
      <c r="R2120" s="2"/>
    </row>
    <row r="2121" spans="1:18" ht="15.75" customHeight="1" x14ac:dyDescent="0.3">
      <c r="A2121" s="11"/>
      <c r="B2121" s="11"/>
      <c r="D2121" s="21"/>
      <c r="E2121" s="22"/>
      <c r="G2121" s="23"/>
      <c r="H2121" s="24"/>
      <c r="Q2121" s="2"/>
      <c r="R2121" s="2"/>
    </row>
    <row r="2122" spans="1:18" ht="15.75" customHeight="1" x14ac:dyDescent="0.3">
      <c r="A2122" s="11"/>
      <c r="B2122" s="11"/>
      <c r="D2122" s="21"/>
      <c r="E2122" s="22"/>
      <c r="G2122" s="23"/>
      <c r="H2122" s="24"/>
      <c r="Q2122" s="2"/>
      <c r="R2122" s="2"/>
    </row>
    <row r="2123" spans="1:18" ht="15.75" customHeight="1" x14ac:dyDescent="0.3">
      <c r="A2123" s="11"/>
      <c r="B2123" s="11"/>
      <c r="D2123" s="21"/>
      <c r="E2123" s="22"/>
      <c r="G2123" s="23"/>
      <c r="H2123" s="24"/>
      <c r="Q2123" s="2"/>
      <c r="R2123" s="2"/>
    </row>
    <row r="2124" spans="1:18" ht="15.75" customHeight="1" x14ac:dyDescent="0.3">
      <c r="A2124" s="11"/>
      <c r="B2124" s="11"/>
      <c r="D2124" s="21"/>
      <c r="E2124" s="22"/>
      <c r="G2124" s="23"/>
      <c r="H2124" s="24"/>
      <c r="Q2124" s="2"/>
      <c r="R2124" s="2"/>
    </row>
    <row r="2125" spans="1:18" ht="15.75" customHeight="1" x14ac:dyDescent="0.3">
      <c r="A2125" s="11"/>
      <c r="B2125" s="11"/>
      <c r="D2125" s="21"/>
      <c r="E2125" s="22"/>
      <c r="G2125" s="23"/>
      <c r="H2125" s="24"/>
      <c r="Q2125" s="2"/>
      <c r="R2125" s="2"/>
    </row>
    <row r="2126" spans="1:18" ht="15.75" customHeight="1" x14ac:dyDescent="0.3">
      <c r="A2126" s="11"/>
      <c r="B2126" s="11"/>
      <c r="D2126" s="21"/>
      <c r="E2126" s="22"/>
      <c r="G2126" s="23"/>
      <c r="H2126" s="24"/>
      <c r="Q2126" s="2"/>
      <c r="R2126" s="2"/>
    </row>
    <row r="2127" spans="1:18" ht="15.75" customHeight="1" x14ac:dyDescent="0.3">
      <c r="A2127" s="11"/>
      <c r="B2127" s="11"/>
      <c r="D2127" s="21"/>
      <c r="E2127" s="22"/>
      <c r="G2127" s="23"/>
      <c r="H2127" s="24"/>
      <c r="Q2127" s="2"/>
      <c r="R2127" s="2"/>
    </row>
    <row r="2128" spans="1:18" ht="15.75" customHeight="1" x14ac:dyDescent="0.3">
      <c r="A2128" s="11"/>
      <c r="B2128" s="11"/>
      <c r="D2128" s="21"/>
      <c r="E2128" s="22"/>
      <c r="G2128" s="23"/>
      <c r="H2128" s="24"/>
      <c r="Q2128" s="2"/>
      <c r="R2128" s="2"/>
    </row>
    <row r="2129" spans="1:18" ht="15.75" customHeight="1" x14ac:dyDescent="0.3">
      <c r="A2129" s="11"/>
      <c r="B2129" s="11"/>
      <c r="D2129" s="21"/>
      <c r="E2129" s="22"/>
      <c r="G2129" s="23"/>
      <c r="H2129" s="24"/>
      <c r="Q2129" s="2"/>
      <c r="R2129" s="2"/>
    </row>
    <row r="2130" spans="1:18" ht="15.75" customHeight="1" x14ac:dyDescent="0.3">
      <c r="A2130" s="11"/>
      <c r="B2130" s="11"/>
      <c r="D2130" s="21"/>
      <c r="E2130" s="22"/>
      <c r="G2130" s="23"/>
      <c r="H2130" s="24"/>
      <c r="Q2130" s="2"/>
      <c r="R2130" s="2"/>
    </row>
    <row r="2131" spans="1:18" ht="15.75" customHeight="1" x14ac:dyDescent="0.3">
      <c r="A2131" s="11"/>
      <c r="B2131" s="11"/>
      <c r="D2131" s="21"/>
      <c r="E2131" s="22"/>
      <c r="G2131" s="23"/>
      <c r="H2131" s="24"/>
      <c r="Q2131" s="2"/>
      <c r="R2131" s="2"/>
    </row>
    <row r="2132" spans="1:18" ht="15.75" customHeight="1" x14ac:dyDescent="0.3">
      <c r="A2132" s="11"/>
      <c r="B2132" s="11"/>
      <c r="D2132" s="21"/>
      <c r="E2132" s="22"/>
      <c r="G2132" s="23"/>
      <c r="H2132" s="24"/>
      <c r="Q2132" s="2"/>
      <c r="R2132" s="2"/>
    </row>
    <row r="2133" spans="1:18" ht="15.75" customHeight="1" x14ac:dyDescent="0.3">
      <c r="A2133" s="11"/>
      <c r="B2133" s="11"/>
      <c r="D2133" s="21"/>
      <c r="E2133" s="22"/>
      <c r="G2133" s="23"/>
      <c r="H2133" s="24"/>
      <c r="Q2133" s="2"/>
      <c r="R2133" s="2"/>
    </row>
    <row r="2134" spans="1:18" ht="15.75" customHeight="1" x14ac:dyDescent="0.3">
      <c r="A2134" s="11"/>
      <c r="B2134" s="11"/>
      <c r="D2134" s="21"/>
      <c r="E2134" s="22"/>
      <c r="G2134" s="23"/>
      <c r="H2134" s="24"/>
      <c r="Q2134" s="2"/>
      <c r="R2134" s="2"/>
    </row>
    <row r="2135" spans="1:18" ht="15.75" customHeight="1" x14ac:dyDescent="0.3">
      <c r="A2135" s="11"/>
      <c r="B2135" s="11"/>
      <c r="D2135" s="21"/>
      <c r="E2135" s="22"/>
      <c r="G2135" s="23"/>
      <c r="H2135" s="24"/>
      <c r="Q2135" s="2"/>
      <c r="R2135" s="2"/>
    </row>
    <row r="2136" spans="1:18" ht="15.75" customHeight="1" x14ac:dyDescent="0.3">
      <c r="A2136" s="11"/>
      <c r="B2136" s="11"/>
      <c r="D2136" s="21"/>
      <c r="E2136" s="22"/>
      <c r="G2136" s="23"/>
      <c r="H2136" s="24"/>
      <c r="Q2136" s="2"/>
      <c r="R2136" s="2"/>
    </row>
    <row r="2137" spans="1:18" ht="15.75" customHeight="1" x14ac:dyDescent="0.3">
      <c r="A2137" s="11"/>
      <c r="B2137" s="11"/>
      <c r="D2137" s="21"/>
      <c r="E2137" s="22"/>
      <c r="G2137" s="23"/>
      <c r="H2137" s="24"/>
      <c r="Q2137" s="2"/>
      <c r="R2137" s="2"/>
    </row>
    <row r="2138" spans="1:18" ht="15.75" customHeight="1" x14ac:dyDescent="0.3">
      <c r="A2138" s="11"/>
      <c r="B2138" s="11"/>
      <c r="D2138" s="21"/>
      <c r="E2138" s="22"/>
      <c r="G2138" s="23"/>
      <c r="H2138" s="24"/>
      <c r="Q2138" s="2"/>
      <c r="R2138" s="2"/>
    </row>
    <row r="2139" spans="1:18" ht="15.75" customHeight="1" x14ac:dyDescent="0.3">
      <c r="A2139" s="11"/>
      <c r="B2139" s="11"/>
      <c r="D2139" s="21"/>
      <c r="E2139" s="22"/>
      <c r="G2139" s="23"/>
      <c r="H2139" s="24"/>
      <c r="Q2139" s="2"/>
      <c r="R2139" s="2"/>
    </row>
    <row r="2140" spans="1:18" ht="15.75" customHeight="1" x14ac:dyDescent="0.3">
      <c r="A2140" s="11"/>
      <c r="B2140" s="11"/>
      <c r="D2140" s="21"/>
      <c r="E2140" s="22"/>
      <c r="G2140" s="23"/>
      <c r="H2140" s="24"/>
      <c r="Q2140" s="2"/>
      <c r="R2140" s="2"/>
    </row>
    <row r="2141" spans="1:18" ht="15.75" customHeight="1" x14ac:dyDescent="0.3">
      <c r="A2141" s="11"/>
      <c r="B2141" s="11"/>
      <c r="D2141" s="21"/>
      <c r="E2141" s="22"/>
      <c r="G2141" s="23"/>
      <c r="H2141" s="24"/>
      <c r="Q2141" s="2"/>
      <c r="R2141" s="2"/>
    </row>
    <row r="2142" spans="1:18" ht="15.75" customHeight="1" x14ac:dyDescent="0.3">
      <c r="A2142" s="11"/>
      <c r="B2142" s="11"/>
      <c r="D2142" s="21"/>
      <c r="E2142" s="22"/>
      <c r="G2142" s="23"/>
      <c r="H2142" s="24"/>
      <c r="Q2142" s="2"/>
      <c r="R2142" s="2"/>
    </row>
    <row r="2143" spans="1:18" ht="15.75" customHeight="1" x14ac:dyDescent="0.3">
      <c r="A2143" s="11"/>
      <c r="B2143" s="11"/>
      <c r="D2143" s="21"/>
      <c r="E2143" s="22"/>
      <c r="G2143" s="23"/>
      <c r="H2143" s="24"/>
      <c r="Q2143" s="2"/>
      <c r="R2143" s="2"/>
    </row>
    <row r="2144" spans="1:18" ht="15.75" customHeight="1" x14ac:dyDescent="0.3">
      <c r="A2144" s="11"/>
      <c r="B2144" s="11"/>
      <c r="D2144" s="21"/>
      <c r="E2144" s="22"/>
      <c r="G2144" s="23"/>
      <c r="H2144" s="24"/>
      <c r="Q2144" s="2"/>
      <c r="R2144" s="2"/>
    </row>
    <row r="2145" spans="1:18" ht="15.75" customHeight="1" x14ac:dyDescent="0.3">
      <c r="A2145" s="11"/>
      <c r="B2145" s="11"/>
      <c r="D2145" s="21"/>
      <c r="E2145" s="22"/>
      <c r="G2145" s="23"/>
      <c r="H2145" s="24"/>
      <c r="Q2145" s="2"/>
      <c r="R2145" s="2"/>
    </row>
    <row r="2146" spans="1:18" ht="15.75" customHeight="1" x14ac:dyDescent="0.3">
      <c r="A2146" s="11"/>
      <c r="B2146" s="11"/>
      <c r="D2146" s="21"/>
      <c r="E2146" s="22"/>
      <c r="G2146" s="23"/>
      <c r="H2146" s="24"/>
      <c r="Q2146" s="2"/>
      <c r="R2146" s="2"/>
    </row>
    <row r="2147" spans="1:18" ht="15.75" customHeight="1" x14ac:dyDescent="0.3">
      <c r="A2147" s="11"/>
      <c r="B2147" s="11"/>
      <c r="D2147" s="21"/>
      <c r="E2147" s="22"/>
      <c r="G2147" s="23"/>
      <c r="H2147" s="24"/>
      <c r="Q2147" s="2"/>
      <c r="R2147" s="2"/>
    </row>
    <row r="2148" spans="1:18" ht="15.75" customHeight="1" x14ac:dyDescent="0.3">
      <c r="A2148" s="11"/>
      <c r="B2148" s="11"/>
      <c r="D2148" s="21"/>
      <c r="E2148" s="22"/>
      <c r="G2148" s="23"/>
      <c r="H2148" s="24"/>
      <c r="Q2148" s="2"/>
      <c r="R2148" s="2"/>
    </row>
    <row r="2149" spans="1:18" ht="15.75" customHeight="1" x14ac:dyDescent="0.3">
      <c r="A2149" s="11"/>
      <c r="B2149" s="11"/>
      <c r="D2149" s="21"/>
      <c r="E2149" s="22"/>
      <c r="G2149" s="23"/>
      <c r="H2149" s="24"/>
      <c r="Q2149" s="2"/>
      <c r="R2149" s="2"/>
    </row>
    <row r="2150" spans="1:18" ht="15.75" customHeight="1" x14ac:dyDescent="0.3">
      <c r="A2150" s="11"/>
      <c r="B2150" s="11"/>
      <c r="D2150" s="21"/>
      <c r="E2150" s="22"/>
      <c r="G2150" s="23"/>
      <c r="H2150" s="24"/>
      <c r="Q2150" s="2"/>
      <c r="R2150" s="2"/>
    </row>
    <row r="2151" spans="1:18" ht="15.75" customHeight="1" x14ac:dyDescent="0.3">
      <c r="A2151" s="11"/>
      <c r="B2151" s="11"/>
      <c r="D2151" s="21"/>
      <c r="E2151" s="22"/>
      <c r="G2151" s="23"/>
      <c r="H2151" s="24"/>
      <c r="Q2151" s="2"/>
      <c r="R2151" s="2"/>
    </row>
    <row r="2152" spans="1:18" ht="15.75" customHeight="1" x14ac:dyDescent="0.3">
      <c r="A2152" s="11"/>
      <c r="B2152" s="11"/>
      <c r="D2152" s="21"/>
      <c r="E2152" s="22"/>
      <c r="G2152" s="23"/>
      <c r="H2152" s="24"/>
      <c r="Q2152" s="2"/>
      <c r="R2152" s="2"/>
    </row>
    <row r="2153" spans="1:18" ht="15.75" customHeight="1" x14ac:dyDescent="0.3">
      <c r="A2153" s="11"/>
      <c r="B2153" s="11"/>
      <c r="D2153" s="21"/>
      <c r="E2153" s="22"/>
      <c r="G2153" s="23"/>
      <c r="H2153" s="24"/>
      <c r="Q2153" s="2"/>
      <c r="R2153" s="2"/>
    </row>
    <row r="2154" spans="1:18" ht="15.75" customHeight="1" x14ac:dyDescent="0.3">
      <c r="A2154" s="11"/>
      <c r="B2154" s="11"/>
      <c r="D2154" s="21"/>
      <c r="E2154" s="22"/>
      <c r="G2154" s="23"/>
      <c r="H2154" s="24"/>
      <c r="Q2154" s="2"/>
      <c r="R2154" s="2"/>
    </row>
    <row r="2155" spans="1:18" ht="15.75" customHeight="1" x14ac:dyDescent="0.3">
      <c r="A2155" s="11"/>
      <c r="B2155" s="11"/>
      <c r="D2155" s="21"/>
      <c r="E2155" s="22"/>
      <c r="G2155" s="23"/>
      <c r="H2155" s="24"/>
      <c r="Q2155" s="2"/>
      <c r="R2155" s="2"/>
    </row>
    <row r="2156" spans="1:18" ht="15.75" customHeight="1" x14ac:dyDescent="0.3">
      <c r="A2156" s="11"/>
      <c r="B2156" s="11"/>
      <c r="D2156" s="21"/>
      <c r="E2156" s="22"/>
      <c r="G2156" s="23"/>
      <c r="H2156" s="24"/>
      <c r="Q2156" s="2"/>
      <c r="R2156" s="2"/>
    </row>
    <row r="2157" spans="1:18" ht="15.75" customHeight="1" x14ac:dyDescent="0.3">
      <c r="A2157" s="11"/>
      <c r="B2157" s="11"/>
      <c r="D2157" s="21"/>
      <c r="E2157" s="22"/>
      <c r="G2157" s="23"/>
      <c r="H2157" s="24"/>
      <c r="Q2157" s="2"/>
      <c r="R2157" s="2"/>
    </row>
    <row r="2158" spans="1:18" ht="15.75" customHeight="1" x14ac:dyDescent="0.3">
      <c r="A2158" s="11"/>
      <c r="B2158" s="11"/>
      <c r="D2158" s="21"/>
      <c r="E2158" s="22"/>
      <c r="G2158" s="23"/>
      <c r="H2158" s="24"/>
      <c r="Q2158" s="2"/>
      <c r="R2158" s="2"/>
    </row>
    <row r="2159" spans="1:18" ht="15.75" customHeight="1" x14ac:dyDescent="0.3">
      <c r="A2159" s="11"/>
      <c r="B2159" s="11"/>
      <c r="D2159" s="21"/>
      <c r="E2159" s="22"/>
      <c r="G2159" s="23"/>
      <c r="H2159" s="24"/>
      <c r="Q2159" s="2"/>
      <c r="R2159" s="2"/>
    </row>
    <row r="2160" spans="1:18" ht="15.75" customHeight="1" x14ac:dyDescent="0.3">
      <c r="A2160" s="11"/>
      <c r="B2160" s="11"/>
      <c r="D2160" s="21"/>
      <c r="E2160" s="22"/>
      <c r="G2160" s="23"/>
      <c r="H2160" s="24"/>
      <c r="Q2160" s="2"/>
      <c r="R2160" s="2"/>
    </row>
    <row r="2161" spans="1:18" ht="15.75" customHeight="1" x14ac:dyDescent="0.3">
      <c r="A2161" s="11"/>
      <c r="B2161" s="11"/>
      <c r="D2161" s="21"/>
      <c r="E2161" s="22"/>
      <c r="G2161" s="23"/>
      <c r="H2161" s="24"/>
      <c r="Q2161" s="2"/>
      <c r="R2161" s="2"/>
    </row>
    <row r="2162" spans="1:18" ht="15.75" customHeight="1" x14ac:dyDescent="0.3">
      <c r="A2162" s="11"/>
      <c r="B2162" s="11"/>
      <c r="D2162" s="21"/>
      <c r="E2162" s="22"/>
      <c r="G2162" s="23"/>
      <c r="H2162" s="24"/>
      <c r="Q2162" s="2"/>
      <c r="R2162" s="2"/>
    </row>
    <row r="2163" spans="1:18" ht="15.75" customHeight="1" x14ac:dyDescent="0.3">
      <c r="A2163" s="11"/>
      <c r="B2163" s="11"/>
      <c r="D2163" s="21"/>
      <c r="E2163" s="22"/>
      <c r="G2163" s="23"/>
      <c r="H2163" s="24"/>
      <c r="Q2163" s="2"/>
      <c r="R2163" s="2"/>
    </row>
    <row r="2164" spans="1:18" ht="15.75" customHeight="1" x14ac:dyDescent="0.3">
      <c r="A2164" s="11"/>
      <c r="B2164" s="11"/>
      <c r="D2164" s="21"/>
      <c r="E2164" s="22"/>
      <c r="G2164" s="23"/>
      <c r="H2164" s="24"/>
      <c r="Q2164" s="2"/>
      <c r="R2164" s="2"/>
    </row>
    <row r="2165" spans="1:18" ht="15.75" customHeight="1" x14ac:dyDescent="0.3">
      <c r="A2165" s="11"/>
      <c r="B2165" s="11"/>
      <c r="D2165" s="21"/>
      <c r="E2165" s="22"/>
      <c r="G2165" s="23"/>
      <c r="H2165" s="24"/>
      <c r="Q2165" s="2"/>
      <c r="R2165" s="2"/>
    </row>
    <row r="2166" spans="1:18" ht="15.75" customHeight="1" x14ac:dyDescent="0.3">
      <c r="A2166" s="11"/>
      <c r="B2166" s="11"/>
      <c r="D2166" s="21"/>
      <c r="E2166" s="22"/>
      <c r="G2166" s="23"/>
      <c r="H2166" s="24"/>
      <c r="Q2166" s="2"/>
      <c r="R2166" s="2"/>
    </row>
    <row r="2167" spans="1:18" ht="15.75" customHeight="1" x14ac:dyDescent="0.3">
      <c r="A2167" s="11"/>
      <c r="B2167" s="11"/>
      <c r="D2167" s="21"/>
      <c r="E2167" s="22"/>
      <c r="G2167" s="23"/>
      <c r="H2167" s="24"/>
      <c r="Q2167" s="2"/>
      <c r="R2167" s="2"/>
    </row>
    <row r="2168" spans="1:18" ht="15.75" customHeight="1" x14ac:dyDescent="0.3">
      <c r="A2168" s="11"/>
      <c r="B2168" s="11"/>
      <c r="D2168" s="21"/>
      <c r="E2168" s="22"/>
      <c r="G2168" s="23"/>
      <c r="H2168" s="24"/>
      <c r="Q2168" s="2"/>
      <c r="R2168" s="2"/>
    </row>
    <row r="2169" spans="1:18" ht="15.75" customHeight="1" x14ac:dyDescent="0.3">
      <c r="A2169" s="11"/>
      <c r="B2169" s="11"/>
      <c r="D2169" s="21"/>
      <c r="E2169" s="22"/>
      <c r="G2169" s="23"/>
      <c r="H2169" s="24"/>
      <c r="Q2169" s="2"/>
      <c r="R2169" s="2"/>
    </row>
    <row r="2170" spans="1:18" ht="15.75" customHeight="1" x14ac:dyDescent="0.3">
      <c r="A2170" s="11"/>
      <c r="B2170" s="11"/>
      <c r="D2170" s="21"/>
      <c r="E2170" s="22"/>
      <c r="G2170" s="23"/>
      <c r="H2170" s="24"/>
      <c r="Q2170" s="2"/>
      <c r="R2170" s="2"/>
    </row>
    <row r="2171" spans="1:18" ht="15.75" customHeight="1" x14ac:dyDescent="0.3">
      <c r="A2171" s="11"/>
      <c r="B2171" s="11"/>
      <c r="D2171" s="21"/>
      <c r="E2171" s="22"/>
      <c r="G2171" s="23"/>
      <c r="H2171" s="24"/>
      <c r="Q2171" s="2"/>
      <c r="R2171" s="2"/>
    </row>
    <row r="2172" spans="1:18" ht="15.75" customHeight="1" x14ac:dyDescent="0.3">
      <c r="A2172" s="11"/>
      <c r="B2172" s="11"/>
      <c r="D2172" s="21"/>
      <c r="E2172" s="22"/>
      <c r="G2172" s="23"/>
      <c r="H2172" s="24"/>
      <c r="Q2172" s="2"/>
      <c r="R2172" s="2"/>
    </row>
    <row r="2173" spans="1:18" ht="15.75" customHeight="1" x14ac:dyDescent="0.3">
      <c r="A2173" s="11"/>
      <c r="B2173" s="11"/>
      <c r="D2173" s="21"/>
      <c r="E2173" s="22"/>
      <c r="G2173" s="23"/>
      <c r="H2173" s="24"/>
      <c r="Q2173" s="2"/>
      <c r="R2173" s="2"/>
    </row>
    <row r="2174" spans="1:18" ht="15.75" customHeight="1" x14ac:dyDescent="0.3">
      <c r="A2174" s="11"/>
      <c r="B2174" s="11"/>
      <c r="D2174" s="21"/>
      <c r="E2174" s="22"/>
      <c r="G2174" s="23"/>
      <c r="H2174" s="24"/>
      <c r="Q2174" s="2"/>
      <c r="R2174" s="2"/>
    </row>
    <row r="2175" spans="1:18" ht="15.75" customHeight="1" x14ac:dyDescent="0.3">
      <c r="A2175" s="11"/>
      <c r="B2175" s="11"/>
      <c r="D2175" s="21"/>
      <c r="E2175" s="22"/>
      <c r="G2175" s="23"/>
      <c r="H2175" s="24"/>
      <c r="Q2175" s="2"/>
      <c r="R2175" s="2"/>
    </row>
    <row r="2176" spans="1:18" ht="15.75" customHeight="1" x14ac:dyDescent="0.3">
      <c r="A2176" s="11"/>
      <c r="B2176" s="11"/>
      <c r="D2176" s="21"/>
      <c r="E2176" s="22"/>
      <c r="G2176" s="23"/>
      <c r="H2176" s="24"/>
      <c r="Q2176" s="2"/>
      <c r="R2176" s="2"/>
    </row>
    <row r="2177" spans="1:18" ht="15.75" customHeight="1" x14ac:dyDescent="0.3">
      <c r="A2177" s="11"/>
      <c r="B2177" s="11"/>
      <c r="D2177" s="21"/>
      <c r="E2177" s="22"/>
      <c r="G2177" s="23"/>
      <c r="H2177" s="24"/>
      <c r="Q2177" s="2"/>
      <c r="R2177" s="2"/>
    </row>
    <row r="2178" spans="1:18" ht="15.75" customHeight="1" x14ac:dyDescent="0.3">
      <c r="A2178" s="11"/>
      <c r="B2178" s="11"/>
      <c r="D2178" s="21"/>
      <c r="E2178" s="22"/>
      <c r="G2178" s="23"/>
      <c r="H2178" s="24"/>
      <c r="Q2178" s="2"/>
      <c r="R2178" s="2"/>
    </row>
    <row r="2179" spans="1:18" ht="15.75" customHeight="1" x14ac:dyDescent="0.3">
      <c r="A2179" s="11"/>
      <c r="B2179" s="11"/>
      <c r="D2179" s="21"/>
      <c r="E2179" s="22"/>
      <c r="G2179" s="23"/>
      <c r="H2179" s="24"/>
      <c r="Q2179" s="2"/>
      <c r="R2179" s="2"/>
    </row>
    <row r="2180" spans="1:18" ht="15.75" customHeight="1" x14ac:dyDescent="0.3">
      <c r="A2180" s="11"/>
      <c r="B2180" s="11"/>
      <c r="D2180" s="21"/>
      <c r="E2180" s="22"/>
      <c r="G2180" s="23"/>
      <c r="H2180" s="24"/>
      <c r="Q2180" s="2"/>
      <c r="R2180" s="2"/>
    </row>
    <row r="2181" spans="1:18" ht="15.75" customHeight="1" x14ac:dyDescent="0.3">
      <c r="A2181" s="11"/>
      <c r="B2181" s="11"/>
      <c r="D2181" s="21"/>
      <c r="E2181" s="22"/>
      <c r="G2181" s="23"/>
      <c r="H2181" s="24"/>
      <c r="Q2181" s="2"/>
      <c r="R2181" s="2"/>
    </row>
    <row r="2182" spans="1:18" ht="15.75" customHeight="1" x14ac:dyDescent="0.3">
      <c r="A2182" s="11"/>
      <c r="B2182" s="11"/>
      <c r="D2182" s="21"/>
      <c r="E2182" s="22"/>
      <c r="G2182" s="23"/>
      <c r="H2182" s="24"/>
      <c r="Q2182" s="2"/>
      <c r="R2182" s="2"/>
    </row>
    <row r="2183" spans="1:18" ht="15.75" customHeight="1" x14ac:dyDescent="0.3">
      <c r="A2183" s="11"/>
      <c r="B2183" s="11"/>
      <c r="D2183" s="21"/>
      <c r="E2183" s="22"/>
      <c r="G2183" s="23"/>
      <c r="H2183" s="24"/>
      <c r="Q2183" s="2"/>
      <c r="R2183" s="2"/>
    </row>
    <row r="2184" spans="1:18" ht="15.75" customHeight="1" x14ac:dyDescent="0.3">
      <c r="A2184" s="11"/>
      <c r="B2184" s="11"/>
      <c r="D2184" s="21"/>
      <c r="E2184" s="22"/>
      <c r="G2184" s="23"/>
      <c r="H2184" s="24"/>
      <c r="Q2184" s="2"/>
      <c r="R2184" s="2"/>
    </row>
    <row r="2185" spans="1:18" ht="15.75" customHeight="1" x14ac:dyDescent="0.3">
      <c r="A2185" s="11"/>
      <c r="B2185" s="11"/>
      <c r="D2185" s="21"/>
      <c r="E2185" s="22"/>
      <c r="G2185" s="23"/>
      <c r="H2185" s="24"/>
      <c r="Q2185" s="2"/>
      <c r="R2185" s="2"/>
    </row>
    <row r="2186" spans="1:18" ht="15.75" customHeight="1" x14ac:dyDescent="0.3">
      <c r="A2186" s="11"/>
      <c r="B2186" s="11"/>
      <c r="D2186" s="21"/>
      <c r="E2186" s="22"/>
      <c r="G2186" s="23"/>
      <c r="H2186" s="24"/>
      <c r="Q2186" s="2"/>
      <c r="R2186" s="2"/>
    </row>
    <row r="2187" spans="1:18" ht="15.75" customHeight="1" x14ac:dyDescent="0.3">
      <c r="A2187" s="11"/>
      <c r="B2187" s="11"/>
      <c r="D2187" s="21"/>
      <c r="E2187" s="22"/>
      <c r="G2187" s="23"/>
      <c r="H2187" s="24"/>
      <c r="Q2187" s="2"/>
      <c r="R2187" s="2"/>
    </row>
    <row r="2188" spans="1:18" ht="15.75" customHeight="1" x14ac:dyDescent="0.3">
      <c r="A2188" s="11"/>
      <c r="B2188" s="11"/>
      <c r="D2188" s="21"/>
      <c r="E2188" s="22"/>
      <c r="G2188" s="23"/>
      <c r="H2188" s="24"/>
      <c r="Q2188" s="2"/>
      <c r="R2188" s="2"/>
    </row>
    <row r="2189" spans="1:18" ht="15.75" customHeight="1" x14ac:dyDescent="0.3">
      <c r="A2189" s="11"/>
      <c r="B2189" s="11"/>
      <c r="D2189" s="21"/>
      <c r="E2189" s="22"/>
      <c r="G2189" s="23"/>
      <c r="H2189" s="24"/>
      <c r="Q2189" s="2"/>
      <c r="R2189" s="2"/>
    </row>
    <row r="2190" spans="1:18" ht="15.75" customHeight="1" x14ac:dyDescent="0.3">
      <c r="A2190" s="11"/>
      <c r="B2190" s="11"/>
      <c r="D2190" s="21"/>
      <c r="E2190" s="22"/>
      <c r="G2190" s="23"/>
      <c r="H2190" s="24"/>
      <c r="Q2190" s="2"/>
      <c r="R2190" s="2"/>
    </row>
    <row r="2191" spans="1:18" ht="15.75" customHeight="1" x14ac:dyDescent="0.3">
      <c r="A2191" s="11"/>
      <c r="B2191" s="11"/>
      <c r="D2191" s="21"/>
      <c r="E2191" s="22"/>
      <c r="G2191" s="23"/>
      <c r="H2191" s="24"/>
      <c r="Q2191" s="2"/>
      <c r="R2191" s="2"/>
    </row>
    <row r="2192" spans="1:18" ht="15.75" customHeight="1" x14ac:dyDescent="0.3">
      <c r="A2192" s="11"/>
      <c r="B2192" s="11"/>
      <c r="D2192" s="21"/>
      <c r="E2192" s="22"/>
      <c r="G2192" s="23"/>
      <c r="H2192" s="24"/>
      <c r="Q2192" s="2"/>
      <c r="R2192" s="2"/>
    </row>
    <row r="2193" spans="1:18" ht="15.75" customHeight="1" x14ac:dyDescent="0.3">
      <c r="A2193" s="11"/>
      <c r="B2193" s="11"/>
      <c r="D2193" s="21"/>
      <c r="E2193" s="22"/>
      <c r="G2193" s="23"/>
      <c r="H2193" s="24"/>
      <c r="Q2193" s="2"/>
      <c r="R2193" s="2"/>
    </row>
    <row r="2194" spans="1:18" ht="15.75" customHeight="1" x14ac:dyDescent="0.3">
      <c r="A2194" s="11"/>
      <c r="B2194" s="11"/>
      <c r="D2194" s="21"/>
      <c r="E2194" s="22"/>
      <c r="G2194" s="23"/>
      <c r="H2194" s="24"/>
      <c r="Q2194" s="2"/>
      <c r="R2194" s="2"/>
    </row>
    <row r="2195" spans="1:18" ht="15.75" customHeight="1" x14ac:dyDescent="0.3">
      <c r="A2195" s="11"/>
      <c r="B2195" s="11"/>
      <c r="D2195" s="21"/>
      <c r="E2195" s="22"/>
      <c r="G2195" s="23"/>
      <c r="H2195" s="24"/>
      <c r="Q2195" s="2"/>
      <c r="R2195" s="2"/>
    </row>
    <row r="2196" spans="1:18" ht="15.75" customHeight="1" x14ac:dyDescent="0.3">
      <c r="A2196" s="11"/>
      <c r="B2196" s="11"/>
      <c r="D2196" s="21"/>
      <c r="E2196" s="22"/>
      <c r="G2196" s="23"/>
      <c r="H2196" s="24"/>
      <c r="Q2196" s="2"/>
      <c r="R2196" s="2"/>
    </row>
    <row r="2197" spans="1:18" ht="15.75" customHeight="1" x14ac:dyDescent="0.3">
      <c r="A2197" s="11"/>
      <c r="B2197" s="11"/>
      <c r="D2197" s="21"/>
      <c r="E2197" s="22"/>
      <c r="G2197" s="23"/>
      <c r="H2197" s="24"/>
      <c r="Q2197" s="2"/>
      <c r="R2197" s="2"/>
    </row>
    <row r="2198" spans="1:18" ht="15.75" customHeight="1" x14ac:dyDescent="0.3">
      <c r="A2198" s="11"/>
      <c r="B2198" s="11"/>
      <c r="D2198" s="21"/>
      <c r="E2198" s="22"/>
      <c r="G2198" s="23"/>
      <c r="H2198" s="24"/>
      <c r="Q2198" s="2"/>
      <c r="R2198" s="2"/>
    </row>
    <row r="2199" spans="1:18" ht="15.75" customHeight="1" x14ac:dyDescent="0.3">
      <c r="A2199" s="11"/>
      <c r="B2199" s="11"/>
      <c r="D2199" s="21"/>
      <c r="E2199" s="22"/>
      <c r="G2199" s="23"/>
      <c r="H2199" s="24"/>
      <c r="Q2199" s="2"/>
      <c r="R2199" s="2"/>
    </row>
    <row r="2200" spans="1:18" ht="15.75" customHeight="1" x14ac:dyDescent="0.3">
      <c r="A2200" s="11"/>
      <c r="B2200" s="11"/>
      <c r="D2200" s="21"/>
      <c r="E2200" s="22"/>
      <c r="G2200" s="23"/>
      <c r="H2200" s="24"/>
      <c r="Q2200" s="2"/>
      <c r="R2200" s="2"/>
    </row>
    <row r="2201" spans="1:18" ht="15.75" customHeight="1" x14ac:dyDescent="0.3">
      <c r="A2201" s="11"/>
      <c r="B2201" s="11"/>
      <c r="D2201" s="21"/>
      <c r="E2201" s="22"/>
      <c r="G2201" s="23"/>
      <c r="H2201" s="24"/>
      <c r="Q2201" s="2"/>
      <c r="R2201" s="2"/>
    </row>
    <row r="2202" spans="1:18" ht="15.75" customHeight="1" x14ac:dyDescent="0.3">
      <c r="A2202" s="11"/>
      <c r="B2202" s="11"/>
      <c r="D2202" s="21"/>
      <c r="E2202" s="22"/>
      <c r="G2202" s="23"/>
      <c r="H2202" s="24"/>
      <c r="Q2202" s="2"/>
      <c r="R2202" s="2"/>
    </row>
    <row r="2203" spans="1:18" ht="15.75" customHeight="1" x14ac:dyDescent="0.3">
      <c r="A2203" s="11"/>
      <c r="B2203" s="11"/>
      <c r="D2203" s="21"/>
      <c r="E2203" s="22"/>
      <c r="G2203" s="23"/>
      <c r="H2203" s="24"/>
      <c r="Q2203" s="2"/>
      <c r="R2203" s="2"/>
    </row>
    <row r="2204" spans="1:18" ht="15.75" customHeight="1" x14ac:dyDescent="0.3">
      <c r="A2204" s="11"/>
      <c r="B2204" s="11"/>
      <c r="D2204" s="21"/>
      <c r="E2204" s="22"/>
      <c r="G2204" s="23"/>
      <c r="H2204" s="24"/>
      <c r="Q2204" s="2"/>
      <c r="R2204" s="2"/>
    </row>
    <row r="2205" spans="1:18" ht="15.75" customHeight="1" x14ac:dyDescent="0.3">
      <c r="A2205" s="11"/>
      <c r="B2205" s="11"/>
      <c r="D2205" s="21"/>
      <c r="E2205" s="22"/>
      <c r="G2205" s="23"/>
      <c r="H2205" s="24"/>
      <c r="Q2205" s="2"/>
      <c r="R2205" s="2"/>
    </row>
    <row r="2206" spans="1:18" ht="15.75" customHeight="1" x14ac:dyDescent="0.3">
      <c r="A2206" s="11"/>
      <c r="B2206" s="11"/>
      <c r="D2206" s="21"/>
      <c r="E2206" s="22"/>
      <c r="G2206" s="23"/>
      <c r="H2206" s="24"/>
      <c r="Q2206" s="2"/>
      <c r="R2206" s="2"/>
    </row>
    <row r="2207" spans="1:18" ht="15.75" customHeight="1" x14ac:dyDescent="0.3">
      <c r="A2207" s="11"/>
      <c r="B2207" s="11"/>
      <c r="D2207" s="21"/>
      <c r="E2207" s="22"/>
      <c r="G2207" s="23"/>
      <c r="H2207" s="24"/>
      <c r="Q2207" s="2"/>
      <c r="R2207" s="2"/>
    </row>
    <row r="2208" spans="1:18" ht="15.75" customHeight="1" x14ac:dyDescent="0.3">
      <c r="A2208" s="11"/>
      <c r="B2208" s="11"/>
      <c r="D2208" s="21"/>
      <c r="E2208" s="22"/>
      <c r="G2208" s="23"/>
      <c r="H2208" s="24"/>
      <c r="Q2208" s="2"/>
      <c r="R2208" s="2"/>
    </row>
    <row r="2209" spans="1:18" ht="15.75" customHeight="1" x14ac:dyDescent="0.3">
      <c r="A2209" s="11"/>
      <c r="B2209" s="11"/>
      <c r="D2209" s="21"/>
      <c r="E2209" s="22"/>
      <c r="G2209" s="23"/>
      <c r="H2209" s="24"/>
      <c r="Q2209" s="2"/>
      <c r="R2209" s="2"/>
    </row>
    <row r="2210" spans="1:18" ht="15.75" customHeight="1" x14ac:dyDescent="0.3">
      <c r="A2210" s="11"/>
      <c r="B2210" s="11"/>
      <c r="D2210" s="21"/>
      <c r="E2210" s="22"/>
      <c r="G2210" s="23"/>
      <c r="H2210" s="24"/>
      <c r="Q2210" s="2"/>
      <c r="R2210" s="2"/>
    </row>
    <row r="2211" spans="1:18" ht="15.75" customHeight="1" x14ac:dyDescent="0.3">
      <c r="A2211" s="11"/>
      <c r="B2211" s="11"/>
      <c r="D2211" s="21"/>
      <c r="E2211" s="22"/>
      <c r="G2211" s="23"/>
      <c r="H2211" s="24"/>
      <c r="Q2211" s="2"/>
      <c r="R2211" s="2"/>
    </row>
    <row r="2212" spans="1:18" ht="15.75" customHeight="1" x14ac:dyDescent="0.3">
      <c r="A2212" s="11"/>
      <c r="B2212" s="11"/>
      <c r="D2212" s="21"/>
      <c r="E2212" s="22"/>
      <c r="G2212" s="23"/>
      <c r="H2212" s="24"/>
      <c r="Q2212" s="2"/>
      <c r="R2212" s="2"/>
    </row>
    <row r="2213" spans="1:18" ht="15.75" customHeight="1" x14ac:dyDescent="0.3">
      <c r="A2213" s="11"/>
      <c r="B2213" s="11"/>
      <c r="D2213" s="21"/>
      <c r="E2213" s="22"/>
      <c r="G2213" s="23"/>
      <c r="H2213" s="24"/>
      <c r="Q2213" s="2"/>
      <c r="R2213" s="2"/>
    </row>
    <row r="2214" spans="1:18" ht="15.75" customHeight="1" x14ac:dyDescent="0.3">
      <c r="A2214" s="11"/>
      <c r="B2214" s="11"/>
      <c r="D2214" s="21"/>
      <c r="E2214" s="22"/>
      <c r="G2214" s="23"/>
      <c r="H2214" s="24"/>
      <c r="Q2214" s="2"/>
      <c r="R2214" s="2"/>
    </row>
    <row r="2215" spans="1:18" ht="15.75" customHeight="1" x14ac:dyDescent="0.3">
      <c r="A2215" s="11"/>
      <c r="B2215" s="11"/>
      <c r="D2215" s="21"/>
      <c r="E2215" s="22"/>
      <c r="G2215" s="23"/>
      <c r="H2215" s="24"/>
      <c r="Q2215" s="2"/>
      <c r="R2215" s="2"/>
    </row>
    <row r="2216" spans="1:18" ht="15.75" customHeight="1" x14ac:dyDescent="0.3">
      <c r="A2216" s="11"/>
      <c r="B2216" s="11"/>
      <c r="D2216" s="21"/>
      <c r="E2216" s="22"/>
      <c r="G2216" s="23"/>
      <c r="H2216" s="24"/>
      <c r="Q2216" s="2"/>
      <c r="R2216" s="2"/>
    </row>
    <row r="2217" spans="1:18" ht="15.75" customHeight="1" x14ac:dyDescent="0.3">
      <c r="A2217" s="11"/>
      <c r="B2217" s="11"/>
      <c r="D2217" s="21"/>
      <c r="E2217" s="22"/>
      <c r="G2217" s="23"/>
      <c r="H2217" s="24"/>
      <c r="Q2217" s="2"/>
      <c r="R2217" s="2"/>
    </row>
    <row r="2218" spans="1:18" ht="15.75" customHeight="1" x14ac:dyDescent="0.3">
      <c r="A2218" s="11"/>
      <c r="B2218" s="11"/>
      <c r="D2218" s="21"/>
      <c r="E2218" s="22"/>
      <c r="G2218" s="23"/>
      <c r="H2218" s="24"/>
      <c r="Q2218" s="2"/>
      <c r="R2218" s="2"/>
    </row>
    <row r="2219" spans="1:18" ht="15.75" customHeight="1" x14ac:dyDescent="0.3">
      <c r="A2219" s="11"/>
      <c r="B2219" s="11"/>
      <c r="D2219" s="21"/>
      <c r="E2219" s="22"/>
      <c r="G2219" s="23"/>
      <c r="H2219" s="24"/>
      <c r="Q2219" s="2"/>
      <c r="R2219" s="2"/>
    </row>
    <row r="2220" spans="1:18" ht="15.75" customHeight="1" x14ac:dyDescent="0.3">
      <c r="A2220" s="11"/>
      <c r="B2220" s="11"/>
      <c r="D2220" s="21"/>
      <c r="E2220" s="22"/>
      <c r="G2220" s="23"/>
      <c r="H2220" s="24"/>
      <c r="Q2220" s="2"/>
      <c r="R2220" s="2"/>
    </row>
    <row r="2221" spans="1:18" ht="15.75" customHeight="1" x14ac:dyDescent="0.3">
      <c r="A2221" s="11"/>
      <c r="B2221" s="11"/>
      <c r="D2221" s="21"/>
      <c r="E2221" s="22"/>
      <c r="G2221" s="23"/>
      <c r="H2221" s="24"/>
      <c r="Q2221" s="2"/>
      <c r="R2221" s="2"/>
    </row>
    <row r="2222" spans="1:18" ht="15.75" customHeight="1" x14ac:dyDescent="0.3">
      <c r="A2222" s="11"/>
      <c r="B2222" s="11"/>
      <c r="D2222" s="21"/>
      <c r="E2222" s="22"/>
      <c r="G2222" s="23"/>
      <c r="H2222" s="24"/>
      <c r="Q2222" s="2"/>
      <c r="R2222" s="2"/>
    </row>
    <row r="2223" spans="1:18" ht="15.75" customHeight="1" x14ac:dyDescent="0.3">
      <c r="A2223" s="11"/>
      <c r="B2223" s="11"/>
      <c r="D2223" s="21"/>
      <c r="E2223" s="22"/>
      <c r="G2223" s="23"/>
      <c r="H2223" s="24"/>
      <c r="Q2223" s="2"/>
      <c r="R2223" s="2"/>
    </row>
    <row r="2224" spans="1:18" ht="15.75" customHeight="1" x14ac:dyDescent="0.3">
      <c r="A2224" s="11"/>
      <c r="B2224" s="11"/>
      <c r="D2224" s="21"/>
      <c r="E2224" s="22"/>
      <c r="G2224" s="23"/>
      <c r="H2224" s="24"/>
      <c r="Q2224" s="2"/>
      <c r="R2224" s="2"/>
    </row>
    <row r="2225" spans="1:18" ht="15.75" customHeight="1" x14ac:dyDescent="0.3">
      <c r="A2225" s="11"/>
      <c r="B2225" s="11"/>
      <c r="D2225" s="21"/>
      <c r="E2225" s="22"/>
      <c r="G2225" s="23"/>
      <c r="H2225" s="24"/>
      <c r="Q2225" s="2"/>
      <c r="R2225" s="2"/>
    </row>
    <row r="2226" spans="1:18" ht="15.75" customHeight="1" x14ac:dyDescent="0.3">
      <c r="A2226" s="11"/>
      <c r="B2226" s="11"/>
      <c r="D2226" s="21"/>
      <c r="E2226" s="22"/>
      <c r="G2226" s="23"/>
      <c r="H2226" s="24"/>
      <c r="Q2226" s="2"/>
      <c r="R2226" s="2"/>
    </row>
    <row r="2227" spans="1:18" ht="15.75" customHeight="1" x14ac:dyDescent="0.3">
      <c r="A2227" s="11"/>
      <c r="B2227" s="11"/>
      <c r="D2227" s="21"/>
      <c r="E2227" s="22"/>
      <c r="G2227" s="23"/>
      <c r="H2227" s="24"/>
      <c r="Q2227" s="2"/>
      <c r="R2227" s="2"/>
    </row>
    <row r="2228" spans="1:18" ht="15.75" customHeight="1" x14ac:dyDescent="0.3">
      <c r="A2228" s="11"/>
      <c r="B2228" s="11"/>
      <c r="D2228" s="21"/>
      <c r="E2228" s="22"/>
      <c r="G2228" s="23"/>
      <c r="H2228" s="24"/>
      <c r="Q2228" s="2"/>
      <c r="R2228" s="2"/>
    </row>
    <row r="2229" spans="1:18" ht="15.75" customHeight="1" x14ac:dyDescent="0.3">
      <c r="A2229" s="11"/>
      <c r="B2229" s="11"/>
      <c r="D2229" s="21"/>
      <c r="E2229" s="22"/>
      <c r="G2229" s="23"/>
      <c r="H2229" s="24"/>
      <c r="Q2229" s="2"/>
      <c r="R2229" s="2"/>
    </row>
    <row r="2230" spans="1:18" ht="15.75" customHeight="1" x14ac:dyDescent="0.3">
      <c r="A2230" s="11"/>
      <c r="B2230" s="11"/>
      <c r="D2230" s="21"/>
      <c r="E2230" s="22"/>
      <c r="G2230" s="23"/>
      <c r="H2230" s="24"/>
      <c r="Q2230" s="2"/>
      <c r="R2230" s="2"/>
    </row>
    <row r="2231" spans="1:18" ht="15.75" customHeight="1" x14ac:dyDescent="0.3">
      <c r="A2231" s="11"/>
      <c r="B2231" s="11"/>
      <c r="D2231" s="21"/>
      <c r="E2231" s="22"/>
      <c r="G2231" s="23"/>
      <c r="H2231" s="24"/>
      <c r="Q2231" s="2"/>
      <c r="R2231" s="2"/>
    </row>
    <row r="2232" spans="1:18" ht="15.75" customHeight="1" x14ac:dyDescent="0.3">
      <c r="A2232" s="11"/>
      <c r="B2232" s="11"/>
      <c r="D2232" s="21"/>
      <c r="E2232" s="22"/>
      <c r="G2232" s="23"/>
      <c r="H2232" s="24"/>
      <c r="Q2232" s="2"/>
      <c r="R2232" s="2"/>
    </row>
    <row r="2233" spans="1:18" ht="15.75" customHeight="1" x14ac:dyDescent="0.3">
      <c r="A2233" s="11"/>
      <c r="B2233" s="11"/>
      <c r="D2233" s="21"/>
      <c r="E2233" s="22"/>
      <c r="G2233" s="23"/>
      <c r="H2233" s="24"/>
      <c r="Q2233" s="2"/>
      <c r="R2233" s="2"/>
    </row>
    <row r="2234" spans="1:18" ht="15.75" customHeight="1" x14ac:dyDescent="0.3">
      <c r="A2234" s="11"/>
      <c r="B2234" s="11"/>
      <c r="D2234" s="21"/>
      <c r="E2234" s="22"/>
      <c r="G2234" s="23"/>
      <c r="H2234" s="24"/>
      <c r="Q2234" s="2"/>
      <c r="R2234" s="2"/>
    </row>
    <row r="2235" spans="1:18" ht="15.75" customHeight="1" x14ac:dyDescent="0.3">
      <c r="A2235" s="11"/>
      <c r="B2235" s="11"/>
      <c r="D2235" s="21"/>
      <c r="E2235" s="22"/>
      <c r="G2235" s="23"/>
      <c r="H2235" s="24"/>
      <c r="Q2235" s="2"/>
      <c r="R2235" s="2"/>
    </row>
    <row r="2236" spans="1:18" ht="15.75" customHeight="1" x14ac:dyDescent="0.3">
      <c r="A2236" s="11"/>
      <c r="B2236" s="11"/>
      <c r="D2236" s="21"/>
      <c r="E2236" s="22"/>
      <c r="G2236" s="23"/>
      <c r="H2236" s="24"/>
      <c r="Q2236" s="2"/>
      <c r="R2236" s="2"/>
    </row>
    <row r="2237" spans="1:18" ht="15.75" customHeight="1" x14ac:dyDescent="0.3">
      <c r="A2237" s="11"/>
      <c r="B2237" s="11"/>
      <c r="D2237" s="21"/>
      <c r="E2237" s="22"/>
      <c r="G2237" s="23"/>
      <c r="H2237" s="24"/>
      <c r="Q2237" s="2"/>
      <c r="R2237" s="2"/>
    </row>
    <row r="2238" spans="1:18" ht="15.75" customHeight="1" x14ac:dyDescent="0.3">
      <c r="A2238" s="11"/>
      <c r="B2238" s="11"/>
      <c r="D2238" s="21"/>
      <c r="E2238" s="22"/>
      <c r="G2238" s="23"/>
      <c r="H2238" s="24"/>
      <c r="Q2238" s="2"/>
      <c r="R2238" s="2"/>
    </row>
    <row r="2239" spans="1:18" ht="15.75" customHeight="1" x14ac:dyDescent="0.3">
      <c r="A2239" s="11"/>
      <c r="B2239" s="11"/>
      <c r="D2239" s="21"/>
      <c r="E2239" s="22"/>
      <c r="G2239" s="23"/>
      <c r="H2239" s="24"/>
      <c r="Q2239" s="2"/>
      <c r="R2239" s="2"/>
    </row>
    <row r="2240" spans="1:18" ht="15.75" customHeight="1" x14ac:dyDescent="0.3">
      <c r="A2240" s="11"/>
      <c r="B2240" s="11"/>
      <c r="D2240" s="21"/>
      <c r="E2240" s="22"/>
      <c r="G2240" s="23"/>
      <c r="H2240" s="24"/>
      <c r="Q2240" s="2"/>
      <c r="R2240" s="2"/>
    </row>
    <row r="2241" spans="1:18" ht="15.75" customHeight="1" x14ac:dyDescent="0.3">
      <c r="A2241" s="11"/>
      <c r="B2241" s="11"/>
      <c r="D2241" s="21"/>
      <c r="E2241" s="22"/>
      <c r="G2241" s="23"/>
      <c r="H2241" s="24"/>
      <c r="Q2241" s="2"/>
      <c r="R2241" s="2"/>
    </row>
    <row r="2242" spans="1:18" ht="15.75" customHeight="1" x14ac:dyDescent="0.3">
      <c r="A2242" s="11"/>
      <c r="B2242" s="11"/>
      <c r="D2242" s="21"/>
      <c r="E2242" s="22"/>
      <c r="G2242" s="23"/>
      <c r="H2242" s="24"/>
      <c r="Q2242" s="2"/>
      <c r="R2242" s="2"/>
    </row>
    <row r="2243" spans="1:18" ht="15.75" customHeight="1" x14ac:dyDescent="0.3">
      <c r="A2243" s="11"/>
      <c r="B2243" s="11"/>
      <c r="D2243" s="21"/>
      <c r="E2243" s="22"/>
      <c r="G2243" s="23"/>
      <c r="H2243" s="24"/>
      <c r="Q2243" s="2"/>
      <c r="R2243" s="2"/>
    </row>
    <row r="2244" spans="1:18" ht="15.75" customHeight="1" x14ac:dyDescent="0.3">
      <c r="A2244" s="11"/>
      <c r="B2244" s="11"/>
      <c r="D2244" s="21"/>
      <c r="E2244" s="22"/>
      <c r="G2244" s="23"/>
      <c r="H2244" s="24"/>
      <c r="Q2244" s="2"/>
      <c r="R2244" s="2"/>
    </row>
    <row r="2245" spans="1:18" ht="15.75" customHeight="1" x14ac:dyDescent="0.3">
      <c r="A2245" s="11"/>
      <c r="B2245" s="11"/>
      <c r="D2245" s="21"/>
      <c r="E2245" s="22"/>
      <c r="G2245" s="23"/>
      <c r="H2245" s="24"/>
      <c r="Q2245" s="2"/>
      <c r="R2245" s="2"/>
    </row>
    <row r="2246" spans="1:18" ht="15.75" customHeight="1" x14ac:dyDescent="0.3">
      <c r="A2246" s="11"/>
      <c r="B2246" s="11"/>
      <c r="D2246" s="21"/>
      <c r="E2246" s="22"/>
      <c r="G2246" s="23"/>
      <c r="H2246" s="24"/>
      <c r="Q2246" s="2"/>
      <c r="R2246" s="2"/>
    </row>
    <row r="2247" spans="1:18" ht="15.75" customHeight="1" x14ac:dyDescent="0.3">
      <c r="A2247" s="11"/>
      <c r="B2247" s="11"/>
      <c r="D2247" s="21"/>
      <c r="E2247" s="22"/>
      <c r="G2247" s="23"/>
      <c r="H2247" s="24"/>
      <c r="Q2247" s="2"/>
      <c r="R2247" s="2"/>
    </row>
    <row r="2248" spans="1:18" ht="15.75" customHeight="1" x14ac:dyDescent="0.3">
      <c r="A2248" s="11"/>
      <c r="B2248" s="11"/>
      <c r="D2248" s="21"/>
      <c r="E2248" s="22"/>
      <c r="G2248" s="23"/>
      <c r="H2248" s="24"/>
      <c r="Q2248" s="2"/>
      <c r="R2248" s="2"/>
    </row>
    <row r="2249" spans="1:18" ht="15.75" customHeight="1" x14ac:dyDescent="0.3">
      <c r="A2249" s="11"/>
      <c r="B2249" s="11"/>
      <c r="D2249" s="21"/>
      <c r="E2249" s="22"/>
      <c r="G2249" s="23"/>
      <c r="H2249" s="24"/>
      <c r="Q2249" s="2"/>
      <c r="R2249" s="2"/>
    </row>
    <row r="2250" spans="1:18" ht="15.75" customHeight="1" x14ac:dyDescent="0.3">
      <c r="A2250" s="11"/>
      <c r="B2250" s="11"/>
      <c r="D2250" s="21"/>
      <c r="E2250" s="22"/>
      <c r="G2250" s="23"/>
      <c r="H2250" s="24"/>
      <c r="Q2250" s="2"/>
      <c r="R2250" s="2"/>
    </row>
    <row r="2251" spans="1:18" ht="15.75" customHeight="1" x14ac:dyDescent="0.3">
      <c r="A2251" s="11"/>
      <c r="B2251" s="11"/>
      <c r="D2251" s="21"/>
      <c r="E2251" s="22"/>
      <c r="G2251" s="23"/>
      <c r="H2251" s="24"/>
      <c r="Q2251" s="2"/>
      <c r="R2251" s="2"/>
    </row>
    <row r="2252" spans="1:18" ht="15.75" customHeight="1" x14ac:dyDescent="0.3">
      <c r="A2252" s="11"/>
      <c r="B2252" s="11"/>
      <c r="D2252" s="21"/>
      <c r="E2252" s="22"/>
      <c r="G2252" s="23"/>
      <c r="H2252" s="24"/>
      <c r="Q2252" s="2"/>
      <c r="R2252" s="2"/>
    </row>
    <row r="2253" spans="1:18" ht="15.75" customHeight="1" x14ac:dyDescent="0.3">
      <c r="A2253" s="11"/>
      <c r="B2253" s="11"/>
      <c r="D2253" s="21"/>
      <c r="E2253" s="22"/>
      <c r="G2253" s="23"/>
      <c r="H2253" s="24"/>
      <c r="Q2253" s="2"/>
      <c r="R2253" s="2"/>
    </row>
    <row r="2254" spans="1:18" ht="15.75" customHeight="1" x14ac:dyDescent="0.3">
      <c r="A2254" s="11"/>
      <c r="B2254" s="11"/>
      <c r="D2254" s="21"/>
      <c r="E2254" s="22"/>
      <c r="G2254" s="23"/>
      <c r="H2254" s="24"/>
      <c r="Q2254" s="2"/>
      <c r="R2254" s="2"/>
    </row>
    <row r="2255" spans="1:18" ht="15.75" customHeight="1" x14ac:dyDescent="0.3">
      <c r="A2255" s="11"/>
      <c r="B2255" s="11"/>
      <c r="D2255" s="21"/>
      <c r="E2255" s="22"/>
      <c r="G2255" s="23"/>
      <c r="H2255" s="24"/>
      <c r="Q2255" s="2"/>
      <c r="R2255" s="2"/>
    </row>
    <row r="2256" spans="1:18" ht="15.75" customHeight="1" x14ac:dyDescent="0.3">
      <c r="A2256" s="11"/>
      <c r="B2256" s="11"/>
      <c r="D2256" s="21"/>
      <c r="E2256" s="22"/>
      <c r="G2256" s="23"/>
      <c r="H2256" s="24"/>
      <c r="Q2256" s="2"/>
      <c r="R2256" s="2"/>
    </row>
    <row r="2257" spans="1:18" ht="15.75" customHeight="1" x14ac:dyDescent="0.3">
      <c r="A2257" s="11"/>
      <c r="B2257" s="11"/>
      <c r="D2257" s="21"/>
      <c r="E2257" s="22"/>
      <c r="G2257" s="23"/>
      <c r="H2257" s="24"/>
      <c r="Q2257" s="2"/>
      <c r="R2257" s="2"/>
    </row>
    <row r="2258" spans="1:18" ht="15.75" customHeight="1" x14ac:dyDescent="0.3">
      <c r="A2258" s="11"/>
      <c r="B2258" s="11"/>
      <c r="D2258" s="21"/>
      <c r="E2258" s="22"/>
      <c r="G2258" s="23"/>
      <c r="H2258" s="24"/>
      <c r="Q2258" s="2"/>
      <c r="R2258" s="2"/>
    </row>
    <row r="2259" spans="1:18" ht="15.75" customHeight="1" x14ac:dyDescent="0.3">
      <c r="A2259" s="11"/>
      <c r="B2259" s="11"/>
      <c r="D2259" s="21"/>
      <c r="E2259" s="22"/>
      <c r="G2259" s="23"/>
      <c r="H2259" s="24"/>
      <c r="Q2259" s="2"/>
      <c r="R2259" s="2"/>
    </row>
    <row r="2260" spans="1:18" ht="15.75" customHeight="1" x14ac:dyDescent="0.3">
      <c r="A2260" s="11"/>
      <c r="B2260" s="11"/>
      <c r="D2260" s="21"/>
      <c r="E2260" s="22"/>
      <c r="G2260" s="23"/>
      <c r="H2260" s="24"/>
      <c r="Q2260" s="2"/>
      <c r="R2260" s="2"/>
    </row>
    <row r="2261" spans="1:18" ht="15.75" customHeight="1" x14ac:dyDescent="0.3">
      <c r="A2261" s="11"/>
      <c r="B2261" s="11"/>
      <c r="D2261" s="21"/>
      <c r="E2261" s="22"/>
      <c r="G2261" s="23"/>
      <c r="H2261" s="24"/>
      <c r="Q2261" s="2"/>
      <c r="R2261" s="2"/>
    </row>
    <row r="2262" spans="1:18" ht="15.75" customHeight="1" x14ac:dyDescent="0.3">
      <c r="A2262" s="11"/>
      <c r="B2262" s="11"/>
      <c r="D2262" s="21"/>
      <c r="E2262" s="22"/>
      <c r="G2262" s="23"/>
      <c r="H2262" s="24"/>
      <c r="Q2262" s="2"/>
      <c r="R2262" s="2"/>
    </row>
    <row r="2263" spans="1:18" ht="15.75" customHeight="1" x14ac:dyDescent="0.3">
      <c r="A2263" s="11"/>
      <c r="B2263" s="11"/>
      <c r="D2263" s="21"/>
      <c r="E2263" s="22"/>
      <c r="G2263" s="23"/>
      <c r="H2263" s="24"/>
      <c r="Q2263" s="2"/>
      <c r="R2263" s="2"/>
    </row>
    <row r="2264" spans="1:18" ht="15.75" customHeight="1" x14ac:dyDescent="0.3">
      <c r="A2264" s="11"/>
      <c r="B2264" s="11"/>
      <c r="D2264" s="21"/>
      <c r="E2264" s="22"/>
      <c r="G2264" s="23"/>
      <c r="H2264" s="24"/>
      <c r="Q2264" s="2"/>
      <c r="R2264" s="2"/>
    </row>
    <row r="2265" spans="1:18" ht="15.75" customHeight="1" x14ac:dyDescent="0.3">
      <c r="A2265" s="11"/>
      <c r="B2265" s="11"/>
      <c r="D2265" s="21"/>
      <c r="E2265" s="22"/>
      <c r="G2265" s="23"/>
      <c r="H2265" s="24"/>
      <c r="Q2265" s="2"/>
      <c r="R2265" s="2"/>
    </row>
    <row r="2266" spans="1:18" ht="15.75" customHeight="1" x14ac:dyDescent="0.3">
      <c r="A2266" s="11"/>
      <c r="B2266" s="11"/>
      <c r="D2266" s="21"/>
      <c r="E2266" s="22"/>
      <c r="G2266" s="23"/>
      <c r="H2266" s="24"/>
      <c r="Q2266" s="2"/>
      <c r="R2266" s="2"/>
    </row>
    <row r="2267" spans="1:18" ht="15.75" customHeight="1" x14ac:dyDescent="0.3">
      <c r="A2267" s="11"/>
      <c r="B2267" s="11"/>
      <c r="D2267" s="21"/>
      <c r="E2267" s="22"/>
      <c r="G2267" s="23"/>
      <c r="H2267" s="24"/>
      <c r="Q2267" s="2"/>
      <c r="R2267" s="2"/>
    </row>
    <row r="2268" spans="1:18" ht="15.75" customHeight="1" x14ac:dyDescent="0.3">
      <c r="A2268" s="11"/>
      <c r="B2268" s="11"/>
      <c r="D2268" s="21"/>
      <c r="E2268" s="22"/>
      <c r="G2268" s="23"/>
      <c r="H2268" s="24"/>
      <c r="Q2268" s="2"/>
      <c r="R2268" s="2"/>
    </row>
    <row r="2269" spans="1:18" ht="15.75" customHeight="1" x14ac:dyDescent="0.3">
      <c r="A2269" s="11"/>
      <c r="B2269" s="11"/>
      <c r="D2269" s="21"/>
      <c r="E2269" s="22"/>
      <c r="G2269" s="23"/>
      <c r="H2269" s="24"/>
      <c r="Q2269" s="2"/>
      <c r="R2269" s="2"/>
    </row>
    <row r="2270" spans="1:18" ht="15.75" customHeight="1" x14ac:dyDescent="0.3">
      <c r="A2270" s="11"/>
      <c r="B2270" s="11"/>
      <c r="D2270" s="21"/>
      <c r="E2270" s="22"/>
      <c r="G2270" s="23"/>
      <c r="H2270" s="24"/>
      <c r="Q2270" s="2"/>
      <c r="R2270" s="2"/>
    </row>
    <row r="2271" spans="1:18" ht="15.75" customHeight="1" x14ac:dyDescent="0.3">
      <c r="A2271" s="11"/>
      <c r="B2271" s="11"/>
      <c r="D2271" s="21"/>
      <c r="E2271" s="22"/>
      <c r="G2271" s="23"/>
      <c r="H2271" s="24"/>
      <c r="Q2271" s="2"/>
      <c r="R2271" s="2"/>
    </row>
    <row r="2272" spans="1:18" ht="15.75" customHeight="1" x14ac:dyDescent="0.3">
      <c r="A2272" s="11"/>
      <c r="B2272" s="11"/>
      <c r="D2272" s="21"/>
      <c r="E2272" s="22"/>
      <c r="G2272" s="23"/>
      <c r="H2272" s="24"/>
      <c r="Q2272" s="2"/>
      <c r="R2272" s="2"/>
    </row>
    <row r="2273" spans="1:18" ht="15.75" customHeight="1" x14ac:dyDescent="0.3">
      <c r="A2273" s="11"/>
      <c r="B2273" s="11"/>
      <c r="D2273" s="21"/>
      <c r="E2273" s="22"/>
      <c r="G2273" s="23"/>
      <c r="H2273" s="24"/>
      <c r="Q2273" s="2"/>
      <c r="R2273" s="2"/>
    </row>
    <row r="2274" spans="1:18" ht="15.75" customHeight="1" x14ac:dyDescent="0.3">
      <c r="A2274" s="11"/>
      <c r="B2274" s="11"/>
      <c r="D2274" s="21"/>
      <c r="E2274" s="22"/>
      <c r="G2274" s="23"/>
      <c r="H2274" s="24"/>
      <c r="Q2274" s="2"/>
      <c r="R2274" s="2"/>
    </row>
    <row r="2275" spans="1:18" ht="15.75" customHeight="1" x14ac:dyDescent="0.3">
      <c r="A2275" s="11"/>
      <c r="B2275" s="11"/>
      <c r="D2275" s="21"/>
      <c r="E2275" s="22"/>
      <c r="G2275" s="23"/>
      <c r="H2275" s="24"/>
      <c r="Q2275" s="2"/>
      <c r="R2275" s="2"/>
    </row>
    <row r="2276" spans="1:18" ht="15.75" customHeight="1" x14ac:dyDescent="0.3">
      <c r="A2276" s="11"/>
      <c r="B2276" s="11"/>
      <c r="D2276" s="21"/>
      <c r="E2276" s="22"/>
      <c r="G2276" s="23"/>
      <c r="H2276" s="24"/>
      <c r="Q2276" s="2"/>
      <c r="R2276" s="2"/>
    </row>
    <row r="2277" spans="1:18" ht="15.75" customHeight="1" x14ac:dyDescent="0.3">
      <c r="A2277" s="11"/>
      <c r="B2277" s="11"/>
      <c r="D2277" s="21"/>
      <c r="E2277" s="22"/>
      <c r="G2277" s="23"/>
      <c r="H2277" s="24"/>
      <c r="Q2277" s="2"/>
      <c r="R2277" s="2"/>
    </row>
    <row r="2278" spans="1:18" ht="15.75" customHeight="1" x14ac:dyDescent="0.3">
      <c r="A2278" s="11"/>
      <c r="B2278" s="11"/>
      <c r="D2278" s="21"/>
      <c r="E2278" s="22"/>
      <c r="G2278" s="23"/>
      <c r="H2278" s="24"/>
      <c r="Q2278" s="2"/>
      <c r="R2278" s="2"/>
    </row>
    <row r="2279" spans="1:18" ht="15.75" customHeight="1" x14ac:dyDescent="0.3">
      <c r="A2279" s="11"/>
      <c r="B2279" s="11"/>
      <c r="D2279" s="21"/>
      <c r="E2279" s="22"/>
      <c r="G2279" s="23"/>
      <c r="H2279" s="24"/>
      <c r="Q2279" s="2"/>
      <c r="R2279" s="2"/>
    </row>
    <row r="2280" spans="1:18" ht="15.75" customHeight="1" x14ac:dyDescent="0.3">
      <c r="A2280" s="11"/>
      <c r="B2280" s="11"/>
      <c r="D2280" s="21"/>
      <c r="E2280" s="22"/>
      <c r="G2280" s="23"/>
      <c r="H2280" s="24"/>
      <c r="Q2280" s="2"/>
      <c r="R2280" s="2"/>
    </row>
    <row r="2281" spans="1:18" ht="15.75" customHeight="1" x14ac:dyDescent="0.3">
      <c r="A2281" s="11"/>
      <c r="B2281" s="11"/>
      <c r="D2281" s="21"/>
      <c r="E2281" s="22"/>
      <c r="G2281" s="23"/>
      <c r="H2281" s="24"/>
      <c r="Q2281" s="2"/>
      <c r="R2281" s="2"/>
    </row>
    <row r="2282" spans="1:18" ht="15.75" customHeight="1" x14ac:dyDescent="0.3">
      <c r="A2282" s="11"/>
      <c r="B2282" s="11"/>
      <c r="D2282" s="21"/>
      <c r="E2282" s="22"/>
      <c r="G2282" s="23"/>
      <c r="H2282" s="24"/>
      <c r="Q2282" s="2"/>
      <c r="R2282" s="2"/>
    </row>
    <row r="2283" spans="1:18" ht="15.75" customHeight="1" x14ac:dyDescent="0.3">
      <c r="A2283" s="11"/>
      <c r="B2283" s="11"/>
      <c r="D2283" s="21"/>
      <c r="E2283" s="22"/>
      <c r="G2283" s="23"/>
      <c r="H2283" s="24"/>
      <c r="Q2283" s="2"/>
      <c r="R2283" s="2"/>
    </row>
    <row r="2284" spans="1:18" ht="15.75" customHeight="1" x14ac:dyDescent="0.3">
      <c r="A2284" s="11"/>
      <c r="B2284" s="11"/>
      <c r="D2284" s="21"/>
      <c r="E2284" s="22"/>
      <c r="G2284" s="23"/>
      <c r="H2284" s="24"/>
      <c r="Q2284" s="2"/>
      <c r="R2284" s="2"/>
    </row>
    <row r="2285" spans="1:18" ht="15.75" customHeight="1" x14ac:dyDescent="0.3">
      <c r="A2285" s="11"/>
      <c r="B2285" s="11"/>
      <c r="D2285" s="21"/>
      <c r="E2285" s="22"/>
      <c r="G2285" s="23"/>
      <c r="H2285" s="24"/>
      <c r="Q2285" s="2"/>
      <c r="R2285" s="2"/>
    </row>
    <row r="2286" spans="1:18" ht="15.75" customHeight="1" x14ac:dyDescent="0.3">
      <c r="A2286" s="11"/>
      <c r="B2286" s="11"/>
      <c r="D2286" s="21"/>
      <c r="E2286" s="22"/>
      <c r="G2286" s="23"/>
      <c r="H2286" s="24"/>
      <c r="Q2286" s="2"/>
      <c r="R2286" s="2"/>
    </row>
    <row r="2287" spans="1:18" ht="15.75" customHeight="1" x14ac:dyDescent="0.3">
      <c r="A2287" s="11"/>
      <c r="B2287" s="11"/>
      <c r="D2287" s="21"/>
      <c r="E2287" s="22"/>
      <c r="G2287" s="23"/>
      <c r="H2287" s="24"/>
      <c r="Q2287" s="2"/>
      <c r="R2287" s="2"/>
    </row>
    <row r="2288" spans="1:18" ht="15.75" customHeight="1" x14ac:dyDescent="0.3">
      <c r="A2288" s="11"/>
      <c r="B2288" s="11"/>
      <c r="D2288" s="21"/>
      <c r="E2288" s="22"/>
      <c r="G2288" s="23"/>
      <c r="H2288" s="24"/>
      <c r="Q2288" s="2"/>
      <c r="R2288" s="2"/>
    </row>
    <row r="2289" spans="1:18" ht="15.75" customHeight="1" x14ac:dyDescent="0.3">
      <c r="A2289" s="11"/>
      <c r="B2289" s="11"/>
      <c r="D2289" s="21"/>
      <c r="E2289" s="22"/>
      <c r="G2289" s="23"/>
      <c r="H2289" s="24"/>
      <c r="Q2289" s="2"/>
      <c r="R2289" s="2"/>
    </row>
    <row r="2290" spans="1:18" ht="15.75" customHeight="1" x14ac:dyDescent="0.3">
      <c r="A2290" s="11"/>
      <c r="B2290" s="11"/>
      <c r="D2290" s="21"/>
      <c r="E2290" s="22"/>
      <c r="G2290" s="23"/>
      <c r="H2290" s="24"/>
      <c r="Q2290" s="2"/>
      <c r="R2290" s="2"/>
    </row>
    <row r="2291" spans="1:18" ht="15.75" customHeight="1" x14ac:dyDescent="0.3">
      <c r="A2291" s="11"/>
      <c r="B2291" s="11"/>
      <c r="D2291" s="21"/>
      <c r="E2291" s="22"/>
      <c r="G2291" s="23"/>
      <c r="H2291" s="24"/>
      <c r="Q2291" s="2"/>
      <c r="R2291" s="2"/>
    </row>
    <row r="2292" spans="1:18" ht="15.75" customHeight="1" x14ac:dyDescent="0.3">
      <c r="A2292" s="11"/>
      <c r="B2292" s="11"/>
      <c r="D2292" s="21"/>
      <c r="E2292" s="22"/>
      <c r="G2292" s="23"/>
      <c r="H2292" s="24"/>
      <c r="Q2292" s="2"/>
      <c r="R2292" s="2"/>
    </row>
    <row r="2293" spans="1:18" ht="15.75" customHeight="1" x14ac:dyDescent="0.3">
      <c r="A2293" s="11"/>
      <c r="B2293" s="11"/>
      <c r="D2293" s="21"/>
      <c r="E2293" s="22"/>
      <c r="G2293" s="23"/>
      <c r="H2293" s="24"/>
      <c r="Q2293" s="2"/>
      <c r="R2293" s="2"/>
    </row>
    <row r="2294" spans="1:18" ht="15.75" customHeight="1" x14ac:dyDescent="0.3">
      <c r="A2294" s="11"/>
      <c r="B2294" s="11"/>
      <c r="D2294" s="21"/>
      <c r="E2294" s="22"/>
      <c r="G2294" s="23"/>
      <c r="H2294" s="24"/>
      <c r="Q2294" s="2"/>
      <c r="R2294" s="2"/>
    </row>
    <row r="2295" spans="1:18" ht="15.75" customHeight="1" x14ac:dyDescent="0.3">
      <c r="A2295" s="11"/>
      <c r="B2295" s="11"/>
      <c r="D2295" s="21"/>
      <c r="E2295" s="22"/>
      <c r="G2295" s="23"/>
      <c r="H2295" s="24"/>
      <c r="Q2295" s="2"/>
      <c r="R2295" s="2"/>
    </row>
    <row r="2296" spans="1:18" ht="15.75" customHeight="1" x14ac:dyDescent="0.3">
      <c r="A2296" s="11"/>
      <c r="B2296" s="11"/>
      <c r="D2296" s="21"/>
      <c r="E2296" s="22"/>
      <c r="G2296" s="23"/>
      <c r="H2296" s="24"/>
      <c r="Q2296" s="2"/>
      <c r="R2296" s="2"/>
    </row>
    <row r="2297" spans="1:18" ht="15.75" customHeight="1" x14ac:dyDescent="0.3">
      <c r="A2297" s="11"/>
      <c r="B2297" s="11"/>
      <c r="D2297" s="21"/>
      <c r="E2297" s="22"/>
      <c r="G2297" s="23"/>
      <c r="H2297" s="24"/>
      <c r="Q2297" s="2"/>
      <c r="R2297" s="2"/>
    </row>
    <row r="2298" spans="1:18" ht="15.75" customHeight="1" x14ac:dyDescent="0.3">
      <c r="A2298" s="11"/>
      <c r="B2298" s="11"/>
      <c r="D2298" s="21"/>
      <c r="E2298" s="22"/>
      <c r="G2298" s="23"/>
      <c r="H2298" s="24"/>
      <c r="Q2298" s="2"/>
      <c r="R2298" s="2"/>
    </row>
    <row r="2299" spans="1:18" ht="15.75" customHeight="1" x14ac:dyDescent="0.3">
      <c r="A2299" s="11"/>
      <c r="B2299" s="11"/>
      <c r="D2299" s="21"/>
      <c r="E2299" s="22"/>
      <c r="G2299" s="23"/>
      <c r="H2299" s="24"/>
      <c r="Q2299" s="2"/>
      <c r="R2299" s="2"/>
    </row>
    <row r="2300" spans="1:18" ht="15.75" customHeight="1" x14ac:dyDescent="0.3">
      <c r="A2300" s="11"/>
      <c r="B2300" s="11"/>
      <c r="D2300" s="21"/>
      <c r="E2300" s="22"/>
      <c r="G2300" s="23"/>
      <c r="H2300" s="24"/>
      <c r="Q2300" s="2"/>
      <c r="R2300" s="2"/>
    </row>
    <row r="2301" spans="1:18" ht="15.75" customHeight="1" x14ac:dyDescent="0.3">
      <c r="A2301" s="11"/>
      <c r="B2301" s="11"/>
      <c r="D2301" s="21"/>
      <c r="E2301" s="22"/>
      <c r="G2301" s="23"/>
      <c r="H2301" s="24"/>
      <c r="Q2301" s="2"/>
      <c r="R2301" s="2"/>
    </row>
    <row r="2302" spans="1:18" ht="15.75" customHeight="1" x14ac:dyDescent="0.3">
      <c r="A2302" s="11"/>
      <c r="B2302" s="11"/>
      <c r="D2302" s="21"/>
      <c r="E2302" s="22"/>
      <c r="G2302" s="23"/>
      <c r="H2302" s="24"/>
      <c r="Q2302" s="2"/>
      <c r="R2302" s="2"/>
    </row>
    <row r="2303" spans="1:18" ht="15.75" customHeight="1" x14ac:dyDescent="0.3">
      <c r="A2303" s="11"/>
      <c r="B2303" s="11"/>
      <c r="D2303" s="21"/>
      <c r="E2303" s="22"/>
      <c r="G2303" s="23"/>
      <c r="H2303" s="24"/>
      <c r="Q2303" s="2"/>
      <c r="R2303" s="2"/>
    </row>
    <row r="2304" spans="1:18" ht="15.75" customHeight="1" x14ac:dyDescent="0.3">
      <c r="A2304" s="11"/>
      <c r="B2304" s="11"/>
      <c r="D2304" s="21"/>
      <c r="E2304" s="22"/>
      <c r="G2304" s="23"/>
      <c r="H2304" s="24"/>
      <c r="Q2304" s="2"/>
      <c r="R2304" s="2"/>
    </row>
    <row r="2305" spans="1:18" ht="15.75" customHeight="1" x14ac:dyDescent="0.3">
      <c r="A2305" s="11"/>
      <c r="B2305" s="11"/>
      <c r="D2305" s="21"/>
      <c r="E2305" s="22"/>
      <c r="G2305" s="23"/>
      <c r="H2305" s="24"/>
      <c r="Q2305" s="2"/>
      <c r="R2305" s="2"/>
    </row>
    <row r="2306" spans="1:18" ht="15.75" customHeight="1" x14ac:dyDescent="0.3">
      <c r="A2306" s="11"/>
      <c r="B2306" s="11"/>
      <c r="D2306" s="21"/>
      <c r="E2306" s="22"/>
      <c r="G2306" s="23"/>
      <c r="H2306" s="24"/>
      <c r="Q2306" s="2"/>
      <c r="R2306" s="2"/>
    </row>
    <row r="2307" spans="1:18" ht="15.75" customHeight="1" x14ac:dyDescent="0.3">
      <c r="A2307" s="11"/>
      <c r="B2307" s="11"/>
      <c r="D2307" s="21"/>
      <c r="E2307" s="22"/>
      <c r="G2307" s="23"/>
      <c r="H2307" s="24"/>
      <c r="Q2307" s="2"/>
      <c r="R2307" s="2"/>
    </row>
    <row r="2308" spans="1:18" ht="15.75" customHeight="1" x14ac:dyDescent="0.3">
      <c r="A2308" s="11"/>
      <c r="B2308" s="11"/>
      <c r="D2308" s="21"/>
      <c r="E2308" s="22"/>
      <c r="G2308" s="23"/>
      <c r="H2308" s="24"/>
      <c r="Q2308" s="2"/>
      <c r="R2308" s="2"/>
    </row>
    <row r="2309" spans="1:18" ht="15.75" customHeight="1" x14ac:dyDescent="0.3">
      <c r="A2309" s="11"/>
      <c r="B2309" s="11"/>
      <c r="D2309" s="21"/>
      <c r="E2309" s="22"/>
      <c r="G2309" s="23"/>
      <c r="H2309" s="24"/>
      <c r="Q2309" s="2"/>
      <c r="R2309" s="2"/>
    </row>
    <row r="2310" spans="1:18" ht="15.75" customHeight="1" x14ac:dyDescent="0.3">
      <c r="A2310" s="11"/>
      <c r="B2310" s="11"/>
      <c r="D2310" s="21"/>
      <c r="E2310" s="22"/>
      <c r="G2310" s="23"/>
      <c r="H2310" s="24"/>
      <c r="Q2310" s="2"/>
      <c r="R2310" s="2"/>
    </row>
    <row r="2311" spans="1:18" ht="15.75" customHeight="1" x14ac:dyDescent="0.3">
      <c r="A2311" s="11"/>
      <c r="B2311" s="11"/>
      <c r="D2311" s="21"/>
      <c r="E2311" s="22"/>
      <c r="G2311" s="23"/>
      <c r="H2311" s="24"/>
      <c r="Q2311" s="2"/>
      <c r="R2311" s="2"/>
    </row>
    <row r="2312" spans="1:18" ht="15.75" customHeight="1" x14ac:dyDescent="0.3">
      <c r="A2312" s="11"/>
      <c r="B2312" s="11"/>
      <c r="D2312" s="21"/>
      <c r="E2312" s="22"/>
      <c r="G2312" s="23"/>
      <c r="H2312" s="24"/>
      <c r="Q2312" s="2"/>
      <c r="R2312" s="2"/>
    </row>
    <row r="2313" spans="1:18" ht="15.75" customHeight="1" x14ac:dyDescent="0.3">
      <c r="A2313" s="11"/>
      <c r="B2313" s="11"/>
      <c r="D2313" s="21"/>
      <c r="E2313" s="22"/>
      <c r="G2313" s="23"/>
      <c r="H2313" s="24"/>
      <c r="Q2313" s="2"/>
      <c r="R2313" s="2"/>
    </row>
    <row r="2314" spans="1:18" ht="15.75" customHeight="1" x14ac:dyDescent="0.3">
      <c r="A2314" s="11"/>
      <c r="B2314" s="11"/>
      <c r="D2314" s="21"/>
      <c r="E2314" s="22"/>
      <c r="G2314" s="23"/>
      <c r="H2314" s="24"/>
      <c r="Q2314" s="2"/>
      <c r="R2314" s="2"/>
    </row>
    <row r="2315" spans="1:18" ht="15.75" customHeight="1" x14ac:dyDescent="0.3">
      <c r="A2315" s="11"/>
      <c r="B2315" s="11"/>
      <c r="D2315" s="21"/>
      <c r="E2315" s="22"/>
      <c r="G2315" s="23"/>
      <c r="H2315" s="24"/>
      <c r="Q2315" s="2"/>
      <c r="R2315" s="2"/>
    </row>
    <row r="2316" spans="1:18" ht="15.75" customHeight="1" x14ac:dyDescent="0.3">
      <c r="A2316" s="11"/>
      <c r="B2316" s="11"/>
      <c r="D2316" s="21"/>
      <c r="E2316" s="22"/>
      <c r="G2316" s="23"/>
      <c r="H2316" s="24"/>
      <c r="Q2316" s="2"/>
      <c r="R2316" s="2"/>
    </row>
    <row r="2317" spans="1:18" ht="15.75" customHeight="1" x14ac:dyDescent="0.3">
      <c r="A2317" s="11"/>
      <c r="B2317" s="11"/>
      <c r="D2317" s="21"/>
      <c r="E2317" s="22"/>
      <c r="G2317" s="23"/>
      <c r="H2317" s="24"/>
      <c r="Q2317" s="2"/>
      <c r="R2317" s="2"/>
    </row>
    <row r="2318" spans="1:18" ht="15.75" customHeight="1" x14ac:dyDescent="0.3">
      <c r="A2318" s="11"/>
      <c r="B2318" s="11"/>
      <c r="D2318" s="21"/>
      <c r="E2318" s="22"/>
      <c r="G2318" s="23"/>
      <c r="H2318" s="24"/>
      <c r="Q2318" s="2"/>
      <c r="R2318" s="2"/>
    </row>
    <row r="2319" spans="1:18" ht="15.75" customHeight="1" x14ac:dyDescent="0.3">
      <c r="A2319" s="11"/>
      <c r="B2319" s="11"/>
      <c r="D2319" s="21"/>
      <c r="E2319" s="22"/>
      <c r="G2319" s="23"/>
      <c r="H2319" s="24"/>
      <c r="Q2319" s="2"/>
      <c r="R2319" s="2"/>
    </row>
    <row r="2320" spans="1:18" ht="15.75" customHeight="1" x14ac:dyDescent="0.3">
      <c r="A2320" s="11"/>
      <c r="B2320" s="11"/>
      <c r="D2320" s="21"/>
      <c r="E2320" s="22"/>
      <c r="G2320" s="23"/>
      <c r="H2320" s="24"/>
      <c r="Q2320" s="2"/>
      <c r="R2320" s="2"/>
    </row>
    <row r="2321" spans="1:18" ht="15.75" customHeight="1" x14ac:dyDescent="0.3">
      <c r="A2321" s="11"/>
      <c r="B2321" s="11"/>
      <c r="D2321" s="21"/>
      <c r="E2321" s="22"/>
      <c r="G2321" s="23"/>
      <c r="H2321" s="24"/>
      <c r="Q2321" s="2"/>
      <c r="R2321" s="2"/>
    </row>
    <row r="2322" spans="1:18" ht="15.75" customHeight="1" x14ac:dyDescent="0.3">
      <c r="A2322" s="11"/>
      <c r="B2322" s="11"/>
      <c r="D2322" s="21"/>
      <c r="E2322" s="22"/>
      <c r="G2322" s="23"/>
      <c r="H2322" s="24"/>
      <c r="Q2322" s="2"/>
      <c r="R2322" s="2"/>
    </row>
    <row r="2323" spans="1:18" ht="15.75" customHeight="1" x14ac:dyDescent="0.3">
      <c r="A2323" s="11"/>
      <c r="B2323" s="11"/>
      <c r="D2323" s="21"/>
      <c r="E2323" s="22"/>
      <c r="G2323" s="23"/>
      <c r="H2323" s="24"/>
      <c r="Q2323" s="2"/>
      <c r="R2323" s="2"/>
    </row>
    <row r="2324" spans="1:18" ht="15.75" customHeight="1" x14ac:dyDescent="0.3">
      <c r="A2324" s="11"/>
      <c r="B2324" s="11"/>
      <c r="D2324" s="21"/>
      <c r="E2324" s="22"/>
      <c r="G2324" s="23"/>
      <c r="H2324" s="24"/>
      <c r="Q2324" s="2"/>
      <c r="R2324" s="2"/>
    </row>
    <row r="2325" spans="1:18" ht="15.75" customHeight="1" x14ac:dyDescent="0.3">
      <c r="A2325" s="11"/>
      <c r="B2325" s="11"/>
      <c r="D2325" s="21"/>
      <c r="E2325" s="22"/>
      <c r="G2325" s="23"/>
      <c r="H2325" s="24"/>
      <c r="Q2325" s="2"/>
      <c r="R2325" s="2"/>
    </row>
    <row r="2326" spans="1:18" ht="15.75" customHeight="1" x14ac:dyDescent="0.3">
      <c r="A2326" s="11"/>
      <c r="B2326" s="11"/>
      <c r="D2326" s="21"/>
      <c r="E2326" s="22"/>
      <c r="G2326" s="23"/>
      <c r="H2326" s="24"/>
      <c r="Q2326" s="2"/>
      <c r="R2326" s="2"/>
    </row>
    <row r="2327" spans="1:18" ht="15.75" customHeight="1" x14ac:dyDescent="0.3">
      <c r="A2327" s="11"/>
      <c r="B2327" s="11"/>
      <c r="D2327" s="21"/>
      <c r="E2327" s="22"/>
      <c r="G2327" s="23"/>
      <c r="H2327" s="24"/>
      <c r="Q2327" s="2"/>
      <c r="R2327" s="2"/>
    </row>
    <row r="2328" spans="1:18" ht="15.75" customHeight="1" x14ac:dyDescent="0.3">
      <c r="A2328" s="11"/>
      <c r="B2328" s="11"/>
      <c r="D2328" s="21"/>
      <c r="E2328" s="22"/>
      <c r="G2328" s="23"/>
      <c r="H2328" s="24"/>
      <c r="Q2328" s="2"/>
      <c r="R2328" s="2"/>
    </row>
    <row r="2329" spans="1:18" ht="15.75" customHeight="1" x14ac:dyDescent="0.3">
      <c r="A2329" s="11"/>
      <c r="B2329" s="11"/>
      <c r="D2329" s="21"/>
      <c r="E2329" s="22"/>
      <c r="G2329" s="23"/>
      <c r="H2329" s="24"/>
      <c r="Q2329" s="2"/>
      <c r="R2329" s="2"/>
    </row>
    <row r="2330" spans="1:18" ht="15.75" customHeight="1" x14ac:dyDescent="0.3">
      <c r="A2330" s="11"/>
      <c r="B2330" s="11"/>
      <c r="D2330" s="21"/>
      <c r="E2330" s="22"/>
      <c r="G2330" s="23"/>
      <c r="H2330" s="24"/>
      <c r="Q2330" s="2"/>
      <c r="R2330" s="2"/>
    </row>
    <row r="2331" spans="1:18" ht="15.75" customHeight="1" x14ac:dyDescent="0.3">
      <c r="A2331" s="11"/>
      <c r="B2331" s="11"/>
      <c r="D2331" s="21"/>
      <c r="E2331" s="22"/>
      <c r="G2331" s="23"/>
      <c r="H2331" s="24"/>
      <c r="Q2331" s="2"/>
      <c r="R2331" s="2"/>
    </row>
    <row r="2332" spans="1:18" ht="15.75" customHeight="1" x14ac:dyDescent="0.3">
      <c r="A2332" s="11"/>
      <c r="B2332" s="11"/>
      <c r="D2332" s="21"/>
      <c r="E2332" s="22"/>
      <c r="G2332" s="23"/>
      <c r="H2332" s="24"/>
      <c r="Q2332" s="2"/>
      <c r="R2332" s="2"/>
    </row>
    <row r="2333" spans="1:18" ht="15.75" customHeight="1" x14ac:dyDescent="0.3">
      <c r="A2333" s="11"/>
      <c r="B2333" s="11"/>
      <c r="D2333" s="21"/>
      <c r="E2333" s="22"/>
      <c r="G2333" s="23"/>
      <c r="H2333" s="24"/>
      <c r="Q2333" s="2"/>
      <c r="R2333" s="2"/>
    </row>
    <row r="2334" spans="1:18" ht="15.75" customHeight="1" x14ac:dyDescent="0.3">
      <c r="A2334" s="11"/>
      <c r="B2334" s="11"/>
      <c r="D2334" s="21"/>
      <c r="E2334" s="22"/>
      <c r="G2334" s="23"/>
      <c r="H2334" s="24"/>
      <c r="Q2334" s="2"/>
      <c r="R2334" s="2"/>
    </row>
    <row r="2335" spans="1:18" ht="15.75" customHeight="1" x14ac:dyDescent="0.3">
      <c r="A2335" s="11"/>
      <c r="B2335" s="11"/>
      <c r="D2335" s="21"/>
      <c r="E2335" s="22"/>
      <c r="G2335" s="23"/>
      <c r="H2335" s="24"/>
      <c r="Q2335" s="2"/>
      <c r="R2335" s="2"/>
    </row>
    <row r="2336" spans="1:18" ht="15.75" customHeight="1" x14ac:dyDescent="0.3">
      <c r="A2336" s="11"/>
      <c r="B2336" s="11"/>
      <c r="D2336" s="21"/>
      <c r="E2336" s="22"/>
      <c r="G2336" s="23"/>
      <c r="H2336" s="24"/>
      <c r="Q2336" s="2"/>
      <c r="R2336" s="2"/>
    </row>
    <row r="2337" spans="1:18" ht="15.75" customHeight="1" x14ac:dyDescent="0.3">
      <c r="A2337" s="11"/>
      <c r="B2337" s="11"/>
      <c r="D2337" s="21"/>
      <c r="E2337" s="22"/>
      <c r="G2337" s="23"/>
      <c r="H2337" s="24"/>
      <c r="Q2337" s="2"/>
      <c r="R2337" s="2"/>
    </row>
    <row r="2338" spans="1:18" ht="15.75" customHeight="1" x14ac:dyDescent="0.3">
      <c r="A2338" s="11"/>
      <c r="B2338" s="11"/>
      <c r="D2338" s="21"/>
      <c r="E2338" s="22"/>
      <c r="G2338" s="23"/>
      <c r="H2338" s="24"/>
      <c r="Q2338" s="2"/>
      <c r="R2338" s="2"/>
    </row>
    <row r="2339" spans="1:18" ht="15.75" customHeight="1" x14ac:dyDescent="0.3">
      <c r="A2339" s="11"/>
      <c r="B2339" s="11"/>
      <c r="D2339" s="21"/>
      <c r="E2339" s="22"/>
      <c r="G2339" s="23"/>
      <c r="H2339" s="24"/>
      <c r="Q2339" s="2"/>
      <c r="R2339" s="2"/>
    </row>
    <row r="2340" spans="1:18" ht="15.75" customHeight="1" x14ac:dyDescent="0.3">
      <c r="A2340" s="11"/>
      <c r="B2340" s="11"/>
      <c r="D2340" s="21"/>
      <c r="E2340" s="22"/>
      <c r="G2340" s="23"/>
      <c r="H2340" s="24"/>
      <c r="Q2340" s="2"/>
      <c r="R2340" s="2"/>
    </row>
    <row r="2341" spans="1:18" ht="15.75" customHeight="1" x14ac:dyDescent="0.3">
      <c r="A2341" s="11"/>
      <c r="B2341" s="11"/>
      <c r="D2341" s="21"/>
      <c r="E2341" s="22"/>
      <c r="G2341" s="23"/>
      <c r="H2341" s="24"/>
      <c r="Q2341" s="2"/>
      <c r="R2341" s="2"/>
    </row>
    <row r="2342" spans="1:18" ht="15.75" customHeight="1" x14ac:dyDescent="0.3">
      <c r="A2342" s="11"/>
      <c r="B2342" s="11"/>
      <c r="D2342" s="21"/>
      <c r="E2342" s="22"/>
      <c r="G2342" s="23"/>
      <c r="H2342" s="24"/>
      <c r="Q2342" s="2"/>
      <c r="R2342" s="2"/>
    </row>
    <row r="2343" spans="1:18" ht="15.75" customHeight="1" x14ac:dyDescent="0.3">
      <c r="A2343" s="11"/>
      <c r="B2343" s="11"/>
      <c r="D2343" s="21"/>
      <c r="E2343" s="22"/>
      <c r="G2343" s="23"/>
      <c r="H2343" s="24"/>
      <c r="Q2343" s="2"/>
      <c r="R2343" s="2"/>
    </row>
    <row r="2344" spans="1:18" ht="15.75" customHeight="1" x14ac:dyDescent="0.3">
      <c r="A2344" s="11"/>
      <c r="B2344" s="11"/>
      <c r="D2344" s="21"/>
      <c r="E2344" s="22"/>
      <c r="G2344" s="23"/>
      <c r="H2344" s="24"/>
      <c r="Q2344" s="2"/>
      <c r="R2344" s="2"/>
    </row>
    <row r="2345" spans="1:18" ht="15.75" customHeight="1" x14ac:dyDescent="0.3">
      <c r="A2345" s="11"/>
      <c r="B2345" s="11"/>
      <c r="D2345" s="21"/>
      <c r="E2345" s="22"/>
      <c r="G2345" s="23"/>
      <c r="H2345" s="24"/>
      <c r="Q2345" s="2"/>
      <c r="R2345" s="2"/>
    </row>
    <row r="2346" spans="1:18" ht="15.75" customHeight="1" x14ac:dyDescent="0.3">
      <c r="A2346" s="11"/>
      <c r="B2346" s="11"/>
      <c r="D2346" s="21"/>
      <c r="E2346" s="22"/>
      <c r="G2346" s="23"/>
      <c r="H2346" s="24"/>
      <c r="Q2346" s="2"/>
      <c r="R2346" s="2"/>
    </row>
    <row r="2347" spans="1:18" ht="15.75" customHeight="1" x14ac:dyDescent="0.3">
      <c r="A2347" s="11"/>
      <c r="B2347" s="11"/>
      <c r="D2347" s="21"/>
      <c r="E2347" s="22"/>
      <c r="G2347" s="23"/>
      <c r="H2347" s="24"/>
      <c r="Q2347" s="2"/>
      <c r="R2347" s="2"/>
    </row>
    <row r="2348" spans="1:18" ht="15.75" customHeight="1" x14ac:dyDescent="0.3">
      <c r="A2348" s="11"/>
      <c r="B2348" s="11"/>
      <c r="D2348" s="21"/>
      <c r="E2348" s="22"/>
      <c r="G2348" s="23"/>
      <c r="H2348" s="24"/>
      <c r="Q2348" s="2"/>
      <c r="R2348" s="2"/>
    </row>
    <row r="2349" spans="1:18" ht="15.75" customHeight="1" x14ac:dyDescent="0.3">
      <c r="A2349" s="11"/>
      <c r="B2349" s="11"/>
      <c r="D2349" s="21"/>
      <c r="E2349" s="22"/>
      <c r="G2349" s="23"/>
      <c r="H2349" s="24"/>
      <c r="Q2349" s="2"/>
      <c r="R2349" s="2"/>
    </row>
    <row r="2350" spans="1:18" ht="15.75" customHeight="1" x14ac:dyDescent="0.3">
      <c r="A2350" s="11"/>
      <c r="B2350" s="11"/>
      <c r="D2350" s="21"/>
      <c r="E2350" s="22"/>
      <c r="G2350" s="23"/>
      <c r="H2350" s="24"/>
      <c r="Q2350" s="2"/>
      <c r="R2350" s="2"/>
    </row>
    <row r="2351" spans="1:18" ht="15.75" customHeight="1" x14ac:dyDescent="0.3">
      <c r="A2351" s="11"/>
      <c r="B2351" s="11"/>
      <c r="D2351" s="21"/>
      <c r="E2351" s="22"/>
      <c r="G2351" s="23"/>
      <c r="H2351" s="24"/>
      <c r="Q2351" s="2"/>
      <c r="R2351" s="2"/>
    </row>
    <row r="2352" spans="1:18" ht="15.75" customHeight="1" x14ac:dyDescent="0.3">
      <c r="A2352" s="11"/>
      <c r="B2352" s="11"/>
      <c r="D2352" s="21"/>
      <c r="E2352" s="22"/>
      <c r="G2352" s="23"/>
      <c r="H2352" s="24"/>
      <c r="Q2352" s="2"/>
      <c r="R2352" s="2"/>
    </row>
    <row r="2353" spans="1:18" ht="15.75" customHeight="1" x14ac:dyDescent="0.3">
      <c r="A2353" s="11"/>
      <c r="B2353" s="11"/>
      <c r="D2353" s="21"/>
      <c r="E2353" s="22"/>
      <c r="G2353" s="23"/>
      <c r="H2353" s="24"/>
      <c r="Q2353" s="2"/>
      <c r="R2353" s="2"/>
    </row>
    <row r="2354" spans="1:18" ht="15.75" customHeight="1" x14ac:dyDescent="0.3">
      <c r="A2354" s="11"/>
      <c r="B2354" s="11"/>
      <c r="D2354" s="21"/>
      <c r="E2354" s="22"/>
      <c r="G2354" s="23"/>
      <c r="H2354" s="24"/>
      <c r="Q2354" s="2"/>
      <c r="R2354" s="2"/>
    </row>
    <row r="2355" spans="1:18" ht="15.75" customHeight="1" x14ac:dyDescent="0.3">
      <c r="A2355" s="11"/>
      <c r="B2355" s="11"/>
      <c r="D2355" s="21"/>
      <c r="E2355" s="22"/>
      <c r="G2355" s="23"/>
      <c r="H2355" s="24"/>
      <c r="Q2355" s="2"/>
      <c r="R2355" s="2"/>
    </row>
    <row r="2356" spans="1:18" ht="15.75" customHeight="1" x14ac:dyDescent="0.3">
      <c r="A2356" s="11"/>
      <c r="B2356" s="11"/>
      <c r="D2356" s="21"/>
      <c r="E2356" s="22"/>
      <c r="G2356" s="23"/>
      <c r="H2356" s="24"/>
      <c r="Q2356" s="2"/>
      <c r="R2356" s="2"/>
    </row>
    <row r="2357" spans="1:18" ht="15.75" customHeight="1" x14ac:dyDescent="0.3">
      <c r="A2357" s="11"/>
      <c r="B2357" s="11"/>
      <c r="D2357" s="21"/>
      <c r="E2357" s="22"/>
      <c r="G2357" s="23"/>
      <c r="H2357" s="24"/>
      <c r="Q2357" s="2"/>
      <c r="R2357" s="2"/>
    </row>
    <row r="2358" spans="1:18" ht="15.75" customHeight="1" x14ac:dyDescent="0.3">
      <c r="A2358" s="11"/>
      <c r="B2358" s="11"/>
      <c r="D2358" s="21"/>
      <c r="E2358" s="22"/>
      <c r="G2358" s="23"/>
      <c r="H2358" s="24"/>
      <c r="Q2358" s="2"/>
      <c r="R2358" s="2"/>
    </row>
    <row r="2359" spans="1:18" ht="15.75" customHeight="1" x14ac:dyDescent="0.3">
      <c r="A2359" s="11"/>
      <c r="B2359" s="11"/>
      <c r="D2359" s="21"/>
      <c r="E2359" s="22"/>
      <c r="G2359" s="23"/>
      <c r="H2359" s="24"/>
      <c r="Q2359" s="2"/>
      <c r="R2359" s="2"/>
    </row>
    <row r="2360" spans="1:18" ht="15.75" customHeight="1" x14ac:dyDescent="0.3">
      <c r="A2360" s="11"/>
      <c r="B2360" s="11"/>
      <c r="D2360" s="21"/>
      <c r="E2360" s="22"/>
      <c r="G2360" s="23"/>
      <c r="H2360" s="24"/>
      <c r="Q2360" s="2"/>
      <c r="R2360" s="2"/>
    </row>
    <row r="2361" spans="1:18" ht="15.75" customHeight="1" x14ac:dyDescent="0.3">
      <c r="A2361" s="11"/>
      <c r="B2361" s="11"/>
      <c r="D2361" s="21"/>
      <c r="E2361" s="22"/>
      <c r="G2361" s="23"/>
      <c r="H2361" s="24"/>
      <c r="Q2361" s="2"/>
      <c r="R2361" s="2"/>
    </row>
    <row r="2362" spans="1:18" ht="15.75" customHeight="1" x14ac:dyDescent="0.3">
      <c r="A2362" s="11"/>
      <c r="B2362" s="11"/>
      <c r="D2362" s="21"/>
      <c r="E2362" s="22"/>
      <c r="G2362" s="23"/>
      <c r="H2362" s="24"/>
      <c r="Q2362" s="2"/>
      <c r="R2362" s="2"/>
    </row>
    <row r="2363" spans="1:18" ht="15.75" customHeight="1" x14ac:dyDescent="0.3">
      <c r="A2363" s="11"/>
      <c r="B2363" s="11"/>
      <c r="D2363" s="21"/>
      <c r="E2363" s="22"/>
      <c r="G2363" s="23"/>
      <c r="H2363" s="24"/>
      <c r="Q2363" s="2"/>
      <c r="R2363" s="2"/>
    </row>
    <row r="2364" spans="1:18" ht="15.75" customHeight="1" x14ac:dyDescent="0.3">
      <c r="A2364" s="11"/>
      <c r="B2364" s="11"/>
      <c r="D2364" s="21"/>
      <c r="E2364" s="22"/>
      <c r="G2364" s="23"/>
      <c r="H2364" s="24"/>
      <c r="Q2364" s="2"/>
      <c r="R2364" s="2"/>
    </row>
    <row r="2365" spans="1:18" ht="15.75" customHeight="1" x14ac:dyDescent="0.3">
      <c r="A2365" s="11"/>
      <c r="B2365" s="11"/>
      <c r="D2365" s="21"/>
      <c r="E2365" s="22"/>
      <c r="G2365" s="23"/>
      <c r="H2365" s="24"/>
      <c r="Q2365" s="2"/>
      <c r="R2365" s="2"/>
    </row>
    <row r="2366" spans="1:18" ht="15.75" customHeight="1" x14ac:dyDescent="0.3">
      <c r="A2366" s="11"/>
      <c r="B2366" s="11"/>
      <c r="D2366" s="21"/>
      <c r="E2366" s="22"/>
      <c r="G2366" s="23"/>
      <c r="H2366" s="24"/>
      <c r="Q2366" s="2"/>
      <c r="R2366" s="2"/>
    </row>
    <row r="2367" spans="1:18" ht="15.75" customHeight="1" x14ac:dyDescent="0.3">
      <c r="A2367" s="11"/>
      <c r="B2367" s="11"/>
      <c r="D2367" s="21"/>
      <c r="E2367" s="22"/>
      <c r="G2367" s="23"/>
      <c r="H2367" s="24"/>
      <c r="Q2367" s="2"/>
      <c r="R2367" s="2"/>
    </row>
    <row r="2368" spans="1:18" ht="15.75" customHeight="1" x14ac:dyDescent="0.3">
      <c r="A2368" s="11"/>
      <c r="B2368" s="11"/>
      <c r="D2368" s="21"/>
      <c r="E2368" s="22"/>
      <c r="G2368" s="23"/>
      <c r="H2368" s="24"/>
      <c r="Q2368" s="2"/>
      <c r="R2368" s="2"/>
    </row>
    <row r="2369" spans="1:18" ht="15.75" customHeight="1" x14ac:dyDescent="0.3">
      <c r="A2369" s="11"/>
      <c r="B2369" s="11"/>
      <c r="D2369" s="21"/>
      <c r="E2369" s="22"/>
      <c r="G2369" s="23"/>
      <c r="H2369" s="24"/>
      <c r="Q2369" s="2"/>
      <c r="R2369" s="2"/>
    </row>
    <row r="2370" spans="1:18" ht="15.75" customHeight="1" x14ac:dyDescent="0.3">
      <c r="A2370" s="11"/>
      <c r="B2370" s="11"/>
      <c r="D2370" s="21"/>
      <c r="E2370" s="22"/>
      <c r="G2370" s="23"/>
      <c r="H2370" s="24"/>
      <c r="Q2370" s="2"/>
      <c r="R2370" s="2"/>
    </row>
    <row r="2371" spans="1:18" ht="15.75" customHeight="1" x14ac:dyDescent="0.3">
      <c r="A2371" s="11"/>
      <c r="B2371" s="11"/>
      <c r="D2371" s="21"/>
      <c r="E2371" s="22"/>
      <c r="G2371" s="23"/>
      <c r="H2371" s="24"/>
      <c r="Q2371" s="2"/>
      <c r="R2371" s="2"/>
    </row>
    <row r="2372" spans="1:18" ht="15.75" customHeight="1" x14ac:dyDescent="0.3">
      <c r="A2372" s="11"/>
      <c r="B2372" s="11"/>
      <c r="D2372" s="21"/>
      <c r="E2372" s="22"/>
      <c r="G2372" s="23"/>
      <c r="H2372" s="24"/>
      <c r="Q2372" s="2"/>
      <c r="R2372" s="2"/>
    </row>
    <row r="2373" spans="1:18" ht="15.75" customHeight="1" x14ac:dyDescent="0.3">
      <c r="A2373" s="11"/>
      <c r="B2373" s="11"/>
      <c r="D2373" s="21"/>
      <c r="E2373" s="22"/>
      <c r="G2373" s="23"/>
      <c r="H2373" s="24"/>
      <c r="Q2373" s="2"/>
      <c r="R2373" s="2"/>
    </row>
    <row r="2374" spans="1:18" ht="15.75" customHeight="1" x14ac:dyDescent="0.3">
      <c r="A2374" s="11"/>
      <c r="B2374" s="11"/>
      <c r="D2374" s="21"/>
      <c r="E2374" s="22"/>
      <c r="G2374" s="23"/>
      <c r="H2374" s="24"/>
      <c r="Q2374" s="2"/>
      <c r="R2374" s="2"/>
    </row>
    <row r="2375" spans="1:18" ht="15.75" customHeight="1" x14ac:dyDescent="0.3">
      <c r="A2375" s="11"/>
      <c r="B2375" s="11"/>
      <c r="D2375" s="21"/>
      <c r="E2375" s="22"/>
      <c r="G2375" s="23"/>
      <c r="H2375" s="24"/>
      <c r="Q2375" s="2"/>
      <c r="R2375" s="2"/>
    </row>
    <row r="2376" spans="1:18" ht="15.75" customHeight="1" x14ac:dyDescent="0.3">
      <c r="A2376" s="11"/>
      <c r="B2376" s="11"/>
      <c r="D2376" s="21"/>
      <c r="E2376" s="22"/>
      <c r="G2376" s="23"/>
      <c r="H2376" s="24"/>
      <c r="Q2376" s="2"/>
      <c r="R2376" s="2"/>
    </row>
    <row r="2377" spans="1:18" ht="15.75" customHeight="1" x14ac:dyDescent="0.3">
      <c r="A2377" s="11"/>
      <c r="B2377" s="11"/>
      <c r="D2377" s="21"/>
      <c r="E2377" s="22"/>
      <c r="G2377" s="23"/>
      <c r="H2377" s="24"/>
      <c r="Q2377" s="2"/>
      <c r="R2377" s="2"/>
    </row>
    <row r="2378" spans="1:18" ht="15.75" customHeight="1" x14ac:dyDescent="0.3">
      <c r="A2378" s="11"/>
      <c r="B2378" s="11"/>
      <c r="D2378" s="21"/>
      <c r="E2378" s="22"/>
      <c r="G2378" s="23"/>
      <c r="H2378" s="24"/>
      <c r="Q2378" s="2"/>
      <c r="R2378" s="2"/>
    </row>
    <row r="2379" spans="1:18" ht="15.75" customHeight="1" x14ac:dyDescent="0.3">
      <c r="A2379" s="11"/>
      <c r="B2379" s="11"/>
      <c r="D2379" s="21"/>
      <c r="E2379" s="22"/>
      <c r="G2379" s="23"/>
      <c r="H2379" s="24"/>
      <c r="Q2379" s="2"/>
      <c r="R2379" s="2"/>
    </row>
    <row r="2380" spans="1:18" ht="15.75" customHeight="1" x14ac:dyDescent="0.3">
      <c r="A2380" s="11"/>
      <c r="B2380" s="11"/>
      <c r="D2380" s="21"/>
      <c r="E2380" s="22"/>
      <c r="G2380" s="23"/>
      <c r="H2380" s="24"/>
      <c r="Q2380" s="2"/>
      <c r="R2380" s="2"/>
    </row>
    <row r="2381" spans="1:18" ht="15.75" customHeight="1" x14ac:dyDescent="0.3">
      <c r="A2381" s="11"/>
      <c r="B2381" s="11"/>
      <c r="D2381" s="21"/>
      <c r="E2381" s="22"/>
      <c r="G2381" s="23"/>
      <c r="H2381" s="24"/>
      <c r="Q2381" s="2"/>
      <c r="R2381" s="2"/>
    </row>
    <row r="2382" spans="1:18" ht="15.75" customHeight="1" x14ac:dyDescent="0.3">
      <c r="A2382" s="11"/>
      <c r="B2382" s="11"/>
      <c r="D2382" s="21"/>
      <c r="E2382" s="22"/>
      <c r="G2382" s="23"/>
      <c r="H2382" s="24"/>
      <c r="Q2382" s="2"/>
      <c r="R2382" s="2"/>
    </row>
    <row r="2383" spans="1:18" ht="15.75" customHeight="1" x14ac:dyDescent="0.3">
      <c r="A2383" s="11"/>
      <c r="B2383" s="11"/>
      <c r="D2383" s="21"/>
      <c r="E2383" s="22"/>
      <c r="G2383" s="23"/>
      <c r="H2383" s="24"/>
      <c r="Q2383" s="2"/>
      <c r="R2383" s="2"/>
    </row>
    <row r="2384" spans="1:18" ht="15.75" customHeight="1" x14ac:dyDescent="0.3">
      <c r="A2384" s="11"/>
      <c r="B2384" s="11"/>
      <c r="D2384" s="21"/>
      <c r="E2384" s="22"/>
      <c r="G2384" s="23"/>
      <c r="H2384" s="24"/>
      <c r="Q2384" s="2"/>
      <c r="R2384" s="2"/>
    </row>
    <row r="2385" spans="1:18" ht="15.75" customHeight="1" x14ac:dyDescent="0.3">
      <c r="A2385" s="11"/>
      <c r="B2385" s="11"/>
      <c r="D2385" s="21"/>
      <c r="E2385" s="22"/>
      <c r="G2385" s="23"/>
      <c r="H2385" s="24"/>
      <c r="Q2385" s="2"/>
      <c r="R2385" s="2"/>
    </row>
    <row r="2386" spans="1:18" ht="15.75" customHeight="1" x14ac:dyDescent="0.3">
      <c r="A2386" s="11"/>
      <c r="B2386" s="11"/>
      <c r="D2386" s="21"/>
      <c r="E2386" s="22"/>
      <c r="G2386" s="23"/>
      <c r="H2386" s="24"/>
      <c r="Q2386" s="2"/>
      <c r="R2386" s="2"/>
    </row>
    <row r="2387" spans="1:18" ht="15.75" customHeight="1" x14ac:dyDescent="0.3">
      <c r="A2387" s="11"/>
      <c r="B2387" s="11"/>
      <c r="D2387" s="21"/>
      <c r="E2387" s="22"/>
      <c r="G2387" s="23"/>
      <c r="H2387" s="24"/>
      <c r="Q2387" s="2"/>
      <c r="R2387" s="2"/>
    </row>
    <row r="2388" spans="1:18" ht="15.75" customHeight="1" x14ac:dyDescent="0.3">
      <c r="A2388" s="11"/>
      <c r="B2388" s="11"/>
      <c r="D2388" s="21"/>
      <c r="E2388" s="22"/>
      <c r="G2388" s="23"/>
      <c r="H2388" s="24"/>
      <c r="Q2388" s="2"/>
      <c r="R2388" s="2"/>
    </row>
    <row r="2389" spans="1:18" ht="15.75" customHeight="1" x14ac:dyDescent="0.3">
      <c r="A2389" s="11"/>
      <c r="B2389" s="11"/>
      <c r="D2389" s="21"/>
      <c r="E2389" s="22"/>
      <c r="G2389" s="23"/>
      <c r="H2389" s="24"/>
      <c r="Q2389" s="2"/>
      <c r="R2389" s="2"/>
    </row>
    <row r="2390" spans="1:18" ht="15.75" customHeight="1" x14ac:dyDescent="0.3">
      <c r="A2390" s="11"/>
      <c r="B2390" s="11"/>
      <c r="D2390" s="21"/>
      <c r="E2390" s="22"/>
      <c r="G2390" s="23"/>
      <c r="H2390" s="24"/>
      <c r="Q2390" s="2"/>
      <c r="R2390" s="2"/>
    </row>
    <row r="2391" spans="1:18" ht="15.75" customHeight="1" x14ac:dyDescent="0.3">
      <c r="A2391" s="11"/>
      <c r="B2391" s="11"/>
      <c r="D2391" s="21"/>
      <c r="E2391" s="22"/>
      <c r="G2391" s="23"/>
      <c r="H2391" s="24"/>
      <c r="Q2391" s="2"/>
      <c r="R2391" s="2"/>
    </row>
    <row r="2392" spans="1:18" ht="15.75" customHeight="1" x14ac:dyDescent="0.3">
      <c r="A2392" s="11"/>
      <c r="B2392" s="11"/>
      <c r="D2392" s="21"/>
      <c r="E2392" s="22"/>
      <c r="G2392" s="23"/>
      <c r="H2392" s="24"/>
      <c r="Q2392" s="2"/>
      <c r="R2392" s="2"/>
    </row>
    <row r="2393" spans="1:18" ht="15.75" customHeight="1" x14ac:dyDescent="0.3">
      <c r="A2393" s="11"/>
      <c r="B2393" s="11"/>
      <c r="D2393" s="21"/>
      <c r="E2393" s="22"/>
      <c r="G2393" s="23"/>
      <c r="H2393" s="24"/>
      <c r="Q2393" s="2"/>
      <c r="R2393" s="2"/>
    </row>
    <row r="2394" spans="1:18" ht="15.75" customHeight="1" x14ac:dyDescent="0.3">
      <c r="A2394" s="11"/>
      <c r="B2394" s="11"/>
      <c r="D2394" s="21"/>
      <c r="E2394" s="22"/>
      <c r="G2394" s="23"/>
      <c r="H2394" s="24"/>
      <c r="Q2394" s="2"/>
      <c r="R2394" s="2"/>
    </row>
    <row r="2395" spans="1:18" ht="15.75" customHeight="1" x14ac:dyDescent="0.3">
      <c r="A2395" s="11"/>
      <c r="B2395" s="11"/>
      <c r="D2395" s="21"/>
      <c r="E2395" s="22"/>
      <c r="G2395" s="23"/>
      <c r="H2395" s="24"/>
      <c r="Q2395" s="2"/>
      <c r="R2395" s="2"/>
    </row>
    <row r="2396" spans="1:18" ht="15.75" customHeight="1" x14ac:dyDescent="0.3">
      <c r="A2396" s="11"/>
      <c r="B2396" s="11"/>
      <c r="D2396" s="21"/>
      <c r="E2396" s="22"/>
      <c r="G2396" s="23"/>
      <c r="H2396" s="24"/>
      <c r="Q2396" s="2"/>
      <c r="R2396" s="2"/>
    </row>
    <row r="2397" spans="1:18" ht="15.75" customHeight="1" x14ac:dyDescent="0.3">
      <c r="A2397" s="11"/>
      <c r="B2397" s="11"/>
      <c r="D2397" s="21"/>
      <c r="E2397" s="22"/>
      <c r="G2397" s="23"/>
      <c r="H2397" s="24"/>
      <c r="Q2397" s="2"/>
      <c r="R2397" s="2"/>
    </row>
    <row r="2398" spans="1:18" ht="15.75" customHeight="1" x14ac:dyDescent="0.3">
      <c r="A2398" s="11"/>
      <c r="B2398" s="11"/>
      <c r="D2398" s="21"/>
      <c r="E2398" s="22"/>
      <c r="G2398" s="23"/>
      <c r="H2398" s="24"/>
      <c r="Q2398" s="2"/>
      <c r="R2398" s="2"/>
    </row>
    <row r="2399" spans="1:18" ht="15.75" customHeight="1" x14ac:dyDescent="0.3">
      <c r="A2399" s="11"/>
      <c r="B2399" s="11"/>
      <c r="D2399" s="21"/>
      <c r="E2399" s="22"/>
      <c r="G2399" s="23"/>
      <c r="H2399" s="24"/>
      <c r="Q2399" s="2"/>
      <c r="R2399" s="2"/>
    </row>
    <row r="2400" spans="1:18" ht="15.75" customHeight="1" x14ac:dyDescent="0.3">
      <c r="A2400" s="11"/>
      <c r="B2400" s="11"/>
      <c r="D2400" s="21"/>
      <c r="E2400" s="22"/>
      <c r="G2400" s="23"/>
      <c r="H2400" s="24"/>
      <c r="Q2400" s="2"/>
      <c r="R2400" s="2"/>
    </row>
    <row r="2401" spans="1:18" ht="15.75" customHeight="1" x14ac:dyDescent="0.3">
      <c r="A2401" s="11"/>
      <c r="B2401" s="11"/>
      <c r="D2401" s="21"/>
      <c r="E2401" s="22"/>
      <c r="G2401" s="23"/>
      <c r="H2401" s="24"/>
      <c r="Q2401" s="2"/>
      <c r="R2401" s="2"/>
    </row>
    <row r="2402" spans="1:18" ht="15.75" customHeight="1" x14ac:dyDescent="0.3">
      <c r="A2402" s="11"/>
      <c r="B2402" s="11"/>
      <c r="D2402" s="21"/>
      <c r="E2402" s="22"/>
      <c r="G2402" s="23"/>
      <c r="H2402" s="24"/>
      <c r="Q2402" s="2"/>
      <c r="R2402" s="2"/>
    </row>
    <row r="2403" spans="1:18" ht="15.75" customHeight="1" x14ac:dyDescent="0.3">
      <c r="A2403" s="11"/>
      <c r="B2403" s="11"/>
      <c r="D2403" s="21"/>
      <c r="E2403" s="22"/>
      <c r="G2403" s="23"/>
      <c r="H2403" s="24"/>
      <c r="Q2403" s="2"/>
      <c r="R2403" s="2"/>
    </row>
    <row r="2404" spans="1:18" ht="15.75" customHeight="1" x14ac:dyDescent="0.3">
      <c r="A2404" s="11"/>
      <c r="B2404" s="11"/>
      <c r="D2404" s="21"/>
      <c r="E2404" s="22"/>
      <c r="G2404" s="23"/>
      <c r="H2404" s="24"/>
      <c r="Q2404" s="2"/>
      <c r="R2404" s="2"/>
    </row>
    <row r="2405" spans="1:18" ht="15.75" customHeight="1" x14ac:dyDescent="0.3">
      <c r="A2405" s="11"/>
      <c r="B2405" s="11"/>
      <c r="D2405" s="21"/>
      <c r="E2405" s="22"/>
      <c r="G2405" s="23"/>
      <c r="H2405" s="24"/>
      <c r="Q2405" s="2"/>
      <c r="R2405" s="2"/>
    </row>
    <row r="2406" spans="1:18" ht="15.75" customHeight="1" x14ac:dyDescent="0.3">
      <c r="A2406" s="11"/>
      <c r="B2406" s="11"/>
      <c r="D2406" s="21"/>
      <c r="E2406" s="22"/>
      <c r="G2406" s="23"/>
      <c r="H2406" s="24"/>
      <c r="Q2406" s="2"/>
      <c r="R2406" s="2"/>
    </row>
    <row r="2407" spans="1:18" ht="15.75" customHeight="1" x14ac:dyDescent="0.3">
      <c r="A2407" s="11"/>
      <c r="B2407" s="11"/>
      <c r="D2407" s="21"/>
      <c r="E2407" s="22"/>
      <c r="G2407" s="23"/>
      <c r="H2407" s="24"/>
      <c r="Q2407" s="2"/>
      <c r="R2407" s="2"/>
    </row>
    <row r="2408" spans="1:18" ht="15.75" customHeight="1" x14ac:dyDescent="0.3">
      <c r="A2408" s="11"/>
      <c r="B2408" s="11"/>
      <c r="D2408" s="21"/>
      <c r="E2408" s="22"/>
      <c r="G2408" s="23"/>
      <c r="H2408" s="24"/>
      <c r="Q2408" s="2"/>
      <c r="R2408" s="2"/>
    </row>
    <row r="2409" spans="1:18" ht="15.75" customHeight="1" x14ac:dyDescent="0.3">
      <c r="A2409" s="11"/>
      <c r="B2409" s="11"/>
      <c r="D2409" s="21"/>
      <c r="E2409" s="22"/>
      <c r="G2409" s="23"/>
      <c r="H2409" s="24"/>
      <c r="Q2409" s="2"/>
      <c r="R2409" s="2"/>
    </row>
    <row r="2410" spans="1:18" ht="15.75" customHeight="1" x14ac:dyDescent="0.3">
      <c r="A2410" s="11"/>
      <c r="B2410" s="11"/>
      <c r="D2410" s="21"/>
      <c r="E2410" s="22"/>
      <c r="G2410" s="23"/>
      <c r="H2410" s="24"/>
      <c r="Q2410" s="2"/>
      <c r="R2410" s="2"/>
    </row>
    <row r="2411" spans="1:18" ht="15.75" customHeight="1" x14ac:dyDescent="0.3">
      <c r="A2411" s="11"/>
      <c r="B2411" s="11"/>
      <c r="D2411" s="21"/>
      <c r="E2411" s="22"/>
      <c r="G2411" s="23"/>
      <c r="H2411" s="24"/>
      <c r="Q2411" s="2"/>
      <c r="R2411" s="2"/>
    </row>
    <row r="2412" spans="1:18" ht="15.75" customHeight="1" x14ac:dyDescent="0.3">
      <c r="A2412" s="11"/>
      <c r="B2412" s="11"/>
      <c r="D2412" s="21"/>
      <c r="E2412" s="22"/>
      <c r="G2412" s="23"/>
      <c r="H2412" s="24"/>
      <c r="Q2412" s="2"/>
      <c r="R2412" s="2"/>
    </row>
    <row r="2413" spans="1:18" ht="15.75" customHeight="1" x14ac:dyDescent="0.3">
      <c r="A2413" s="11"/>
      <c r="B2413" s="11"/>
      <c r="D2413" s="21"/>
      <c r="E2413" s="22"/>
      <c r="G2413" s="23"/>
      <c r="H2413" s="24"/>
      <c r="Q2413" s="2"/>
      <c r="R2413" s="2"/>
    </row>
    <row r="2414" spans="1:18" ht="15.75" customHeight="1" x14ac:dyDescent="0.3">
      <c r="A2414" s="11"/>
      <c r="B2414" s="11"/>
      <c r="D2414" s="21"/>
      <c r="E2414" s="22"/>
      <c r="G2414" s="23"/>
      <c r="H2414" s="24"/>
      <c r="Q2414" s="2"/>
      <c r="R2414" s="2"/>
    </row>
    <row r="2415" spans="1:18" ht="15.75" customHeight="1" x14ac:dyDescent="0.3">
      <c r="A2415" s="11"/>
      <c r="B2415" s="11"/>
      <c r="D2415" s="21"/>
      <c r="E2415" s="22"/>
      <c r="G2415" s="23"/>
      <c r="H2415" s="24"/>
      <c r="Q2415" s="2"/>
      <c r="R2415" s="2"/>
    </row>
    <row r="2416" spans="1:18" ht="15.75" customHeight="1" x14ac:dyDescent="0.3">
      <c r="A2416" s="11"/>
      <c r="B2416" s="11"/>
      <c r="D2416" s="21"/>
      <c r="E2416" s="22"/>
      <c r="G2416" s="23"/>
      <c r="H2416" s="24"/>
      <c r="Q2416" s="2"/>
      <c r="R2416" s="2"/>
    </row>
    <row r="2417" spans="1:18" ht="15.75" customHeight="1" x14ac:dyDescent="0.3">
      <c r="A2417" s="11"/>
      <c r="B2417" s="11"/>
      <c r="D2417" s="21"/>
      <c r="E2417" s="22"/>
      <c r="G2417" s="23"/>
      <c r="H2417" s="24"/>
      <c r="Q2417" s="2"/>
      <c r="R2417" s="2"/>
    </row>
    <row r="2418" spans="1:18" ht="15.75" customHeight="1" x14ac:dyDescent="0.3">
      <c r="A2418" s="11"/>
      <c r="B2418" s="11"/>
      <c r="D2418" s="21"/>
      <c r="E2418" s="22"/>
      <c r="G2418" s="23"/>
      <c r="H2418" s="24"/>
      <c r="Q2418" s="2"/>
      <c r="R2418" s="2"/>
    </row>
    <row r="2419" spans="1:18" ht="15.75" customHeight="1" x14ac:dyDescent="0.3">
      <c r="A2419" s="11"/>
      <c r="B2419" s="11"/>
      <c r="D2419" s="21"/>
      <c r="E2419" s="22"/>
      <c r="G2419" s="23"/>
      <c r="H2419" s="24"/>
      <c r="Q2419" s="2"/>
      <c r="R2419" s="2"/>
    </row>
    <row r="2420" spans="1:18" ht="15.75" customHeight="1" x14ac:dyDescent="0.3">
      <c r="A2420" s="11"/>
      <c r="B2420" s="11"/>
      <c r="D2420" s="21"/>
      <c r="E2420" s="22"/>
      <c r="G2420" s="23"/>
      <c r="H2420" s="24"/>
      <c r="Q2420" s="2"/>
      <c r="R2420" s="2"/>
    </row>
    <row r="2421" spans="1:18" ht="15.75" customHeight="1" x14ac:dyDescent="0.3">
      <c r="A2421" s="11"/>
      <c r="B2421" s="11"/>
      <c r="D2421" s="21"/>
      <c r="E2421" s="22"/>
      <c r="G2421" s="23"/>
      <c r="H2421" s="24"/>
      <c r="Q2421" s="2"/>
      <c r="R2421" s="2"/>
    </row>
    <row r="2422" spans="1:18" ht="15.75" customHeight="1" x14ac:dyDescent="0.3">
      <c r="A2422" s="11"/>
      <c r="B2422" s="11"/>
      <c r="D2422" s="21"/>
      <c r="E2422" s="22"/>
      <c r="G2422" s="23"/>
      <c r="H2422" s="24"/>
      <c r="Q2422" s="2"/>
      <c r="R2422" s="2"/>
    </row>
    <row r="2423" spans="1:18" ht="15.75" customHeight="1" x14ac:dyDescent="0.3">
      <c r="A2423" s="11"/>
      <c r="B2423" s="11"/>
      <c r="D2423" s="21"/>
      <c r="E2423" s="22"/>
      <c r="G2423" s="23"/>
      <c r="H2423" s="24"/>
      <c r="Q2423" s="2"/>
      <c r="R2423" s="2"/>
    </row>
    <row r="2424" spans="1:18" ht="15.75" customHeight="1" x14ac:dyDescent="0.3">
      <c r="A2424" s="11"/>
      <c r="B2424" s="11"/>
      <c r="D2424" s="21"/>
      <c r="E2424" s="22"/>
      <c r="G2424" s="23"/>
      <c r="H2424" s="24"/>
      <c r="Q2424" s="2"/>
      <c r="R2424" s="2"/>
    </row>
    <row r="2425" spans="1:18" ht="15.75" customHeight="1" x14ac:dyDescent="0.3">
      <c r="A2425" s="11"/>
      <c r="B2425" s="11"/>
      <c r="D2425" s="21"/>
      <c r="E2425" s="22"/>
      <c r="G2425" s="23"/>
      <c r="H2425" s="24"/>
      <c r="Q2425" s="2"/>
      <c r="R2425" s="2"/>
    </row>
    <row r="2426" spans="1:18" ht="15.75" customHeight="1" x14ac:dyDescent="0.3">
      <c r="A2426" s="11"/>
      <c r="B2426" s="11"/>
      <c r="D2426" s="21"/>
      <c r="E2426" s="22"/>
      <c r="G2426" s="23"/>
      <c r="H2426" s="24"/>
      <c r="Q2426" s="2"/>
      <c r="R2426" s="2"/>
    </row>
    <row r="2427" spans="1:18" ht="15.75" customHeight="1" x14ac:dyDescent="0.3">
      <c r="A2427" s="11"/>
      <c r="B2427" s="11"/>
      <c r="D2427" s="21"/>
      <c r="E2427" s="22"/>
      <c r="G2427" s="23"/>
      <c r="H2427" s="24"/>
      <c r="Q2427" s="2"/>
      <c r="R2427" s="2"/>
    </row>
    <row r="2428" spans="1:18" ht="15.75" customHeight="1" x14ac:dyDescent="0.3">
      <c r="A2428" s="11"/>
      <c r="B2428" s="11"/>
      <c r="D2428" s="21"/>
      <c r="E2428" s="22"/>
      <c r="G2428" s="23"/>
      <c r="H2428" s="24"/>
      <c r="Q2428" s="2"/>
      <c r="R2428" s="2"/>
    </row>
    <row r="2429" spans="1:18" ht="15.75" customHeight="1" x14ac:dyDescent="0.3">
      <c r="A2429" s="11"/>
      <c r="B2429" s="11"/>
      <c r="D2429" s="21"/>
      <c r="E2429" s="22"/>
      <c r="G2429" s="23"/>
      <c r="H2429" s="24"/>
      <c r="Q2429" s="2"/>
      <c r="R2429" s="2"/>
    </row>
    <row r="2430" spans="1:18" ht="15.75" customHeight="1" x14ac:dyDescent="0.3">
      <c r="A2430" s="11"/>
      <c r="B2430" s="11"/>
      <c r="D2430" s="21"/>
      <c r="E2430" s="22"/>
      <c r="G2430" s="23"/>
      <c r="H2430" s="24"/>
      <c r="Q2430" s="2"/>
      <c r="R2430" s="2"/>
    </row>
    <row r="2431" spans="1:18" ht="15.75" customHeight="1" x14ac:dyDescent="0.3">
      <c r="A2431" s="11"/>
      <c r="B2431" s="11"/>
      <c r="D2431" s="21"/>
      <c r="E2431" s="22"/>
      <c r="G2431" s="23"/>
      <c r="H2431" s="24"/>
      <c r="Q2431" s="2"/>
      <c r="R2431" s="2"/>
    </row>
    <row r="2432" spans="1:18" ht="15.75" customHeight="1" x14ac:dyDescent="0.3">
      <c r="A2432" s="11"/>
      <c r="B2432" s="11"/>
      <c r="D2432" s="21"/>
      <c r="E2432" s="22"/>
      <c r="G2432" s="23"/>
      <c r="H2432" s="24"/>
      <c r="Q2432" s="2"/>
      <c r="R2432" s="2"/>
    </row>
    <row r="2433" spans="1:18" ht="15.75" customHeight="1" x14ac:dyDescent="0.3">
      <c r="A2433" s="11"/>
      <c r="B2433" s="11"/>
      <c r="D2433" s="21"/>
      <c r="E2433" s="22"/>
      <c r="G2433" s="23"/>
      <c r="H2433" s="24"/>
      <c r="Q2433" s="2"/>
      <c r="R2433" s="2"/>
    </row>
    <row r="2434" spans="1:18" ht="15.75" customHeight="1" x14ac:dyDescent="0.3">
      <c r="A2434" s="11"/>
      <c r="B2434" s="11"/>
      <c r="D2434" s="21"/>
      <c r="E2434" s="22"/>
      <c r="G2434" s="23"/>
      <c r="H2434" s="24"/>
      <c r="Q2434" s="2"/>
      <c r="R2434" s="2"/>
    </row>
    <row r="2435" spans="1:18" ht="15.75" customHeight="1" x14ac:dyDescent="0.3">
      <c r="A2435" s="11"/>
      <c r="B2435" s="11"/>
      <c r="D2435" s="21"/>
      <c r="E2435" s="22"/>
      <c r="G2435" s="23"/>
      <c r="H2435" s="24"/>
      <c r="Q2435" s="2"/>
      <c r="R2435" s="2"/>
    </row>
    <row r="2436" spans="1:18" ht="15.75" customHeight="1" x14ac:dyDescent="0.3">
      <c r="A2436" s="11"/>
      <c r="B2436" s="11"/>
      <c r="D2436" s="21"/>
      <c r="E2436" s="22"/>
      <c r="G2436" s="23"/>
      <c r="H2436" s="24"/>
      <c r="Q2436" s="2"/>
      <c r="R2436" s="2"/>
    </row>
    <row r="2437" spans="1:18" ht="15.75" customHeight="1" x14ac:dyDescent="0.3">
      <c r="A2437" s="11"/>
      <c r="B2437" s="11"/>
      <c r="D2437" s="21"/>
      <c r="E2437" s="22"/>
      <c r="G2437" s="23"/>
      <c r="H2437" s="24"/>
      <c r="Q2437" s="2"/>
      <c r="R2437" s="2"/>
    </row>
    <row r="2438" spans="1:18" ht="15.75" customHeight="1" x14ac:dyDescent="0.3">
      <c r="A2438" s="11"/>
      <c r="B2438" s="11"/>
      <c r="D2438" s="21"/>
      <c r="E2438" s="22"/>
      <c r="G2438" s="23"/>
      <c r="H2438" s="24"/>
      <c r="Q2438" s="2"/>
      <c r="R2438" s="2"/>
    </row>
    <row r="2439" spans="1:18" ht="15.75" customHeight="1" x14ac:dyDescent="0.3">
      <c r="A2439" s="11"/>
      <c r="B2439" s="11"/>
      <c r="D2439" s="21"/>
      <c r="E2439" s="22"/>
      <c r="G2439" s="23"/>
      <c r="H2439" s="24"/>
      <c r="Q2439" s="2"/>
      <c r="R2439" s="2"/>
    </row>
    <row r="2440" spans="1:18" ht="15.75" customHeight="1" x14ac:dyDescent="0.3">
      <c r="A2440" s="11"/>
      <c r="B2440" s="11"/>
      <c r="D2440" s="21"/>
      <c r="E2440" s="22"/>
      <c r="G2440" s="23"/>
      <c r="H2440" s="24"/>
      <c r="Q2440" s="2"/>
      <c r="R2440" s="2"/>
    </row>
    <row r="2441" spans="1:18" ht="15.75" customHeight="1" x14ac:dyDescent="0.3">
      <c r="A2441" s="11"/>
      <c r="B2441" s="11"/>
      <c r="D2441" s="21"/>
      <c r="E2441" s="22"/>
      <c r="G2441" s="23"/>
      <c r="H2441" s="24"/>
      <c r="Q2441" s="2"/>
      <c r="R2441" s="2"/>
    </row>
    <row r="2442" spans="1:18" ht="15.75" customHeight="1" x14ac:dyDescent="0.3">
      <c r="A2442" s="11"/>
      <c r="B2442" s="11"/>
      <c r="D2442" s="21"/>
      <c r="E2442" s="22"/>
      <c r="G2442" s="23"/>
      <c r="H2442" s="24"/>
      <c r="Q2442" s="2"/>
      <c r="R2442" s="2"/>
    </row>
    <row r="2443" spans="1:18" ht="15.75" customHeight="1" x14ac:dyDescent="0.3">
      <c r="A2443" s="11"/>
      <c r="B2443" s="11"/>
      <c r="D2443" s="21"/>
      <c r="E2443" s="22"/>
      <c r="G2443" s="23"/>
      <c r="H2443" s="24"/>
      <c r="Q2443" s="2"/>
      <c r="R2443" s="2"/>
    </row>
    <row r="2444" spans="1:18" ht="15.75" customHeight="1" x14ac:dyDescent="0.3">
      <c r="A2444" s="11"/>
      <c r="B2444" s="11"/>
      <c r="D2444" s="21"/>
      <c r="E2444" s="22"/>
      <c r="G2444" s="23"/>
      <c r="H2444" s="24"/>
      <c r="Q2444" s="2"/>
      <c r="R2444" s="2"/>
    </row>
    <row r="2445" spans="1:18" ht="15.75" customHeight="1" x14ac:dyDescent="0.3">
      <c r="A2445" s="11"/>
      <c r="B2445" s="11"/>
      <c r="D2445" s="21"/>
      <c r="E2445" s="22"/>
      <c r="G2445" s="23"/>
      <c r="H2445" s="24"/>
      <c r="Q2445" s="2"/>
      <c r="R2445" s="2"/>
    </row>
    <row r="2446" spans="1:18" ht="15.75" customHeight="1" x14ac:dyDescent="0.3">
      <c r="A2446" s="11"/>
      <c r="B2446" s="11"/>
      <c r="D2446" s="21"/>
      <c r="E2446" s="22"/>
      <c r="G2446" s="23"/>
      <c r="H2446" s="24"/>
      <c r="Q2446" s="2"/>
      <c r="R2446" s="2"/>
    </row>
    <row r="2447" spans="1:18" ht="15.75" customHeight="1" x14ac:dyDescent="0.3">
      <c r="A2447" s="11"/>
      <c r="B2447" s="11"/>
      <c r="D2447" s="21"/>
      <c r="E2447" s="22"/>
      <c r="G2447" s="23"/>
      <c r="H2447" s="24"/>
      <c r="Q2447" s="2"/>
      <c r="R2447" s="2"/>
    </row>
    <row r="2448" spans="1:18" ht="15.75" customHeight="1" x14ac:dyDescent="0.3">
      <c r="A2448" s="11"/>
      <c r="B2448" s="11"/>
      <c r="D2448" s="21"/>
      <c r="E2448" s="22"/>
      <c r="G2448" s="23"/>
      <c r="H2448" s="24"/>
      <c r="Q2448" s="2"/>
      <c r="R2448" s="2"/>
    </row>
    <row r="2449" spans="1:18" ht="15.75" customHeight="1" x14ac:dyDescent="0.3">
      <c r="A2449" s="11"/>
      <c r="B2449" s="11"/>
      <c r="D2449" s="21"/>
      <c r="E2449" s="22"/>
      <c r="G2449" s="23"/>
      <c r="H2449" s="24"/>
      <c r="Q2449" s="2"/>
      <c r="R2449" s="2"/>
    </row>
    <row r="2450" spans="1:18" ht="15.75" customHeight="1" x14ac:dyDescent="0.3">
      <c r="A2450" s="11"/>
      <c r="B2450" s="11"/>
      <c r="D2450" s="21"/>
      <c r="E2450" s="22"/>
      <c r="G2450" s="23"/>
      <c r="H2450" s="24"/>
      <c r="Q2450" s="2"/>
      <c r="R2450" s="2"/>
    </row>
    <row r="2451" spans="1:18" ht="15.75" customHeight="1" x14ac:dyDescent="0.3">
      <c r="A2451" s="11"/>
      <c r="B2451" s="11"/>
      <c r="D2451" s="21"/>
      <c r="E2451" s="22"/>
      <c r="G2451" s="23"/>
      <c r="H2451" s="24"/>
      <c r="Q2451" s="2"/>
      <c r="R2451" s="2"/>
    </row>
    <row r="2452" spans="1:18" ht="15.75" customHeight="1" x14ac:dyDescent="0.3">
      <c r="A2452" s="11"/>
      <c r="B2452" s="11"/>
      <c r="D2452" s="21"/>
      <c r="E2452" s="22"/>
      <c r="G2452" s="23"/>
      <c r="H2452" s="24"/>
      <c r="Q2452" s="2"/>
      <c r="R2452" s="2"/>
    </row>
    <row r="2453" spans="1:18" ht="15.75" customHeight="1" x14ac:dyDescent="0.3">
      <c r="A2453" s="11"/>
      <c r="B2453" s="11"/>
      <c r="D2453" s="21"/>
      <c r="E2453" s="22"/>
      <c r="G2453" s="23"/>
      <c r="H2453" s="24"/>
      <c r="Q2453" s="2"/>
      <c r="R2453" s="2"/>
    </row>
    <row r="2454" spans="1:18" ht="15.75" customHeight="1" x14ac:dyDescent="0.3">
      <c r="A2454" s="11"/>
      <c r="B2454" s="11"/>
      <c r="D2454" s="21"/>
      <c r="E2454" s="22"/>
      <c r="G2454" s="23"/>
      <c r="H2454" s="24"/>
      <c r="Q2454" s="2"/>
      <c r="R2454" s="2"/>
    </row>
    <row r="2455" spans="1:18" ht="15.75" customHeight="1" x14ac:dyDescent="0.3">
      <c r="A2455" s="11"/>
      <c r="B2455" s="11"/>
      <c r="D2455" s="21"/>
      <c r="E2455" s="22"/>
      <c r="G2455" s="23"/>
      <c r="H2455" s="24"/>
      <c r="Q2455" s="2"/>
      <c r="R2455" s="2"/>
    </row>
    <row r="2456" spans="1:18" ht="15.75" customHeight="1" x14ac:dyDescent="0.3">
      <c r="A2456" s="11"/>
      <c r="B2456" s="11"/>
      <c r="D2456" s="21"/>
      <c r="E2456" s="22"/>
      <c r="G2456" s="23"/>
      <c r="H2456" s="24"/>
      <c r="Q2456" s="2"/>
      <c r="R2456" s="2"/>
    </row>
    <row r="2457" spans="1:18" ht="15.75" customHeight="1" x14ac:dyDescent="0.3">
      <c r="A2457" s="11"/>
      <c r="B2457" s="11"/>
      <c r="D2457" s="21"/>
      <c r="E2457" s="22"/>
      <c r="G2457" s="23"/>
      <c r="H2457" s="24"/>
      <c r="Q2457" s="2"/>
      <c r="R2457" s="2"/>
    </row>
    <row r="2458" spans="1:18" ht="15.75" customHeight="1" x14ac:dyDescent="0.3">
      <c r="A2458" s="11"/>
      <c r="B2458" s="11"/>
      <c r="D2458" s="21"/>
      <c r="E2458" s="22"/>
      <c r="G2458" s="23"/>
      <c r="H2458" s="24"/>
      <c r="Q2458" s="2"/>
      <c r="R2458" s="2"/>
    </row>
    <row r="2459" spans="1:18" ht="15.75" customHeight="1" x14ac:dyDescent="0.3">
      <c r="A2459" s="11"/>
      <c r="B2459" s="11"/>
      <c r="D2459" s="21"/>
      <c r="E2459" s="22"/>
      <c r="G2459" s="23"/>
      <c r="H2459" s="24"/>
      <c r="Q2459" s="2"/>
      <c r="R2459" s="2"/>
    </row>
    <row r="2460" spans="1:18" ht="15.75" customHeight="1" x14ac:dyDescent="0.3">
      <c r="A2460" s="11"/>
      <c r="B2460" s="11"/>
      <c r="D2460" s="21"/>
      <c r="E2460" s="22"/>
      <c r="G2460" s="23"/>
      <c r="H2460" s="24"/>
      <c r="Q2460" s="2"/>
      <c r="R2460" s="2"/>
    </row>
    <row r="2461" spans="1:18" ht="15.75" customHeight="1" x14ac:dyDescent="0.3">
      <c r="A2461" s="11"/>
      <c r="B2461" s="11"/>
      <c r="D2461" s="21"/>
      <c r="E2461" s="22"/>
      <c r="G2461" s="23"/>
      <c r="H2461" s="24"/>
      <c r="Q2461" s="2"/>
      <c r="R2461" s="2"/>
    </row>
    <row r="2462" spans="1:18" ht="15.75" customHeight="1" x14ac:dyDescent="0.3">
      <c r="A2462" s="11"/>
      <c r="B2462" s="11"/>
      <c r="D2462" s="21"/>
      <c r="E2462" s="22"/>
      <c r="G2462" s="23"/>
      <c r="H2462" s="24"/>
      <c r="Q2462" s="2"/>
      <c r="R2462" s="2"/>
    </row>
    <row r="2463" spans="1:18" ht="15.75" customHeight="1" x14ac:dyDescent="0.3">
      <c r="A2463" s="11"/>
      <c r="B2463" s="11"/>
      <c r="D2463" s="21"/>
      <c r="E2463" s="22"/>
      <c r="G2463" s="23"/>
      <c r="H2463" s="24"/>
      <c r="Q2463" s="2"/>
      <c r="R2463" s="2"/>
    </row>
    <row r="2464" spans="1:18" ht="15.75" customHeight="1" x14ac:dyDescent="0.3">
      <c r="A2464" s="11"/>
      <c r="B2464" s="11"/>
      <c r="D2464" s="21"/>
      <c r="E2464" s="22"/>
      <c r="G2464" s="23"/>
      <c r="H2464" s="24"/>
      <c r="Q2464" s="2"/>
      <c r="R2464" s="2"/>
    </row>
    <row r="2465" spans="1:18" ht="15.75" customHeight="1" x14ac:dyDescent="0.3">
      <c r="A2465" s="11"/>
      <c r="B2465" s="11"/>
      <c r="D2465" s="21"/>
      <c r="E2465" s="22"/>
      <c r="G2465" s="23"/>
      <c r="H2465" s="24"/>
      <c r="Q2465" s="2"/>
      <c r="R2465" s="2"/>
    </row>
    <row r="2466" spans="1:18" ht="15.75" customHeight="1" x14ac:dyDescent="0.3">
      <c r="A2466" s="11"/>
      <c r="B2466" s="11"/>
      <c r="D2466" s="21"/>
      <c r="E2466" s="22"/>
      <c r="G2466" s="23"/>
      <c r="H2466" s="24"/>
      <c r="Q2466" s="2"/>
      <c r="R2466" s="2"/>
    </row>
    <row r="2467" spans="1:18" ht="15.75" customHeight="1" x14ac:dyDescent="0.3">
      <c r="A2467" s="11"/>
      <c r="B2467" s="11"/>
      <c r="D2467" s="21"/>
      <c r="E2467" s="22"/>
      <c r="G2467" s="23"/>
      <c r="H2467" s="24"/>
      <c r="Q2467" s="2"/>
      <c r="R2467" s="2"/>
    </row>
    <row r="2468" spans="1:18" ht="15.75" customHeight="1" x14ac:dyDescent="0.3">
      <c r="A2468" s="11"/>
      <c r="B2468" s="11"/>
      <c r="D2468" s="21"/>
      <c r="E2468" s="22"/>
      <c r="G2468" s="23"/>
      <c r="H2468" s="24"/>
      <c r="Q2468" s="2"/>
      <c r="R2468" s="2"/>
    </row>
    <row r="2469" spans="1:18" ht="15.75" customHeight="1" x14ac:dyDescent="0.3">
      <c r="A2469" s="11"/>
      <c r="B2469" s="11"/>
      <c r="D2469" s="21"/>
      <c r="E2469" s="22"/>
      <c r="G2469" s="23"/>
      <c r="H2469" s="24"/>
      <c r="Q2469" s="2"/>
      <c r="R2469" s="2"/>
    </row>
    <row r="2470" spans="1:18" ht="15.75" customHeight="1" x14ac:dyDescent="0.3">
      <c r="A2470" s="11"/>
      <c r="B2470" s="11"/>
      <c r="D2470" s="21"/>
      <c r="E2470" s="22"/>
      <c r="G2470" s="23"/>
      <c r="H2470" s="24"/>
      <c r="Q2470" s="2"/>
      <c r="R2470" s="2"/>
    </row>
    <row r="2471" spans="1:18" ht="15.75" customHeight="1" x14ac:dyDescent="0.3">
      <c r="A2471" s="11"/>
      <c r="B2471" s="11"/>
      <c r="D2471" s="21"/>
      <c r="E2471" s="22"/>
      <c r="G2471" s="23"/>
      <c r="H2471" s="24"/>
      <c r="Q2471" s="2"/>
      <c r="R2471" s="2"/>
    </row>
    <row r="2472" spans="1:18" ht="15.75" customHeight="1" x14ac:dyDescent="0.3">
      <c r="A2472" s="11"/>
      <c r="B2472" s="11"/>
      <c r="D2472" s="21"/>
      <c r="E2472" s="22"/>
      <c r="G2472" s="23"/>
      <c r="H2472" s="24"/>
      <c r="Q2472" s="2"/>
      <c r="R2472" s="2"/>
    </row>
    <row r="2473" spans="1:18" ht="15.75" customHeight="1" x14ac:dyDescent="0.3">
      <c r="A2473" s="11"/>
      <c r="B2473" s="11"/>
      <c r="D2473" s="21"/>
      <c r="E2473" s="22"/>
      <c r="G2473" s="23"/>
      <c r="H2473" s="24"/>
      <c r="Q2473" s="2"/>
      <c r="R2473" s="2"/>
    </row>
    <row r="2474" spans="1:18" ht="15.75" customHeight="1" x14ac:dyDescent="0.3">
      <c r="A2474" s="11"/>
      <c r="B2474" s="11"/>
      <c r="D2474" s="21"/>
      <c r="E2474" s="22"/>
      <c r="G2474" s="23"/>
      <c r="H2474" s="24"/>
      <c r="Q2474" s="2"/>
      <c r="R2474" s="2"/>
    </row>
    <row r="2475" spans="1:18" ht="15.75" customHeight="1" x14ac:dyDescent="0.3">
      <c r="A2475" s="11"/>
      <c r="B2475" s="11"/>
      <c r="D2475" s="21"/>
      <c r="E2475" s="22"/>
      <c r="G2475" s="23"/>
      <c r="H2475" s="24"/>
      <c r="Q2475" s="2"/>
      <c r="R2475" s="2"/>
    </row>
    <row r="2476" spans="1:18" ht="15.75" customHeight="1" x14ac:dyDescent="0.3">
      <c r="A2476" s="11"/>
      <c r="B2476" s="11"/>
      <c r="D2476" s="21"/>
      <c r="E2476" s="22"/>
      <c r="G2476" s="23"/>
      <c r="H2476" s="24"/>
      <c r="Q2476" s="2"/>
      <c r="R2476" s="2"/>
    </row>
    <row r="2477" spans="1:18" ht="15.75" customHeight="1" x14ac:dyDescent="0.3">
      <c r="A2477" s="11"/>
      <c r="B2477" s="11"/>
      <c r="D2477" s="21"/>
      <c r="E2477" s="22"/>
      <c r="G2477" s="23"/>
      <c r="H2477" s="24"/>
      <c r="Q2477" s="2"/>
      <c r="R2477" s="2"/>
    </row>
    <row r="2478" spans="1:18" ht="15.75" customHeight="1" x14ac:dyDescent="0.3">
      <c r="A2478" s="11"/>
      <c r="B2478" s="11"/>
      <c r="D2478" s="21"/>
      <c r="E2478" s="22"/>
      <c r="G2478" s="23"/>
      <c r="H2478" s="24"/>
      <c r="Q2478" s="2"/>
      <c r="R2478" s="2"/>
    </row>
    <row r="2479" spans="1:18" ht="15.75" customHeight="1" x14ac:dyDescent="0.3">
      <c r="A2479" s="11"/>
      <c r="B2479" s="11"/>
      <c r="D2479" s="21"/>
      <c r="E2479" s="22"/>
      <c r="G2479" s="23"/>
      <c r="H2479" s="24"/>
      <c r="Q2479" s="2"/>
      <c r="R2479" s="2"/>
    </row>
    <row r="2480" spans="1:18" ht="15.75" customHeight="1" x14ac:dyDescent="0.3">
      <c r="A2480" s="11"/>
      <c r="B2480" s="11"/>
      <c r="D2480" s="21"/>
      <c r="E2480" s="22"/>
      <c r="G2480" s="23"/>
      <c r="H2480" s="24"/>
      <c r="Q2480" s="2"/>
      <c r="R2480" s="2"/>
    </row>
    <row r="2481" spans="1:18" ht="15.75" customHeight="1" x14ac:dyDescent="0.3">
      <c r="A2481" s="11"/>
      <c r="B2481" s="11"/>
      <c r="D2481" s="21"/>
      <c r="E2481" s="22"/>
      <c r="G2481" s="23"/>
      <c r="H2481" s="24"/>
      <c r="Q2481" s="2"/>
      <c r="R2481" s="2"/>
    </row>
    <row r="2482" spans="1:18" ht="15.75" customHeight="1" x14ac:dyDescent="0.3">
      <c r="A2482" s="11"/>
      <c r="B2482" s="11"/>
      <c r="D2482" s="21"/>
      <c r="E2482" s="22"/>
      <c r="G2482" s="23"/>
      <c r="H2482" s="24"/>
      <c r="Q2482" s="2"/>
      <c r="R2482" s="2"/>
    </row>
    <row r="2483" spans="1:18" ht="15.75" customHeight="1" x14ac:dyDescent="0.3">
      <c r="A2483" s="11"/>
      <c r="B2483" s="11"/>
      <c r="D2483" s="21"/>
      <c r="E2483" s="22"/>
      <c r="G2483" s="23"/>
      <c r="H2483" s="24"/>
      <c r="Q2483" s="2"/>
      <c r="R2483" s="2"/>
    </row>
    <row r="2484" spans="1:18" ht="15.75" customHeight="1" x14ac:dyDescent="0.3">
      <c r="A2484" s="11"/>
      <c r="B2484" s="11"/>
      <c r="D2484" s="21"/>
      <c r="E2484" s="22"/>
      <c r="G2484" s="23"/>
      <c r="H2484" s="24"/>
      <c r="Q2484" s="2"/>
      <c r="R2484" s="2"/>
    </row>
    <row r="2485" spans="1:18" ht="15.75" customHeight="1" x14ac:dyDescent="0.3">
      <c r="A2485" s="11"/>
      <c r="B2485" s="11"/>
      <c r="D2485" s="21"/>
      <c r="E2485" s="22"/>
      <c r="G2485" s="23"/>
      <c r="H2485" s="24"/>
      <c r="Q2485" s="2"/>
      <c r="R2485" s="2"/>
    </row>
    <row r="2486" spans="1:18" ht="15.75" customHeight="1" x14ac:dyDescent="0.3">
      <c r="A2486" s="11"/>
      <c r="B2486" s="11"/>
      <c r="D2486" s="21"/>
      <c r="E2486" s="22"/>
      <c r="G2486" s="23"/>
      <c r="H2486" s="24"/>
      <c r="Q2486" s="2"/>
      <c r="R2486" s="2"/>
    </row>
    <row r="2487" spans="1:18" ht="15.75" customHeight="1" x14ac:dyDescent="0.3">
      <c r="A2487" s="11"/>
      <c r="B2487" s="11"/>
      <c r="D2487" s="21"/>
      <c r="E2487" s="22"/>
      <c r="G2487" s="23"/>
      <c r="H2487" s="24"/>
      <c r="Q2487" s="2"/>
      <c r="R2487" s="2"/>
    </row>
    <row r="2488" spans="1:18" ht="15.75" customHeight="1" x14ac:dyDescent="0.3">
      <c r="A2488" s="11"/>
      <c r="B2488" s="11"/>
      <c r="D2488" s="21"/>
      <c r="E2488" s="22"/>
      <c r="G2488" s="23"/>
      <c r="H2488" s="24"/>
      <c r="Q2488" s="2"/>
      <c r="R2488" s="2"/>
    </row>
    <row r="2489" spans="1:18" ht="15.75" customHeight="1" x14ac:dyDescent="0.3">
      <c r="A2489" s="11"/>
      <c r="B2489" s="11"/>
      <c r="D2489" s="21"/>
      <c r="E2489" s="22"/>
      <c r="G2489" s="23"/>
      <c r="H2489" s="24"/>
      <c r="Q2489" s="2"/>
      <c r="R2489" s="2"/>
    </row>
    <row r="2490" spans="1:18" ht="15.75" customHeight="1" x14ac:dyDescent="0.3">
      <c r="A2490" s="11"/>
      <c r="B2490" s="11"/>
      <c r="D2490" s="21"/>
      <c r="E2490" s="22"/>
      <c r="G2490" s="23"/>
      <c r="H2490" s="24"/>
      <c r="Q2490" s="2"/>
      <c r="R2490" s="2"/>
    </row>
    <row r="2491" spans="1:18" ht="15.75" customHeight="1" x14ac:dyDescent="0.3">
      <c r="A2491" s="11"/>
      <c r="B2491" s="11"/>
      <c r="D2491" s="21"/>
      <c r="E2491" s="22"/>
      <c r="G2491" s="23"/>
      <c r="H2491" s="24"/>
      <c r="Q2491" s="2"/>
      <c r="R2491" s="2"/>
    </row>
    <row r="2492" spans="1:18" ht="15.75" customHeight="1" x14ac:dyDescent="0.3">
      <c r="A2492" s="11"/>
      <c r="B2492" s="11"/>
      <c r="D2492" s="21"/>
      <c r="E2492" s="22"/>
      <c r="G2492" s="23"/>
      <c r="H2492" s="24"/>
      <c r="Q2492" s="2"/>
      <c r="R2492" s="2"/>
    </row>
    <row r="2493" spans="1:18" ht="15.75" customHeight="1" x14ac:dyDescent="0.3">
      <c r="A2493" s="11"/>
      <c r="B2493" s="11"/>
      <c r="D2493" s="21"/>
      <c r="E2493" s="22"/>
      <c r="G2493" s="23"/>
      <c r="H2493" s="24"/>
      <c r="Q2493" s="2"/>
      <c r="R2493" s="2"/>
    </row>
    <row r="2494" spans="1:18" ht="15.75" customHeight="1" x14ac:dyDescent="0.3">
      <c r="A2494" s="11"/>
      <c r="B2494" s="11"/>
      <c r="D2494" s="21"/>
      <c r="E2494" s="22"/>
      <c r="G2494" s="23"/>
      <c r="H2494" s="24"/>
      <c r="Q2494" s="2"/>
      <c r="R2494" s="2"/>
    </row>
    <row r="2495" spans="1:18" ht="15.75" customHeight="1" x14ac:dyDescent="0.3">
      <c r="A2495" s="11"/>
      <c r="B2495" s="11"/>
      <c r="D2495" s="21"/>
      <c r="E2495" s="22"/>
      <c r="G2495" s="23"/>
      <c r="H2495" s="24"/>
      <c r="Q2495" s="2"/>
      <c r="R2495" s="2"/>
    </row>
    <row r="2496" spans="1:18" ht="15.75" customHeight="1" x14ac:dyDescent="0.3">
      <c r="A2496" s="11"/>
      <c r="B2496" s="11"/>
      <c r="D2496" s="21"/>
      <c r="E2496" s="22"/>
      <c r="G2496" s="23"/>
      <c r="H2496" s="24"/>
      <c r="Q2496" s="2"/>
      <c r="R2496" s="2"/>
    </row>
    <row r="2497" spans="1:18" ht="15.75" customHeight="1" x14ac:dyDescent="0.3">
      <c r="A2497" s="11"/>
      <c r="B2497" s="11"/>
      <c r="D2497" s="21"/>
      <c r="E2497" s="22"/>
      <c r="G2497" s="23"/>
      <c r="H2497" s="24"/>
      <c r="Q2497" s="2"/>
      <c r="R2497" s="2"/>
    </row>
    <row r="2498" spans="1:18" ht="15.75" customHeight="1" x14ac:dyDescent="0.3">
      <c r="A2498" s="11"/>
      <c r="B2498" s="11"/>
      <c r="D2498" s="21"/>
      <c r="E2498" s="22"/>
      <c r="G2498" s="23"/>
      <c r="H2498" s="24"/>
      <c r="Q2498" s="2"/>
      <c r="R2498" s="2"/>
    </row>
    <row r="2499" spans="1:18" ht="15.75" customHeight="1" x14ac:dyDescent="0.3">
      <c r="A2499" s="11"/>
      <c r="B2499" s="11"/>
      <c r="D2499" s="21"/>
      <c r="E2499" s="22"/>
      <c r="G2499" s="23"/>
      <c r="H2499" s="24"/>
      <c r="Q2499" s="2"/>
      <c r="R2499" s="2"/>
    </row>
    <row r="2500" spans="1:18" ht="15.75" customHeight="1" x14ac:dyDescent="0.3">
      <c r="A2500" s="11"/>
      <c r="B2500" s="11"/>
      <c r="D2500" s="21"/>
      <c r="E2500" s="22"/>
      <c r="G2500" s="23"/>
      <c r="H2500" s="24"/>
      <c r="Q2500" s="2"/>
      <c r="R2500" s="2"/>
    </row>
    <row r="2501" spans="1:18" ht="15.75" customHeight="1" x14ac:dyDescent="0.3">
      <c r="A2501" s="11"/>
      <c r="B2501" s="11"/>
      <c r="D2501" s="21"/>
      <c r="E2501" s="22"/>
      <c r="G2501" s="23"/>
      <c r="H2501" s="24"/>
      <c r="Q2501" s="2"/>
      <c r="R2501" s="2"/>
    </row>
    <row r="2502" spans="1:18" ht="15.75" customHeight="1" x14ac:dyDescent="0.3">
      <c r="A2502" s="11"/>
      <c r="B2502" s="11"/>
      <c r="D2502" s="21"/>
      <c r="E2502" s="22"/>
      <c r="G2502" s="23"/>
      <c r="H2502" s="24"/>
      <c r="Q2502" s="2"/>
      <c r="R2502" s="2"/>
    </row>
    <row r="2503" spans="1:18" ht="15.75" customHeight="1" x14ac:dyDescent="0.3">
      <c r="A2503" s="11"/>
      <c r="B2503" s="11"/>
      <c r="D2503" s="21"/>
      <c r="E2503" s="22"/>
      <c r="G2503" s="23"/>
      <c r="H2503" s="24"/>
      <c r="Q2503" s="2"/>
      <c r="R2503" s="2"/>
    </row>
    <row r="2504" spans="1:18" ht="15.75" customHeight="1" x14ac:dyDescent="0.3">
      <c r="A2504" s="11"/>
      <c r="B2504" s="11"/>
      <c r="D2504" s="21"/>
      <c r="E2504" s="22"/>
      <c r="G2504" s="23"/>
      <c r="H2504" s="24"/>
      <c r="Q2504" s="2"/>
      <c r="R2504" s="2"/>
    </row>
    <row r="2505" spans="1:18" ht="15.75" customHeight="1" x14ac:dyDescent="0.3">
      <c r="A2505" s="11"/>
      <c r="B2505" s="11"/>
      <c r="D2505" s="21"/>
      <c r="E2505" s="22"/>
      <c r="G2505" s="23"/>
      <c r="H2505" s="24"/>
      <c r="Q2505" s="2"/>
      <c r="R2505" s="2"/>
    </row>
    <row r="2506" spans="1:18" ht="15.75" customHeight="1" x14ac:dyDescent="0.3">
      <c r="A2506" s="11"/>
      <c r="B2506" s="11"/>
      <c r="D2506" s="21"/>
      <c r="E2506" s="22"/>
      <c r="G2506" s="23"/>
      <c r="H2506" s="24"/>
      <c r="Q2506" s="2"/>
      <c r="R2506" s="2"/>
    </row>
    <row r="2507" spans="1:18" ht="15.75" customHeight="1" x14ac:dyDescent="0.3">
      <c r="A2507" s="11"/>
      <c r="B2507" s="11"/>
      <c r="D2507" s="21"/>
      <c r="E2507" s="22"/>
      <c r="G2507" s="23"/>
      <c r="H2507" s="24"/>
      <c r="Q2507" s="2"/>
      <c r="R2507" s="2"/>
    </row>
    <row r="2508" spans="1:18" ht="15.75" customHeight="1" x14ac:dyDescent="0.3">
      <c r="A2508" s="11"/>
      <c r="B2508" s="11"/>
      <c r="D2508" s="21"/>
      <c r="E2508" s="22"/>
      <c r="G2508" s="23"/>
      <c r="H2508" s="24"/>
      <c r="Q2508" s="2"/>
      <c r="R2508" s="2"/>
    </row>
    <row r="2509" spans="1:18" ht="15.75" customHeight="1" x14ac:dyDescent="0.3">
      <c r="A2509" s="11"/>
      <c r="B2509" s="11"/>
      <c r="D2509" s="21"/>
      <c r="E2509" s="22"/>
      <c r="G2509" s="23"/>
      <c r="H2509" s="24"/>
      <c r="Q2509" s="2"/>
      <c r="R2509" s="2"/>
    </row>
    <row r="2510" spans="1:18" ht="15.75" customHeight="1" x14ac:dyDescent="0.3">
      <c r="A2510" s="11"/>
      <c r="B2510" s="11"/>
      <c r="D2510" s="21"/>
      <c r="E2510" s="22"/>
      <c r="G2510" s="23"/>
      <c r="H2510" s="24"/>
      <c r="Q2510" s="2"/>
      <c r="R2510" s="2"/>
    </row>
    <row r="2511" spans="1:18" ht="15.75" customHeight="1" x14ac:dyDescent="0.3">
      <c r="A2511" s="11"/>
      <c r="B2511" s="11"/>
      <c r="D2511" s="21"/>
      <c r="E2511" s="22"/>
      <c r="G2511" s="23"/>
      <c r="H2511" s="24"/>
      <c r="Q2511" s="2"/>
      <c r="R2511" s="2"/>
    </row>
    <row r="2512" spans="1:18" ht="15.75" customHeight="1" x14ac:dyDescent="0.3">
      <c r="A2512" s="11"/>
      <c r="B2512" s="11"/>
      <c r="D2512" s="21"/>
      <c r="E2512" s="22"/>
      <c r="G2512" s="23"/>
      <c r="H2512" s="24"/>
      <c r="Q2512" s="2"/>
      <c r="R2512" s="2"/>
    </row>
    <row r="2513" spans="1:18" ht="15.75" customHeight="1" x14ac:dyDescent="0.3">
      <c r="A2513" s="11"/>
      <c r="B2513" s="11"/>
      <c r="D2513" s="21"/>
      <c r="E2513" s="22"/>
      <c r="G2513" s="23"/>
      <c r="H2513" s="24"/>
      <c r="Q2513" s="2"/>
      <c r="R2513" s="2"/>
    </row>
    <row r="2514" spans="1:18" ht="15.75" customHeight="1" x14ac:dyDescent="0.3">
      <c r="A2514" s="11"/>
      <c r="B2514" s="11"/>
      <c r="D2514" s="21"/>
      <c r="E2514" s="22"/>
      <c r="G2514" s="23"/>
      <c r="H2514" s="24"/>
      <c r="Q2514" s="2"/>
      <c r="R2514" s="2"/>
    </row>
    <row r="2515" spans="1:18" ht="15.75" customHeight="1" x14ac:dyDescent="0.3">
      <c r="A2515" s="11"/>
      <c r="B2515" s="11"/>
      <c r="D2515" s="21"/>
      <c r="E2515" s="22"/>
      <c r="G2515" s="23"/>
      <c r="H2515" s="24"/>
      <c r="Q2515" s="2"/>
      <c r="R2515" s="2"/>
    </row>
    <row r="2516" spans="1:18" ht="15.75" customHeight="1" x14ac:dyDescent="0.3">
      <c r="A2516" s="11"/>
      <c r="B2516" s="11"/>
      <c r="D2516" s="21"/>
      <c r="E2516" s="22"/>
      <c r="G2516" s="23"/>
      <c r="H2516" s="24"/>
      <c r="Q2516" s="2"/>
      <c r="R2516" s="2"/>
    </row>
    <row r="2517" spans="1:18" ht="15.75" customHeight="1" x14ac:dyDescent="0.3">
      <c r="A2517" s="11"/>
      <c r="B2517" s="11"/>
      <c r="D2517" s="21"/>
      <c r="E2517" s="22"/>
      <c r="G2517" s="23"/>
      <c r="H2517" s="24"/>
      <c r="Q2517" s="2"/>
      <c r="R2517" s="2"/>
    </row>
    <row r="2518" spans="1:18" ht="15.75" customHeight="1" x14ac:dyDescent="0.3">
      <c r="A2518" s="11"/>
      <c r="B2518" s="11"/>
      <c r="D2518" s="21"/>
      <c r="E2518" s="22"/>
      <c r="G2518" s="23"/>
      <c r="H2518" s="24"/>
      <c r="Q2518" s="2"/>
      <c r="R2518" s="2"/>
    </row>
    <row r="2519" spans="1:18" ht="15.75" customHeight="1" x14ac:dyDescent="0.3">
      <c r="A2519" s="11"/>
      <c r="B2519" s="11"/>
      <c r="D2519" s="21"/>
      <c r="E2519" s="22"/>
      <c r="G2519" s="23"/>
      <c r="H2519" s="24"/>
      <c r="Q2519" s="2"/>
      <c r="R2519" s="2"/>
    </row>
    <row r="2520" spans="1:18" ht="15.75" customHeight="1" x14ac:dyDescent="0.3">
      <c r="A2520" s="11"/>
      <c r="B2520" s="11"/>
      <c r="D2520" s="21"/>
      <c r="E2520" s="22"/>
      <c r="G2520" s="23"/>
      <c r="H2520" s="24"/>
      <c r="Q2520" s="2"/>
      <c r="R2520" s="2"/>
    </row>
    <row r="2521" spans="1:18" ht="15.75" customHeight="1" x14ac:dyDescent="0.3">
      <c r="A2521" s="11"/>
      <c r="B2521" s="11"/>
      <c r="D2521" s="21"/>
      <c r="E2521" s="22"/>
      <c r="G2521" s="23"/>
      <c r="H2521" s="24"/>
      <c r="Q2521" s="2"/>
      <c r="R2521" s="2"/>
    </row>
    <row r="2522" spans="1:18" ht="15.75" customHeight="1" x14ac:dyDescent="0.3">
      <c r="A2522" s="11"/>
      <c r="B2522" s="11"/>
      <c r="D2522" s="21"/>
      <c r="E2522" s="22"/>
      <c r="G2522" s="23"/>
      <c r="H2522" s="24"/>
      <c r="Q2522" s="2"/>
      <c r="R2522" s="2"/>
    </row>
    <row r="2523" spans="1:18" ht="15.75" customHeight="1" x14ac:dyDescent="0.3">
      <c r="A2523" s="11"/>
      <c r="B2523" s="11"/>
      <c r="D2523" s="21"/>
      <c r="E2523" s="22"/>
      <c r="G2523" s="23"/>
      <c r="H2523" s="24"/>
      <c r="Q2523" s="2"/>
      <c r="R2523" s="2"/>
    </row>
    <row r="2524" spans="1:18" ht="15.75" customHeight="1" x14ac:dyDescent="0.3">
      <c r="A2524" s="11"/>
      <c r="B2524" s="11"/>
      <c r="D2524" s="21"/>
      <c r="E2524" s="22"/>
      <c r="G2524" s="23"/>
      <c r="H2524" s="24"/>
      <c r="Q2524" s="2"/>
      <c r="R2524" s="2"/>
    </row>
    <row r="2525" spans="1:18" ht="15.75" customHeight="1" x14ac:dyDescent="0.3">
      <c r="A2525" s="11"/>
      <c r="B2525" s="11"/>
      <c r="D2525" s="21"/>
      <c r="E2525" s="22"/>
      <c r="G2525" s="23"/>
      <c r="H2525" s="24"/>
      <c r="Q2525" s="2"/>
      <c r="R2525" s="2"/>
    </row>
    <row r="2526" spans="1:18" ht="15.75" customHeight="1" x14ac:dyDescent="0.3">
      <c r="A2526" s="11"/>
      <c r="B2526" s="11"/>
      <c r="D2526" s="21"/>
      <c r="E2526" s="22"/>
      <c r="G2526" s="23"/>
      <c r="H2526" s="24"/>
      <c r="Q2526" s="2"/>
      <c r="R2526" s="2"/>
    </row>
    <row r="2527" spans="1:18" ht="15.75" customHeight="1" x14ac:dyDescent="0.3">
      <c r="A2527" s="11"/>
      <c r="B2527" s="11"/>
      <c r="D2527" s="21"/>
      <c r="E2527" s="22"/>
      <c r="G2527" s="23"/>
      <c r="H2527" s="24"/>
      <c r="Q2527" s="2"/>
      <c r="R2527" s="2"/>
    </row>
    <row r="2528" spans="1:18" ht="15.75" customHeight="1" x14ac:dyDescent="0.3">
      <c r="A2528" s="11"/>
      <c r="B2528" s="11"/>
      <c r="D2528" s="21"/>
      <c r="E2528" s="22"/>
      <c r="G2528" s="23"/>
      <c r="H2528" s="24"/>
      <c r="Q2528" s="2"/>
      <c r="R2528" s="2"/>
    </row>
    <row r="2529" spans="1:18" ht="15.75" customHeight="1" x14ac:dyDescent="0.3">
      <c r="A2529" s="11"/>
      <c r="B2529" s="11"/>
      <c r="D2529" s="21"/>
      <c r="E2529" s="22"/>
      <c r="G2529" s="23"/>
      <c r="H2529" s="24"/>
      <c r="Q2529" s="2"/>
      <c r="R2529" s="2"/>
    </row>
    <row r="2530" spans="1:18" ht="15.75" customHeight="1" x14ac:dyDescent="0.3">
      <c r="A2530" s="11"/>
      <c r="B2530" s="11"/>
      <c r="D2530" s="21"/>
      <c r="E2530" s="22"/>
      <c r="G2530" s="23"/>
      <c r="H2530" s="24"/>
      <c r="Q2530" s="2"/>
      <c r="R2530" s="2"/>
    </row>
    <row r="2531" spans="1:18" ht="15.75" customHeight="1" x14ac:dyDescent="0.3">
      <c r="A2531" s="11"/>
      <c r="B2531" s="11"/>
      <c r="D2531" s="21"/>
      <c r="E2531" s="22"/>
      <c r="G2531" s="23"/>
      <c r="H2531" s="24"/>
      <c r="Q2531" s="2"/>
      <c r="R2531" s="2"/>
    </row>
    <row r="2532" spans="1:18" ht="15.75" customHeight="1" x14ac:dyDescent="0.3">
      <c r="A2532" s="11"/>
      <c r="B2532" s="11"/>
      <c r="D2532" s="21"/>
      <c r="E2532" s="22"/>
      <c r="G2532" s="23"/>
      <c r="H2532" s="24"/>
      <c r="Q2532" s="2"/>
      <c r="R2532" s="2"/>
    </row>
    <row r="2533" spans="1:18" ht="15.75" customHeight="1" x14ac:dyDescent="0.3">
      <c r="A2533" s="11"/>
      <c r="B2533" s="11"/>
      <c r="D2533" s="21"/>
      <c r="E2533" s="22"/>
      <c r="G2533" s="23"/>
      <c r="H2533" s="24"/>
      <c r="Q2533" s="2"/>
      <c r="R2533" s="2"/>
    </row>
    <row r="2534" spans="1:18" ht="15.75" customHeight="1" x14ac:dyDescent="0.3">
      <c r="A2534" s="11"/>
      <c r="B2534" s="11"/>
      <c r="D2534" s="21"/>
      <c r="E2534" s="22"/>
      <c r="G2534" s="23"/>
      <c r="H2534" s="24"/>
      <c r="Q2534" s="2"/>
      <c r="R2534" s="2"/>
    </row>
    <row r="2535" spans="1:18" ht="15.75" customHeight="1" x14ac:dyDescent="0.3">
      <c r="A2535" s="11"/>
      <c r="B2535" s="11"/>
      <c r="D2535" s="21"/>
      <c r="E2535" s="22"/>
      <c r="G2535" s="23"/>
      <c r="H2535" s="24"/>
      <c r="Q2535" s="2"/>
      <c r="R2535" s="2"/>
    </row>
    <row r="2536" spans="1:18" ht="15.75" customHeight="1" x14ac:dyDescent="0.3">
      <c r="A2536" s="11"/>
      <c r="B2536" s="11"/>
      <c r="D2536" s="21"/>
      <c r="E2536" s="22"/>
      <c r="G2536" s="23"/>
      <c r="H2536" s="24"/>
      <c r="Q2536" s="2"/>
      <c r="R2536" s="2"/>
    </row>
    <row r="2537" spans="1:18" ht="15.75" customHeight="1" x14ac:dyDescent="0.3">
      <c r="A2537" s="11"/>
      <c r="B2537" s="11"/>
      <c r="D2537" s="21"/>
      <c r="E2537" s="22"/>
      <c r="G2537" s="23"/>
      <c r="H2537" s="24"/>
      <c r="Q2537" s="2"/>
      <c r="R2537" s="2"/>
    </row>
    <row r="2538" spans="1:18" ht="15.75" customHeight="1" x14ac:dyDescent="0.3">
      <c r="A2538" s="11"/>
      <c r="B2538" s="11"/>
      <c r="D2538" s="21"/>
      <c r="E2538" s="22"/>
      <c r="G2538" s="23"/>
      <c r="H2538" s="24"/>
      <c r="Q2538" s="2"/>
      <c r="R2538" s="2"/>
    </row>
    <row r="2539" spans="1:18" ht="15.75" customHeight="1" x14ac:dyDescent="0.3">
      <c r="A2539" s="11"/>
      <c r="B2539" s="11"/>
      <c r="D2539" s="21"/>
      <c r="E2539" s="22"/>
      <c r="G2539" s="23"/>
      <c r="H2539" s="24"/>
      <c r="Q2539" s="2"/>
      <c r="R2539" s="2"/>
    </row>
    <row r="2540" spans="1:18" ht="15.75" customHeight="1" x14ac:dyDescent="0.3">
      <c r="A2540" s="11"/>
      <c r="B2540" s="11"/>
      <c r="D2540" s="21"/>
      <c r="E2540" s="22"/>
      <c r="G2540" s="23"/>
      <c r="H2540" s="24"/>
      <c r="Q2540" s="2"/>
      <c r="R2540" s="2"/>
    </row>
    <row r="2541" spans="1:18" ht="15.75" customHeight="1" x14ac:dyDescent="0.3">
      <c r="A2541" s="11"/>
      <c r="B2541" s="11"/>
      <c r="D2541" s="21"/>
      <c r="E2541" s="22"/>
      <c r="G2541" s="23"/>
      <c r="H2541" s="24"/>
      <c r="Q2541" s="2"/>
      <c r="R2541" s="2"/>
    </row>
    <row r="2542" spans="1:18" ht="15.75" customHeight="1" x14ac:dyDescent="0.3">
      <c r="A2542" s="11"/>
      <c r="B2542" s="11"/>
      <c r="D2542" s="21"/>
      <c r="E2542" s="22"/>
      <c r="G2542" s="23"/>
      <c r="H2542" s="24"/>
      <c r="Q2542" s="2"/>
      <c r="R2542" s="2"/>
    </row>
    <row r="2543" spans="1:18" ht="15.75" customHeight="1" x14ac:dyDescent="0.3">
      <c r="A2543" s="11"/>
      <c r="B2543" s="11"/>
      <c r="D2543" s="21"/>
      <c r="E2543" s="22"/>
      <c r="G2543" s="23"/>
      <c r="H2543" s="24"/>
      <c r="Q2543" s="2"/>
      <c r="R2543" s="2"/>
    </row>
    <row r="2544" spans="1:18" ht="15.75" customHeight="1" x14ac:dyDescent="0.3">
      <c r="A2544" s="11"/>
      <c r="B2544" s="11"/>
      <c r="D2544" s="21"/>
      <c r="E2544" s="22"/>
      <c r="G2544" s="23"/>
      <c r="H2544" s="24"/>
      <c r="Q2544" s="2"/>
      <c r="R2544" s="2"/>
    </row>
    <row r="2545" spans="1:18" ht="15.75" customHeight="1" x14ac:dyDescent="0.3">
      <c r="A2545" s="11"/>
      <c r="B2545" s="11"/>
      <c r="D2545" s="21"/>
      <c r="E2545" s="22"/>
      <c r="G2545" s="23"/>
      <c r="H2545" s="24"/>
      <c r="Q2545" s="2"/>
      <c r="R2545" s="2"/>
    </row>
    <row r="2546" spans="1:18" ht="15.75" customHeight="1" x14ac:dyDescent="0.3">
      <c r="A2546" s="11"/>
      <c r="B2546" s="11"/>
      <c r="D2546" s="21"/>
      <c r="E2546" s="22"/>
      <c r="G2546" s="23"/>
      <c r="H2546" s="24"/>
      <c r="Q2546" s="2"/>
      <c r="R2546" s="2"/>
    </row>
    <row r="2547" spans="1:18" ht="15.75" customHeight="1" x14ac:dyDescent="0.3">
      <c r="A2547" s="11"/>
      <c r="B2547" s="11"/>
      <c r="D2547" s="21"/>
      <c r="E2547" s="22"/>
      <c r="G2547" s="23"/>
      <c r="H2547" s="24"/>
      <c r="Q2547" s="2"/>
      <c r="R2547" s="2"/>
    </row>
    <row r="2548" spans="1:18" ht="15.75" customHeight="1" x14ac:dyDescent="0.3">
      <c r="A2548" s="11"/>
      <c r="B2548" s="11"/>
      <c r="D2548" s="21"/>
      <c r="E2548" s="22"/>
      <c r="G2548" s="23"/>
      <c r="H2548" s="24"/>
      <c r="Q2548" s="2"/>
      <c r="R2548" s="2"/>
    </row>
    <row r="2549" spans="1:18" ht="15.75" customHeight="1" x14ac:dyDescent="0.3">
      <c r="A2549" s="11"/>
      <c r="B2549" s="11"/>
      <c r="D2549" s="21"/>
      <c r="E2549" s="22"/>
      <c r="G2549" s="23"/>
      <c r="H2549" s="24"/>
      <c r="Q2549" s="2"/>
      <c r="R2549" s="2"/>
    </row>
    <row r="2550" spans="1:18" ht="15.75" customHeight="1" x14ac:dyDescent="0.3">
      <c r="A2550" s="11"/>
      <c r="B2550" s="11"/>
      <c r="D2550" s="21"/>
      <c r="E2550" s="22"/>
      <c r="G2550" s="23"/>
      <c r="H2550" s="24"/>
      <c r="Q2550" s="2"/>
      <c r="R2550" s="2"/>
    </row>
    <row r="2551" spans="1:18" ht="15.75" customHeight="1" x14ac:dyDescent="0.3">
      <c r="A2551" s="11"/>
      <c r="B2551" s="11"/>
      <c r="D2551" s="21"/>
      <c r="E2551" s="22"/>
      <c r="G2551" s="23"/>
      <c r="H2551" s="24"/>
      <c r="Q2551" s="2"/>
      <c r="R2551" s="2"/>
    </row>
    <row r="2552" spans="1:18" ht="15.75" customHeight="1" x14ac:dyDescent="0.3">
      <c r="A2552" s="11"/>
      <c r="B2552" s="11"/>
      <c r="D2552" s="21"/>
      <c r="E2552" s="22"/>
      <c r="G2552" s="23"/>
      <c r="H2552" s="24"/>
      <c r="Q2552" s="2"/>
      <c r="R2552" s="2"/>
    </row>
    <row r="2553" spans="1:18" ht="15.75" customHeight="1" x14ac:dyDescent="0.3">
      <c r="A2553" s="11"/>
      <c r="B2553" s="11"/>
      <c r="D2553" s="21"/>
      <c r="E2553" s="22"/>
      <c r="G2553" s="23"/>
      <c r="H2553" s="24"/>
      <c r="Q2553" s="2"/>
      <c r="R2553" s="2"/>
    </row>
    <row r="2554" spans="1:18" ht="15.75" customHeight="1" x14ac:dyDescent="0.3">
      <c r="A2554" s="11"/>
      <c r="B2554" s="11"/>
      <c r="D2554" s="21"/>
      <c r="E2554" s="22"/>
      <c r="G2554" s="23"/>
      <c r="H2554" s="24"/>
      <c r="Q2554" s="2"/>
      <c r="R2554" s="2"/>
    </row>
    <row r="2555" spans="1:18" ht="15.75" customHeight="1" x14ac:dyDescent="0.3">
      <c r="A2555" s="11"/>
      <c r="B2555" s="11"/>
      <c r="D2555" s="21"/>
      <c r="E2555" s="22"/>
      <c r="G2555" s="23"/>
      <c r="H2555" s="24"/>
      <c r="Q2555" s="2"/>
      <c r="R2555" s="2"/>
    </row>
    <row r="2556" spans="1:18" ht="15.75" customHeight="1" x14ac:dyDescent="0.3">
      <c r="A2556" s="11"/>
      <c r="B2556" s="11"/>
      <c r="D2556" s="21"/>
      <c r="E2556" s="22"/>
      <c r="G2556" s="23"/>
      <c r="H2556" s="24"/>
      <c r="Q2556" s="2"/>
      <c r="R2556" s="2"/>
    </row>
    <row r="2557" spans="1:18" ht="15.75" customHeight="1" x14ac:dyDescent="0.3">
      <c r="A2557" s="11"/>
      <c r="B2557" s="11"/>
      <c r="D2557" s="21"/>
      <c r="E2557" s="22"/>
      <c r="G2557" s="23"/>
      <c r="H2557" s="24"/>
      <c r="Q2557" s="2"/>
      <c r="R2557" s="2"/>
    </row>
    <row r="2558" spans="1:18" ht="15.75" customHeight="1" x14ac:dyDescent="0.3">
      <c r="A2558" s="11"/>
      <c r="B2558" s="11"/>
      <c r="D2558" s="21"/>
      <c r="E2558" s="22"/>
      <c r="G2558" s="23"/>
      <c r="H2558" s="24"/>
      <c r="Q2558" s="2"/>
      <c r="R2558" s="2"/>
    </row>
    <row r="2559" spans="1:18" ht="15.75" customHeight="1" x14ac:dyDescent="0.3">
      <c r="A2559" s="11"/>
      <c r="B2559" s="11"/>
      <c r="D2559" s="21"/>
      <c r="E2559" s="22"/>
      <c r="G2559" s="23"/>
      <c r="H2559" s="24"/>
      <c r="Q2559" s="2"/>
      <c r="R2559" s="2"/>
    </row>
    <row r="2560" spans="1:18" ht="15.75" customHeight="1" x14ac:dyDescent="0.3">
      <c r="A2560" s="11"/>
      <c r="B2560" s="11"/>
      <c r="D2560" s="21"/>
      <c r="E2560" s="22"/>
      <c r="G2560" s="23"/>
      <c r="H2560" s="24"/>
      <c r="Q2560" s="2"/>
      <c r="R2560" s="2"/>
    </row>
    <row r="2561" spans="1:18" ht="15.75" customHeight="1" x14ac:dyDescent="0.3">
      <c r="A2561" s="11"/>
      <c r="B2561" s="11"/>
      <c r="D2561" s="21"/>
      <c r="E2561" s="22"/>
      <c r="G2561" s="23"/>
      <c r="H2561" s="24"/>
      <c r="Q2561" s="2"/>
      <c r="R2561" s="2"/>
    </row>
    <row r="2562" spans="1:18" ht="15.75" customHeight="1" x14ac:dyDescent="0.3">
      <c r="A2562" s="11"/>
      <c r="B2562" s="11"/>
      <c r="D2562" s="21"/>
      <c r="E2562" s="22"/>
      <c r="G2562" s="23"/>
      <c r="H2562" s="24"/>
      <c r="Q2562" s="2"/>
      <c r="R2562" s="2"/>
    </row>
    <row r="2563" spans="1:18" ht="15.75" customHeight="1" x14ac:dyDescent="0.3">
      <c r="A2563" s="11"/>
      <c r="B2563" s="11"/>
      <c r="D2563" s="21"/>
      <c r="E2563" s="22"/>
      <c r="G2563" s="23"/>
      <c r="H2563" s="24"/>
      <c r="Q2563" s="2"/>
      <c r="R2563" s="2"/>
    </row>
    <row r="2564" spans="1:18" ht="15.75" customHeight="1" x14ac:dyDescent="0.3">
      <c r="A2564" s="11"/>
      <c r="B2564" s="11"/>
      <c r="D2564" s="21"/>
      <c r="E2564" s="22"/>
      <c r="G2564" s="23"/>
      <c r="H2564" s="24"/>
      <c r="Q2564" s="2"/>
      <c r="R2564" s="2"/>
    </row>
    <row r="2565" spans="1:18" ht="15.75" customHeight="1" x14ac:dyDescent="0.3">
      <c r="A2565" s="11"/>
      <c r="B2565" s="11"/>
      <c r="D2565" s="21"/>
      <c r="E2565" s="22"/>
      <c r="G2565" s="23"/>
      <c r="H2565" s="24"/>
      <c r="Q2565" s="2"/>
      <c r="R2565" s="2"/>
    </row>
    <row r="2566" spans="1:18" ht="15.75" customHeight="1" x14ac:dyDescent="0.3">
      <c r="A2566" s="11"/>
      <c r="B2566" s="11"/>
      <c r="D2566" s="21"/>
      <c r="E2566" s="22"/>
      <c r="G2566" s="23"/>
      <c r="H2566" s="24"/>
      <c r="Q2566" s="2"/>
      <c r="R2566" s="2"/>
    </row>
    <row r="2567" spans="1:18" ht="15.75" customHeight="1" x14ac:dyDescent="0.3">
      <c r="A2567" s="11"/>
      <c r="B2567" s="11"/>
      <c r="D2567" s="21"/>
      <c r="E2567" s="22"/>
      <c r="G2567" s="23"/>
      <c r="H2567" s="24"/>
      <c r="Q2567" s="2"/>
      <c r="R2567" s="2"/>
    </row>
    <row r="2568" spans="1:18" ht="15.75" customHeight="1" x14ac:dyDescent="0.3">
      <c r="A2568" s="11"/>
      <c r="B2568" s="11"/>
      <c r="D2568" s="21"/>
      <c r="E2568" s="22"/>
      <c r="G2568" s="23"/>
      <c r="H2568" s="24"/>
      <c r="Q2568" s="2"/>
      <c r="R2568" s="2"/>
    </row>
    <row r="2569" spans="1:18" ht="15.75" customHeight="1" x14ac:dyDescent="0.3">
      <c r="A2569" s="11"/>
      <c r="B2569" s="11"/>
      <c r="D2569" s="21"/>
      <c r="E2569" s="22"/>
      <c r="G2569" s="23"/>
      <c r="H2569" s="24"/>
      <c r="Q2569" s="2"/>
      <c r="R2569" s="2"/>
    </row>
    <row r="2570" spans="1:18" ht="15.75" customHeight="1" x14ac:dyDescent="0.3">
      <c r="A2570" s="11"/>
      <c r="B2570" s="11"/>
      <c r="D2570" s="21"/>
      <c r="E2570" s="22"/>
      <c r="G2570" s="23"/>
      <c r="H2570" s="24"/>
      <c r="Q2570" s="2"/>
      <c r="R2570" s="2"/>
    </row>
    <row r="2571" spans="1:18" ht="15.75" customHeight="1" x14ac:dyDescent="0.3">
      <c r="A2571" s="11"/>
      <c r="B2571" s="11"/>
      <c r="D2571" s="21"/>
      <c r="E2571" s="22"/>
      <c r="G2571" s="23"/>
      <c r="H2571" s="24"/>
      <c r="Q2571" s="2"/>
      <c r="R2571" s="2"/>
    </row>
    <row r="2572" spans="1:18" ht="15.75" customHeight="1" x14ac:dyDescent="0.3">
      <c r="A2572" s="11"/>
      <c r="B2572" s="11"/>
      <c r="D2572" s="21"/>
      <c r="E2572" s="22"/>
      <c r="G2572" s="23"/>
      <c r="H2572" s="24"/>
      <c r="Q2572" s="2"/>
      <c r="R2572" s="2"/>
    </row>
    <row r="2573" spans="1:18" ht="15.75" customHeight="1" x14ac:dyDescent="0.3">
      <c r="A2573" s="11"/>
      <c r="B2573" s="11"/>
      <c r="D2573" s="21"/>
      <c r="E2573" s="22"/>
      <c r="G2573" s="23"/>
      <c r="H2573" s="24"/>
      <c r="Q2573" s="2"/>
      <c r="R2573" s="2"/>
    </row>
    <row r="2574" spans="1:18" ht="15.75" customHeight="1" x14ac:dyDescent="0.3">
      <c r="A2574" s="11"/>
      <c r="B2574" s="11"/>
      <c r="D2574" s="21"/>
      <c r="E2574" s="22"/>
      <c r="G2574" s="23"/>
      <c r="H2574" s="24"/>
      <c r="Q2574" s="2"/>
      <c r="R2574" s="2"/>
    </row>
    <row r="2575" spans="1:18" ht="15.75" customHeight="1" x14ac:dyDescent="0.3">
      <c r="A2575" s="11"/>
      <c r="B2575" s="11"/>
      <c r="D2575" s="21"/>
      <c r="E2575" s="22"/>
      <c r="G2575" s="23"/>
      <c r="H2575" s="24"/>
      <c r="Q2575" s="2"/>
      <c r="R2575" s="2"/>
    </row>
    <row r="2576" spans="1:18" ht="15.75" customHeight="1" x14ac:dyDescent="0.3">
      <c r="A2576" s="11"/>
      <c r="B2576" s="11"/>
      <c r="D2576" s="21"/>
      <c r="E2576" s="22"/>
      <c r="G2576" s="23"/>
      <c r="H2576" s="24"/>
      <c r="Q2576" s="2"/>
      <c r="R2576" s="2"/>
    </row>
    <row r="2577" spans="1:18" ht="15.75" customHeight="1" x14ac:dyDescent="0.3">
      <c r="A2577" s="11"/>
      <c r="B2577" s="11"/>
      <c r="D2577" s="21"/>
      <c r="E2577" s="22"/>
      <c r="G2577" s="23"/>
      <c r="H2577" s="24"/>
      <c r="Q2577" s="2"/>
      <c r="R2577" s="2"/>
    </row>
    <row r="2578" spans="1:18" ht="15.75" customHeight="1" x14ac:dyDescent="0.3">
      <c r="A2578" s="11"/>
      <c r="B2578" s="11"/>
      <c r="D2578" s="21"/>
      <c r="E2578" s="22"/>
      <c r="G2578" s="23"/>
      <c r="H2578" s="24"/>
      <c r="Q2578" s="2"/>
      <c r="R2578" s="2"/>
    </row>
    <row r="2579" spans="1:18" ht="15.75" customHeight="1" x14ac:dyDescent="0.3">
      <c r="A2579" s="11"/>
      <c r="B2579" s="11"/>
      <c r="D2579" s="21"/>
      <c r="E2579" s="22"/>
      <c r="G2579" s="23"/>
      <c r="H2579" s="24"/>
      <c r="Q2579" s="2"/>
      <c r="R2579" s="2"/>
    </row>
    <row r="2580" spans="1:18" ht="15.75" customHeight="1" x14ac:dyDescent="0.3">
      <c r="A2580" s="11"/>
      <c r="B2580" s="11"/>
      <c r="D2580" s="21"/>
      <c r="E2580" s="22"/>
      <c r="G2580" s="23"/>
      <c r="H2580" s="24"/>
      <c r="Q2580" s="2"/>
      <c r="R2580" s="2"/>
    </row>
    <row r="2581" spans="1:18" ht="15.75" customHeight="1" x14ac:dyDescent="0.3">
      <c r="A2581" s="11"/>
      <c r="B2581" s="11"/>
      <c r="D2581" s="21"/>
      <c r="E2581" s="22"/>
      <c r="G2581" s="23"/>
      <c r="H2581" s="24"/>
      <c r="Q2581" s="2"/>
      <c r="R2581" s="2"/>
    </row>
    <row r="2582" spans="1:18" ht="15.75" customHeight="1" x14ac:dyDescent="0.3">
      <c r="A2582" s="11"/>
      <c r="B2582" s="11"/>
      <c r="D2582" s="21"/>
      <c r="E2582" s="22"/>
      <c r="G2582" s="23"/>
      <c r="H2582" s="24"/>
      <c r="Q2582" s="2"/>
      <c r="R2582" s="2"/>
    </row>
    <row r="2583" spans="1:18" ht="15.75" customHeight="1" x14ac:dyDescent="0.3">
      <c r="A2583" s="11"/>
      <c r="B2583" s="11"/>
      <c r="D2583" s="21"/>
      <c r="E2583" s="22"/>
      <c r="G2583" s="23"/>
      <c r="H2583" s="24"/>
      <c r="Q2583" s="2"/>
      <c r="R2583" s="2"/>
    </row>
    <row r="2584" spans="1:18" ht="15.75" customHeight="1" x14ac:dyDescent="0.3">
      <c r="A2584" s="11"/>
      <c r="B2584" s="11"/>
      <c r="D2584" s="21"/>
      <c r="E2584" s="22"/>
      <c r="G2584" s="23"/>
      <c r="H2584" s="24"/>
      <c r="Q2584" s="2"/>
      <c r="R2584" s="2"/>
    </row>
    <row r="2585" spans="1:18" ht="15.75" customHeight="1" x14ac:dyDescent="0.3">
      <c r="A2585" s="11"/>
      <c r="B2585" s="11"/>
      <c r="D2585" s="21"/>
      <c r="E2585" s="22"/>
      <c r="G2585" s="23"/>
      <c r="H2585" s="24"/>
      <c r="Q2585" s="2"/>
      <c r="R2585" s="2"/>
    </row>
    <row r="2586" spans="1:18" ht="15.75" customHeight="1" x14ac:dyDescent="0.3">
      <c r="A2586" s="11"/>
      <c r="B2586" s="11"/>
      <c r="D2586" s="21"/>
      <c r="E2586" s="22"/>
      <c r="G2586" s="23"/>
      <c r="H2586" s="24"/>
      <c r="Q2586" s="2"/>
      <c r="R2586" s="2"/>
    </row>
    <row r="2587" spans="1:18" ht="15.75" customHeight="1" x14ac:dyDescent="0.3">
      <c r="A2587" s="11"/>
      <c r="B2587" s="11"/>
      <c r="D2587" s="21"/>
      <c r="E2587" s="22"/>
      <c r="G2587" s="23"/>
      <c r="H2587" s="24"/>
      <c r="Q2587" s="2"/>
      <c r="R2587" s="2"/>
    </row>
    <row r="2588" spans="1:18" ht="15.75" customHeight="1" x14ac:dyDescent="0.3">
      <c r="A2588" s="11"/>
      <c r="B2588" s="11"/>
      <c r="D2588" s="21"/>
      <c r="E2588" s="22"/>
      <c r="G2588" s="23"/>
      <c r="H2588" s="24"/>
      <c r="Q2588" s="2"/>
      <c r="R2588" s="2"/>
    </row>
    <row r="2589" spans="1:18" ht="15.75" customHeight="1" x14ac:dyDescent="0.3">
      <c r="A2589" s="11"/>
      <c r="B2589" s="11"/>
      <c r="D2589" s="21"/>
      <c r="E2589" s="22"/>
      <c r="G2589" s="23"/>
      <c r="H2589" s="24"/>
      <c r="Q2589" s="2"/>
      <c r="R2589" s="2"/>
    </row>
    <row r="2590" spans="1:18" ht="15.75" customHeight="1" x14ac:dyDescent="0.3">
      <c r="A2590" s="11"/>
      <c r="B2590" s="11"/>
      <c r="D2590" s="21"/>
      <c r="E2590" s="22"/>
      <c r="G2590" s="23"/>
      <c r="H2590" s="24"/>
      <c r="Q2590" s="2"/>
      <c r="R2590" s="2"/>
    </row>
    <row r="2591" spans="1:18" ht="15.75" customHeight="1" x14ac:dyDescent="0.3">
      <c r="A2591" s="11"/>
      <c r="B2591" s="11"/>
      <c r="D2591" s="21"/>
      <c r="E2591" s="22"/>
      <c r="G2591" s="23"/>
      <c r="H2591" s="24"/>
      <c r="Q2591" s="2"/>
      <c r="R2591" s="2"/>
    </row>
    <row r="2592" spans="1:18" ht="15.75" customHeight="1" x14ac:dyDescent="0.3">
      <c r="A2592" s="11"/>
      <c r="B2592" s="11"/>
      <c r="D2592" s="21"/>
      <c r="E2592" s="22"/>
      <c r="G2592" s="23"/>
      <c r="H2592" s="24"/>
      <c r="Q2592" s="2"/>
      <c r="R2592" s="2"/>
    </row>
    <row r="2593" spans="1:18" ht="15.75" customHeight="1" x14ac:dyDescent="0.3">
      <c r="A2593" s="11"/>
      <c r="B2593" s="11"/>
      <c r="D2593" s="21"/>
      <c r="E2593" s="22"/>
      <c r="G2593" s="23"/>
      <c r="H2593" s="24"/>
      <c r="Q2593" s="2"/>
      <c r="R2593" s="2"/>
    </row>
    <row r="2594" spans="1:18" ht="15.75" customHeight="1" x14ac:dyDescent="0.3">
      <c r="A2594" s="11"/>
      <c r="B2594" s="11"/>
      <c r="D2594" s="21"/>
      <c r="E2594" s="22"/>
      <c r="G2594" s="23"/>
      <c r="H2594" s="24"/>
      <c r="Q2594" s="2"/>
      <c r="R2594" s="2"/>
    </row>
    <row r="2595" spans="1:18" ht="15.75" customHeight="1" x14ac:dyDescent="0.3">
      <c r="A2595" s="11"/>
      <c r="B2595" s="11"/>
      <c r="D2595" s="21"/>
      <c r="E2595" s="22"/>
      <c r="G2595" s="23"/>
      <c r="H2595" s="24"/>
      <c r="Q2595" s="2"/>
      <c r="R2595" s="2"/>
    </row>
    <row r="2596" spans="1:18" ht="15.75" customHeight="1" x14ac:dyDescent="0.3">
      <c r="A2596" s="11"/>
      <c r="B2596" s="11"/>
      <c r="D2596" s="21"/>
      <c r="E2596" s="22"/>
      <c r="G2596" s="23"/>
      <c r="H2596" s="24"/>
      <c r="Q2596" s="2"/>
      <c r="R2596" s="2"/>
    </row>
    <row r="2597" spans="1:18" ht="15.75" customHeight="1" x14ac:dyDescent="0.3">
      <c r="A2597" s="11"/>
      <c r="B2597" s="11"/>
      <c r="D2597" s="21"/>
      <c r="E2597" s="22"/>
      <c r="G2597" s="23"/>
      <c r="H2597" s="24"/>
      <c r="Q2597" s="2"/>
      <c r="R2597" s="2"/>
    </row>
    <row r="2598" spans="1:18" ht="15.75" customHeight="1" x14ac:dyDescent="0.3">
      <c r="A2598" s="11"/>
      <c r="B2598" s="11"/>
      <c r="D2598" s="21"/>
      <c r="E2598" s="22"/>
      <c r="G2598" s="23"/>
      <c r="H2598" s="24"/>
      <c r="Q2598" s="2"/>
      <c r="R2598" s="2"/>
    </row>
    <row r="2599" spans="1:18" ht="15.75" customHeight="1" x14ac:dyDescent="0.3">
      <c r="A2599" s="11"/>
      <c r="B2599" s="11"/>
      <c r="D2599" s="21"/>
      <c r="E2599" s="22"/>
      <c r="G2599" s="23"/>
      <c r="H2599" s="24"/>
      <c r="Q2599" s="2"/>
      <c r="R2599" s="2"/>
    </row>
    <row r="2600" spans="1:18" ht="15.75" customHeight="1" x14ac:dyDescent="0.3">
      <c r="A2600" s="11"/>
      <c r="B2600" s="11"/>
      <c r="D2600" s="21"/>
      <c r="E2600" s="22"/>
      <c r="G2600" s="23"/>
      <c r="H2600" s="24"/>
      <c r="Q2600" s="2"/>
      <c r="R2600" s="2"/>
    </row>
    <row r="2601" spans="1:18" ht="15.75" customHeight="1" x14ac:dyDescent="0.3">
      <c r="A2601" s="11"/>
      <c r="B2601" s="11"/>
      <c r="D2601" s="21"/>
      <c r="E2601" s="22"/>
      <c r="G2601" s="23"/>
      <c r="H2601" s="24"/>
      <c r="Q2601" s="2"/>
      <c r="R2601" s="2"/>
    </row>
    <row r="2602" spans="1:18" ht="15.75" customHeight="1" x14ac:dyDescent="0.3">
      <c r="A2602" s="11"/>
      <c r="B2602" s="11"/>
      <c r="D2602" s="21"/>
      <c r="E2602" s="22"/>
      <c r="G2602" s="23"/>
      <c r="H2602" s="24"/>
      <c r="Q2602" s="2"/>
      <c r="R2602" s="2"/>
    </row>
    <row r="2603" spans="1:18" ht="15.75" customHeight="1" x14ac:dyDescent="0.3">
      <c r="A2603" s="11"/>
      <c r="B2603" s="11"/>
      <c r="D2603" s="21"/>
      <c r="E2603" s="22"/>
      <c r="G2603" s="23"/>
      <c r="H2603" s="24"/>
      <c r="Q2603" s="2"/>
      <c r="R2603" s="2"/>
    </row>
    <row r="2604" spans="1:18" ht="15.75" customHeight="1" x14ac:dyDescent="0.3">
      <c r="A2604" s="11"/>
      <c r="B2604" s="11"/>
      <c r="D2604" s="21"/>
      <c r="E2604" s="22"/>
      <c r="G2604" s="23"/>
      <c r="H2604" s="24"/>
      <c r="Q2604" s="2"/>
      <c r="R2604" s="2"/>
    </row>
    <row r="2605" spans="1:18" ht="15.75" customHeight="1" x14ac:dyDescent="0.3">
      <c r="A2605" s="11"/>
      <c r="B2605" s="11"/>
      <c r="D2605" s="21"/>
      <c r="E2605" s="22"/>
      <c r="G2605" s="23"/>
      <c r="H2605" s="24"/>
      <c r="Q2605" s="2"/>
      <c r="R2605" s="2"/>
    </row>
    <row r="2606" spans="1:18" ht="15.75" customHeight="1" x14ac:dyDescent="0.3">
      <c r="A2606" s="11"/>
      <c r="B2606" s="11"/>
      <c r="D2606" s="21"/>
      <c r="E2606" s="22"/>
      <c r="G2606" s="23"/>
      <c r="H2606" s="24"/>
      <c r="Q2606" s="2"/>
      <c r="R2606" s="2"/>
    </row>
    <row r="2607" spans="1:18" ht="15.75" customHeight="1" x14ac:dyDescent="0.3">
      <c r="A2607" s="11"/>
      <c r="B2607" s="11"/>
      <c r="D2607" s="21"/>
      <c r="E2607" s="22"/>
      <c r="G2607" s="23"/>
      <c r="H2607" s="24"/>
      <c r="Q2607" s="2"/>
      <c r="R2607" s="2"/>
    </row>
    <row r="2608" spans="1:18" ht="15.75" customHeight="1" x14ac:dyDescent="0.3">
      <c r="A2608" s="11"/>
      <c r="B2608" s="11"/>
      <c r="D2608" s="21"/>
      <c r="E2608" s="22"/>
      <c r="G2608" s="23"/>
      <c r="H2608" s="24"/>
      <c r="Q2608" s="2"/>
      <c r="R2608" s="2"/>
    </row>
    <row r="2609" spans="1:18" ht="15.75" customHeight="1" x14ac:dyDescent="0.3">
      <c r="A2609" s="11"/>
      <c r="B2609" s="11"/>
      <c r="D2609" s="21"/>
      <c r="E2609" s="22"/>
      <c r="G2609" s="23"/>
      <c r="H2609" s="24"/>
      <c r="Q2609" s="2"/>
      <c r="R2609" s="2"/>
    </row>
    <row r="2610" spans="1:18" ht="15.75" customHeight="1" x14ac:dyDescent="0.3">
      <c r="A2610" s="11"/>
      <c r="B2610" s="11"/>
      <c r="D2610" s="21"/>
      <c r="E2610" s="22"/>
      <c r="G2610" s="23"/>
      <c r="H2610" s="24"/>
      <c r="Q2610" s="2"/>
      <c r="R2610" s="2"/>
    </row>
    <row r="2611" spans="1:18" ht="15.75" customHeight="1" x14ac:dyDescent="0.3">
      <c r="A2611" s="11"/>
      <c r="B2611" s="11"/>
      <c r="D2611" s="21"/>
      <c r="E2611" s="22"/>
      <c r="G2611" s="23"/>
      <c r="H2611" s="24"/>
      <c r="Q2611" s="2"/>
      <c r="R2611" s="2"/>
    </row>
    <row r="2612" spans="1:18" ht="15.75" customHeight="1" x14ac:dyDescent="0.3">
      <c r="A2612" s="11"/>
      <c r="B2612" s="11"/>
      <c r="D2612" s="21"/>
      <c r="E2612" s="22"/>
      <c r="G2612" s="23"/>
      <c r="H2612" s="24"/>
      <c r="Q2612" s="2"/>
      <c r="R2612" s="2"/>
    </row>
    <row r="2613" spans="1:18" ht="15.75" customHeight="1" x14ac:dyDescent="0.3">
      <c r="A2613" s="11"/>
      <c r="B2613" s="11"/>
      <c r="D2613" s="21"/>
      <c r="E2613" s="22"/>
      <c r="G2613" s="23"/>
      <c r="H2613" s="24"/>
      <c r="Q2613" s="2"/>
      <c r="R2613" s="2"/>
    </row>
    <row r="2614" spans="1:18" ht="15.75" customHeight="1" x14ac:dyDescent="0.3">
      <c r="A2614" s="11"/>
      <c r="B2614" s="11"/>
      <c r="D2614" s="21"/>
      <c r="E2614" s="22"/>
      <c r="G2614" s="23"/>
      <c r="H2614" s="24"/>
      <c r="Q2614" s="2"/>
      <c r="R2614" s="2"/>
    </row>
    <row r="2615" spans="1:18" ht="15.75" customHeight="1" x14ac:dyDescent="0.3">
      <c r="A2615" s="11"/>
      <c r="B2615" s="11"/>
      <c r="D2615" s="21"/>
      <c r="E2615" s="22"/>
      <c r="G2615" s="23"/>
      <c r="H2615" s="24"/>
      <c r="Q2615" s="2"/>
      <c r="R2615" s="2"/>
    </row>
    <row r="2616" spans="1:18" ht="15.75" customHeight="1" x14ac:dyDescent="0.3">
      <c r="A2616" s="11"/>
      <c r="B2616" s="11"/>
      <c r="D2616" s="21"/>
      <c r="E2616" s="22"/>
      <c r="G2616" s="23"/>
      <c r="H2616" s="24"/>
      <c r="Q2616" s="2"/>
      <c r="R2616" s="2"/>
    </row>
    <row r="2617" spans="1:18" ht="15.75" customHeight="1" x14ac:dyDescent="0.3">
      <c r="A2617" s="11"/>
      <c r="B2617" s="11"/>
      <c r="D2617" s="21"/>
      <c r="E2617" s="22"/>
      <c r="G2617" s="23"/>
      <c r="H2617" s="24"/>
      <c r="Q2617" s="2"/>
      <c r="R2617" s="2"/>
    </row>
    <row r="2618" spans="1:18" ht="15.75" customHeight="1" x14ac:dyDescent="0.3">
      <c r="A2618" s="11"/>
      <c r="B2618" s="11"/>
      <c r="D2618" s="21"/>
      <c r="E2618" s="22"/>
      <c r="G2618" s="23"/>
      <c r="H2618" s="24"/>
      <c r="Q2618" s="2"/>
      <c r="R2618" s="2"/>
    </row>
    <row r="2619" spans="1:18" ht="15.75" customHeight="1" x14ac:dyDescent="0.3">
      <c r="A2619" s="11"/>
      <c r="B2619" s="11"/>
      <c r="D2619" s="21"/>
      <c r="E2619" s="22"/>
      <c r="G2619" s="23"/>
      <c r="H2619" s="24"/>
      <c r="Q2619" s="2"/>
      <c r="R2619" s="2"/>
    </row>
    <row r="2620" spans="1:18" ht="15.75" customHeight="1" x14ac:dyDescent="0.3">
      <c r="A2620" s="11"/>
      <c r="B2620" s="11"/>
      <c r="D2620" s="21"/>
      <c r="E2620" s="22"/>
      <c r="G2620" s="23"/>
      <c r="H2620" s="24"/>
      <c r="Q2620" s="2"/>
      <c r="R2620" s="2"/>
    </row>
    <row r="2621" spans="1:18" ht="15.75" customHeight="1" x14ac:dyDescent="0.3">
      <c r="A2621" s="11"/>
      <c r="B2621" s="11"/>
      <c r="D2621" s="21"/>
      <c r="E2621" s="22"/>
      <c r="G2621" s="23"/>
      <c r="H2621" s="24"/>
      <c r="Q2621" s="2"/>
      <c r="R2621" s="2"/>
    </row>
    <row r="2622" spans="1:18" ht="15.75" customHeight="1" x14ac:dyDescent="0.3">
      <c r="A2622" s="11"/>
      <c r="B2622" s="11"/>
      <c r="D2622" s="21"/>
      <c r="E2622" s="22"/>
      <c r="G2622" s="23"/>
      <c r="H2622" s="24"/>
      <c r="Q2622" s="2"/>
      <c r="R2622" s="2"/>
    </row>
    <row r="2623" spans="1:18" ht="15.75" customHeight="1" x14ac:dyDescent="0.3">
      <c r="A2623" s="11"/>
      <c r="B2623" s="11"/>
      <c r="D2623" s="21"/>
      <c r="E2623" s="22"/>
      <c r="G2623" s="23"/>
      <c r="H2623" s="24"/>
      <c r="Q2623" s="2"/>
      <c r="R2623" s="2"/>
    </row>
    <row r="2624" spans="1:18" ht="15.75" customHeight="1" x14ac:dyDescent="0.3">
      <c r="A2624" s="11"/>
      <c r="B2624" s="11"/>
      <c r="D2624" s="21"/>
      <c r="E2624" s="22"/>
      <c r="G2624" s="23"/>
      <c r="H2624" s="24"/>
      <c r="Q2624" s="2"/>
      <c r="R2624" s="2"/>
    </row>
    <row r="2625" spans="1:18" ht="15.75" customHeight="1" x14ac:dyDescent="0.3">
      <c r="A2625" s="11"/>
      <c r="B2625" s="11"/>
      <c r="D2625" s="21"/>
      <c r="E2625" s="22"/>
      <c r="G2625" s="23"/>
      <c r="H2625" s="24"/>
      <c r="Q2625" s="2"/>
      <c r="R2625" s="2"/>
    </row>
    <row r="2626" spans="1:18" ht="15.75" customHeight="1" x14ac:dyDescent="0.3">
      <c r="A2626" s="11"/>
      <c r="B2626" s="11"/>
      <c r="D2626" s="21"/>
      <c r="E2626" s="22"/>
      <c r="G2626" s="23"/>
      <c r="H2626" s="24"/>
      <c r="Q2626" s="2"/>
      <c r="R2626" s="2"/>
    </row>
    <row r="2627" spans="1:18" ht="15.75" customHeight="1" x14ac:dyDescent="0.3">
      <c r="A2627" s="11"/>
      <c r="B2627" s="11"/>
      <c r="D2627" s="21"/>
      <c r="E2627" s="22"/>
      <c r="G2627" s="23"/>
      <c r="H2627" s="24"/>
      <c r="Q2627" s="2"/>
      <c r="R2627" s="2"/>
    </row>
    <row r="2628" spans="1:18" ht="15.75" customHeight="1" x14ac:dyDescent="0.3">
      <c r="A2628" s="11"/>
      <c r="B2628" s="11"/>
      <c r="D2628" s="21"/>
      <c r="E2628" s="22"/>
      <c r="G2628" s="23"/>
      <c r="H2628" s="24"/>
      <c r="Q2628" s="2"/>
      <c r="R2628" s="2"/>
    </row>
    <row r="2629" spans="1:18" ht="15.75" customHeight="1" x14ac:dyDescent="0.3">
      <c r="A2629" s="11"/>
      <c r="B2629" s="11"/>
      <c r="D2629" s="21"/>
      <c r="E2629" s="22"/>
      <c r="G2629" s="23"/>
      <c r="H2629" s="24"/>
      <c r="Q2629" s="2"/>
      <c r="R2629" s="2"/>
    </row>
    <row r="2630" spans="1:18" ht="15.75" customHeight="1" x14ac:dyDescent="0.3">
      <c r="A2630" s="11"/>
      <c r="B2630" s="11"/>
      <c r="D2630" s="21"/>
      <c r="E2630" s="22"/>
      <c r="G2630" s="23"/>
      <c r="H2630" s="24"/>
      <c r="Q2630" s="2"/>
      <c r="R2630" s="2"/>
    </row>
    <row r="2631" spans="1:18" ht="15.75" customHeight="1" x14ac:dyDescent="0.3">
      <c r="A2631" s="11"/>
      <c r="B2631" s="11"/>
      <c r="D2631" s="21"/>
      <c r="E2631" s="22"/>
      <c r="G2631" s="23"/>
      <c r="H2631" s="24"/>
      <c r="Q2631" s="2"/>
      <c r="R2631" s="2"/>
    </row>
    <row r="2632" spans="1:18" ht="15.75" customHeight="1" x14ac:dyDescent="0.3">
      <c r="A2632" s="11"/>
      <c r="B2632" s="11"/>
      <c r="D2632" s="21"/>
      <c r="E2632" s="22"/>
      <c r="G2632" s="23"/>
      <c r="H2632" s="24"/>
      <c r="Q2632" s="2"/>
      <c r="R2632" s="2"/>
    </row>
    <row r="2633" spans="1:18" ht="15.75" customHeight="1" x14ac:dyDescent="0.3">
      <c r="A2633" s="11"/>
      <c r="B2633" s="11"/>
      <c r="D2633" s="21"/>
      <c r="E2633" s="22"/>
      <c r="G2633" s="23"/>
      <c r="H2633" s="24"/>
      <c r="Q2633" s="2"/>
      <c r="R2633" s="2"/>
    </row>
    <row r="2634" spans="1:18" ht="15.75" customHeight="1" x14ac:dyDescent="0.3">
      <c r="A2634" s="11"/>
      <c r="B2634" s="11"/>
      <c r="D2634" s="21"/>
      <c r="E2634" s="22"/>
      <c r="G2634" s="23"/>
      <c r="H2634" s="24"/>
      <c r="Q2634" s="2"/>
      <c r="R2634" s="2"/>
    </row>
    <row r="2635" spans="1:18" ht="15.75" customHeight="1" x14ac:dyDescent="0.3">
      <c r="A2635" s="11"/>
      <c r="B2635" s="11"/>
      <c r="D2635" s="21"/>
      <c r="E2635" s="22"/>
      <c r="G2635" s="23"/>
      <c r="H2635" s="24"/>
      <c r="Q2635" s="2"/>
      <c r="R2635" s="2"/>
    </row>
    <row r="2636" spans="1:18" ht="15.75" customHeight="1" x14ac:dyDescent="0.3">
      <c r="A2636" s="11"/>
      <c r="B2636" s="11"/>
      <c r="D2636" s="21"/>
      <c r="E2636" s="22"/>
      <c r="G2636" s="23"/>
      <c r="H2636" s="24"/>
      <c r="Q2636" s="2"/>
      <c r="R2636" s="2"/>
    </row>
    <row r="2637" spans="1:18" ht="15.75" customHeight="1" x14ac:dyDescent="0.3">
      <c r="A2637" s="11"/>
      <c r="B2637" s="11"/>
      <c r="D2637" s="21"/>
      <c r="E2637" s="22"/>
      <c r="G2637" s="23"/>
      <c r="H2637" s="24"/>
      <c r="Q2637" s="2"/>
      <c r="R2637" s="2"/>
    </row>
    <row r="2638" spans="1:18" ht="15.75" customHeight="1" x14ac:dyDescent="0.3">
      <c r="A2638" s="11"/>
      <c r="B2638" s="11"/>
      <c r="D2638" s="21"/>
      <c r="E2638" s="22"/>
      <c r="G2638" s="23"/>
      <c r="H2638" s="24"/>
      <c r="Q2638" s="2"/>
      <c r="R2638" s="2"/>
    </row>
    <row r="2639" spans="1:18" ht="15.75" customHeight="1" x14ac:dyDescent="0.3">
      <c r="A2639" s="11"/>
      <c r="B2639" s="11"/>
      <c r="D2639" s="21"/>
      <c r="E2639" s="22"/>
      <c r="G2639" s="23"/>
      <c r="H2639" s="24"/>
      <c r="Q2639" s="2"/>
      <c r="R2639" s="2"/>
    </row>
    <row r="2640" spans="1:18" ht="15.75" customHeight="1" x14ac:dyDescent="0.3">
      <c r="A2640" s="11"/>
      <c r="B2640" s="11"/>
      <c r="D2640" s="21"/>
      <c r="E2640" s="22"/>
      <c r="G2640" s="23"/>
      <c r="H2640" s="24"/>
      <c r="Q2640" s="2"/>
      <c r="R2640" s="2"/>
    </row>
    <row r="2641" spans="1:18" ht="15.75" customHeight="1" x14ac:dyDescent="0.3">
      <c r="A2641" s="11"/>
      <c r="B2641" s="11"/>
      <c r="D2641" s="21"/>
      <c r="E2641" s="22"/>
      <c r="G2641" s="23"/>
      <c r="H2641" s="24"/>
      <c r="Q2641" s="2"/>
      <c r="R2641" s="2"/>
    </row>
    <row r="2642" spans="1:18" ht="15.75" customHeight="1" x14ac:dyDescent="0.3">
      <c r="A2642" s="11"/>
      <c r="B2642" s="11"/>
      <c r="D2642" s="21"/>
      <c r="E2642" s="22"/>
      <c r="G2642" s="23"/>
      <c r="H2642" s="24"/>
      <c r="Q2642" s="2"/>
      <c r="R2642" s="2"/>
    </row>
    <row r="2643" spans="1:18" ht="15.75" customHeight="1" x14ac:dyDescent="0.3">
      <c r="A2643" s="11"/>
      <c r="B2643" s="11"/>
      <c r="D2643" s="21"/>
      <c r="E2643" s="22"/>
      <c r="G2643" s="23"/>
      <c r="H2643" s="24"/>
      <c r="Q2643" s="2"/>
      <c r="R2643" s="2"/>
    </row>
    <row r="2644" spans="1:18" ht="15.75" customHeight="1" x14ac:dyDescent="0.3">
      <c r="A2644" s="11"/>
      <c r="B2644" s="11"/>
      <c r="D2644" s="21"/>
      <c r="E2644" s="22"/>
      <c r="G2644" s="23"/>
      <c r="H2644" s="24"/>
      <c r="Q2644" s="2"/>
      <c r="R2644" s="2"/>
    </row>
    <row r="2645" spans="1:18" ht="15.75" customHeight="1" x14ac:dyDescent="0.3">
      <c r="A2645" s="11"/>
      <c r="B2645" s="11"/>
      <c r="D2645" s="21"/>
      <c r="E2645" s="22"/>
      <c r="G2645" s="23"/>
      <c r="H2645" s="24"/>
      <c r="Q2645" s="2"/>
      <c r="R2645" s="2"/>
    </row>
    <row r="2646" spans="1:18" ht="15.75" customHeight="1" x14ac:dyDescent="0.3">
      <c r="A2646" s="11"/>
      <c r="B2646" s="11"/>
      <c r="D2646" s="21"/>
      <c r="E2646" s="22"/>
      <c r="G2646" s="23"/>
      <c r="H2646" s="24"/>
      <c r="Q2646" s="2"/>
      <c r="R2646" s="2"/>
    </row>
    <row r="2647" spans="1:18" ht="15.75" customHeight="1" x14ac:dyDescent="0.3">
      <c r="A2647" s="11"/>
      <c r="B2647" s="11"/>
      <c r="D2647" s="21"/>
      <c r="E2647" s="22"/>
      <c r="G2647" s="23"/>
      <c r="H2647" s="24"/>
      <c r="Q2647" s="2"/>
      <c r="R2647" s="2"/>
    </row>
    <row r="2648" spans="1:18" ht="15.75" customHeight="1" x14ac:dyDescent="0.3">
      <c r="A2648" s="11"/>
      <c r="B2648" s="11"/>
      <c r="D2648" s="21"/>
      <c r="E2648" s="22"/>
      <c r="G2648" s="23"/>
      <c r="H2648" s="24"/>
      <c r="Q2648" s="2"/>
      <c r="R2648" s="2"/>
    </row>
    <row r="2649" spans="1:18" ht="15.75" customHeight="1" x14ac:dyDescent="0.3">
      <c r="A2649" s="11"/>
      <c r="B2649" s="11"/>
      <c r="D2649" s="21"/>
      <c r="E2649" s="22"/>
      <c r="G2649" s="23"/>
      <c r="H2649" s="24"/>
      <c r="Q2649" s="2"/>
      <c r="R2649" s="2"/>
    </row>
    <row r="2650" spans="1:18" ht="15.75" customHeight="1" x14ac:dyDescent="0.3">
      <c r="A2650" s="11"/>
      <c r="B2650" s="11"/>
      <c r="D2650" s="21"/>
      <c r="E2650" s="22"/>
      <c r="G2650" s="23"/>
      <c r="H2650" s="24"/>
      <c r="Q2650" s="2"/>
      <c r="R2650" s="2"/>
    </row>
    <row r="2651" spans="1:18" ht="15.75" customHeight="1" x14ac:dyDescent="0.3">
      <c r="A2651" s="11"/>
      <c r="B2651" s="11"/>
      <c r="D2651" s="21"/>
      <c r="E2651" s="22"/>
      <c r="G2651" s="23"/>
      <c r="H2651" s="24"/>
      <c r="Q2651" s="2"/>
      <c r="R2651" s="2"/>
    </row>
    <row r="2652" spans="1:18" ht="15.75" customHeight="1" x14ac:dyDescent="0.3">
      <c r="A2652" s="11"/>
      <c r="B2652" s="11"/>
      <c r="D2652" s="21"/>
      <c r="E2652" s="22"/>
      <c r="G2652" s="23"/>
      <c r="H2652" s="24"/>
      <c r="Q2652" s="2"/>
      <c r="R2652" s="2"/>
    </row>
    <row r="2653" spans="1:18" ht="15.75" customHeight="1" x14ac:dyDescent="0.3">
      <c r="A2653" s="11"/>
      <c r="B2653" s="11"/>
      <c r="D2653" s="21"/>
      <c r="E2653" s="22"/>
      <c r="G2653" s="23"/>
      <c r="H2653" s="24"/>
      <c r="Q2653" s="2"/>
      <c r="R2653" s="2"/>
    </row>
    <row r="2654" spans="1:18" ht="15.75" customHeight="1" x14ac:dyDescent="0.3">
      <c r="A2654" s="11"/>
      <c r="B2654" s="11"/>
      <c r="D2654" s="21"/>
      <c r="E2654" s="22"/>
      <c r="G2654" s="23"/>
      <c r="H2654" s="24"/>
      <c r="Q2654" s="2"/>
      <c r="R2654" s="2"/>
    </row>
    <row r="2655" spans="1:18" ht="15.75" customHeight="1" x14ac:dyDescent="0.3">
      <c r="A2655" s="11"/>
      <c r="B2655" s="11"/>
      <c r="D2655" s="21"/>
      <c r="E2655" s="22"/>
      <c r="G2655" s="23"/>
      <c r="H2655" s="24"/>
      <c r="Q2655" s="2"/>
      <c r="R2655" s="2"/>
    </row>
    <row r="2656" spans="1:18" ht="15.75" customHeight="1" x14ac:dyDescent="0.3">
      <c r="A2656" s="11"/>
      <c r="B2656" s="11"/>
      <c r="D2656" s="21"/>
      <c r="E2656" s="22"/>
      <c r="G2656" s="23"/>
      <c r="H2656" s="24"/>
      <c r="Q2656" s="2"/>
      <c r="R2656" s="2"/>
    </row>
    <row r="2657" spans="1:18" ht="15.75" customHeight="1" x14ac:dyDescent="0.3">
      <c r="A2657" s="11"/>
      <c r="B2657" s="11"/>
      <c r="D2657" s="21"/>
      <c r="E2657" s="22"/>
      <c r="G2657" s="23"/>
      <c r="H2657" s="24"/>
      <c r="Q2657" s="2"/>
      <c r="R2657" s="2"/>
    </row>
    <row r="2658" spans="1:18" ht="15.75" customHeight="1" x14ac:dyDescent="0.3">
      <c r="A2658" s="11"/>
      <c r="B2658" s="11"/>
      <c r="D2658" s="21"/>
      <c r="E2658" s="22"/>
      <c r="G2658" s="23"/>
      <c r="H2658" s="24"/>
      <c r="Q2658" s="2"/>
      <c r="R2658" s="2"/>
    </row>
    <row r="2659" spans="1:18" ht="15.75" customHeight="1" x14ac:dyDescent="0.3">
      <c r="A2659" s="11"/>
      <c r="B2659" s="11"/>
      <c r="D2659" s="21"/>
      <c r="E2659" s="22"/>
      <c r="G2659" s="23"/>
      <c r="H2659" s="24"/>
      <c r="Q2659" s="2"/>
      <c r="R2659" s="2"/>
    </row>
    <row r="2660" spans="1:18" ht="15.75" customHeight="1" x14ac:dyDescent="0.3">
      <c r="A2660" s="11"/>
      <c r="B2660" s="11"/>
      <c r="D2660" s="21"/>
      <c r="E2660" s="22"/>
      <c r="G2660" s="23"/>
      <c r="H2660" s="24"/>
      <c r="Q2660" s="2"/>
      <c r="R2660" s="2"/>
    </row>
    <row r="2661" spans="1:18" ht="15.75" customHeight="1" x14ac:dyDescent="0.3">
      <c r="A2661" s="11"/>
      <c r="B2661" s="11"/>
      <c r="D2661" s="21"/>
      <c r="E2661" s="22"/>
      <c r="G2661" s="23"/>
      <c r="H2661" s="24"/>
      <c r="Q2661" s="2"/>
      <c r="R2661" s="2"/>
    </row>
    <row r="2662" spans="1:18" ht="15.75" customHeight="1" x14ac:dyDescent="0.3">
      <c r="A2662" s="11"/>
      <c r="B2662" s="11"/>
      <c r="D2662" s="21"/>
      <c r="E2662" s="22"/>
      <c r="G2662" s="23"/>
      <c r="H2662" s="24"/>
      <c r="Q2662" s="2"/>
      <c r="R2662" s="2"/>
    </row>
    <row r="2663" spans="1:18" ht="15.75" customHeight="1" x14ac:dyDescent="0.3">
      <c r="A2663" s="11"/>
      <c r="B2663" s="11"/>
      <c r="D2663" s="21"/>
      <c r="E2663" s="22"/>
      <c r="G2663" s="23"/>
      <c r="H2663" s="24"/>
      <c r="Q2663" s="2"/>
      <c r="R2663" s="2"/>
    </row>
    <row r="2664" spans="1:18" ht="15.75" customHeight="1" x14ac:dyDescent="0.3">
      <c r="A2664" s="11"/>
      <c r="B2664" s="11"/>
      <c r="D2664" s="21"/>
      <c r="E2664" s="22"/>
      <c r="G2664" s="23"/>
      <c r="H2664" s="24"/>
      <c r="Q2664" s="2"/>
      <c r="R2664" s="2"/>
    </row>
    <row r="2665" spans="1:18" ht="15.75" customHeight="1" x14ac:dyDescent="0.3">
      <c r="A2665" s="11"/>
      <c r="B2665" s="11"/>
      <c r="D2665" s="21"/>
      <c r="E2665" s="22"/>
      <c r="G2665" s="23"/>
      <c r="H2665" s="24"/>
      <c r="Q2665" s="2"/>
      <c r="R2665" s="2"/>
    </row>
    <row r="2666" spans="1:18" ht="15.75" customHeight="1" x14ac:dyDescent="0.3">
      <c r="A2666" s="11"/>
      <c r="B2666" s="11"/>
      <c r="D2666" s="21"/>
      <c r="E2666" s="22"/>
      <c r="G2666" s="23"/>
      <c r="H2666" s="24"/>
      <c r="Q2666" s="2"/>
      <c r="R2666" s="2"/>
    </row>
    <row r="2667" spans="1:18" ht="15.75" customHeight="1" x14ac:dyDescent="0.3">
      <c r="A2667" s="11"/>
      <c r="B2667" s="11"/>
      <c r="D2667" s="21"/>
      <c r="E2667" s="22"/>
      <c r="G2667" s="23"/>
      <c r="H2667" s="24"/>
      <c r="Q2667" s="2"/>
      <c r="R2667" s="2"/>
    </row>
    <row r="2668" spans="1:18" ht="15.75" customHeight="1" x14ac:dyDescent="0.3">
      <c r="A2668" s="11"/>
      <c r="B2668" s="11"/>
      <c r="D2668" s="21"/>
      <c r="E2668" s="22"/>
      <c r="G2668" s="23"/>
      <c r="H2668" s="24"/>
      <c r="Q2668" s="2"/>
      <c r="R2668" s="2"/>
    </row>
    <row r="2669" spans="1:18" ht="15.75" customHeight="1" x14ac:dyDescent="0.3">
      <c r="A2669" s="11"/>
      <c r="B2669" s="11"/>
      <c r="D2669" s="21"/>
      <c r="E2669" s="22"/>
      <c r="G2669" s="23"/>
      <c r="H2669" s="24"/>
      <c r="Q2669" s="2"/>
      <c r="R2669" s="2"/>
    </row>
    <row r="2670" spans="1:18" ht="15.75" customHeight="1" x14ac:dyDescent="0.3">
      <c r="A2670" s="11"/>
      <c r="B2670" s="11"/>
      <c r="D2670" s="21"/>
      <c r="E2670" s="22"/>
      <c r="G2670" s="23"/>
      <c r="H2670" s="24"/>
      <c r="Q2670" s="2"/>
      <c r="R2670" s="2"/>
    </row>
    <row r="2671" spans="1:18" ht="15.75" customHeight="1" x14ac:dyDescent="0.3">
      <c r="A2671" s="11"/>
      <c r="B2671" s="11"/>
      <c r="D2671" s="21"/>
      <c r="E2671" s="22"/>
      <c r="G2671" s="23"/>
      <c r="H2671" s="24"/>
      <c r="Q2671" s="2"/>
      <c r="R2671" s="2"/>
    </row>
    <row r="2672" spans="1:18" ht="15.75" customHeight="1" x14ac:dyDescent="0.3">
      <c r="A2672" s="11"/>
      <c r="B2672" s="11"/>
      <c r="D2672" s="21"/>
      <c r="E2672" s="22"/>
      <c r="G2672" s="23"/>
      <c r="H2672" s="24"/>
      <c r="Q2672" s="2"/>
      <c r="R2672" s="2"/>
    </row>
    <row r="2673" spans="1:18" ht="15.75" customHeight="1" x14ac:dyDescent="0.3">
      <c r="A2673" s="11"/>
      <c r="B2673" s="11"/>
      <c r="D2673" s="21"/>
      <c r="E2673" s="22"/>
      <c r="G2673" s="23"/>
      <c r="H2673" s="24"/>
      <c r="Q2673" s="2"/>
      <c r="R2673" s="2"/>
    </row>
    <row r="2674" spans="1:18" ht="15.75" customHeight="1" x14ac:dyDescent="0.3">
      <c r="A2674" s="11"/>
      <c r="B2674" s="11"/>
      <c r="D2674" s="21"/>
      <c r="E2674" s="22"/>
      <c r="G2674" s="23"/>
      <c r="H2674" s="24"/>
      <c r="Q2674" s="2"/>
      <c r="R2674" s="2"/>
    </row>
    <row r="2675" spans="1:18" ht="15.75" customHeight="1" x14ac:dyDescent="0.3">
      <c r="A2675" s="11"/>
      <c r="B2675" s="11"/>
      <c r="D2675" s="21"/>
      <c r="E2675" s="22"/>
      <c r="G2675" s="23"/>
      <c r="H2675" s="24"/>
      <c r="Q2675" s="2"/>
      <c r="R2675" s="2"/>
    </row>
    <row r="2676" spans="1:18" ht="15.75" customHeight="1" x14ac:dyDescent="0.3">
      <c r="A2676" s="11"/>
      <c r="B2676" s="11"/>
      <c r="D2676" s="21"/>
      <c r="E2676" s="22"/>
      <c r="G2676" s="23"/>
      <c r="H2676" s="24"/>
      <c r="Q2676" s="2"/>
      <c r="R2676" s="2"/>
    </row>
    <row r="2677" spans="1:18" ht="15.75" customHeight="1" x14ac:dyDescent="0.3">
      <c r="A2677" s="11"/>
      <c r="B2677" s="11"/>
      <c r="D2677" s="21"/>
      <c r="E2677" s="22"/>
      <c r="G2677" s="23"/>
      <c r="H2677" s="24"/>
      <c r="Q2677" s="2"/>
      <c r="R2677" s="2"/>
    </row>
    <row r="2678" spans="1:18" ht="15.75" customHeight="1" x14ac:dyDescent="0.3">
      <c r="A2678" s="11"/>
      <c r="B2678" s="11"/>
      <c r="D2678" s="21"/>
      <c r="E2678" s="22"/>
      <c r="G2678" s="23"/>
      <c r="H2678" s="24"/>
      <c r="Q2678" s="2"/>
      <c r="R2678" s="2"/>
    </row>
    <row r="2679" spans="1:18" ht="15.75" customHeight="1" x14ac:dyDescent="0.3">
      <c r="A2679" s="11"/>
      <c r="B2679" s="11"/>
      <c r="D2679" s="21"/>
      <c r="E2679" s="22"/>
      <c r="G2679" s="23"/>
      <c r="H2679" s="24"/>
      <c r="Q2679" s="2"/>
      <c r="R2679" s="2"/>
    </row>
    <row r="2680" spans="1:18" ht="15.75" customHeight="1" x14ac:dyDescent="0.3">
      <c r="A2680" s="11"/>
      <c r="B2680" s="11"/>
      <c r="D2680" s="21"/>
      <c r="E2680" s="22"/>
      <c r="G2680" s="23"/>
      <c r="H2680" s="24"/>
      <c r="Q2680" s="2"/>
      <c r="R2680" s="2"/>
    </row>
    <row r="2681" spans="1:18" ht="15.75" customHeight="1" x14ac:dyDescent="0.3">
      <c r="A2681" s="11"/>
      <c r="B2681" s="11"/>
      <c r="D2681" s="21"/>
      <c r="E2681" s="22"/>
      <c r="G2681" s="23"/>
      <c r="H2681" s="24"/>
      <c r="Q2681" s="2"/>
      <c r="R2681" s="2"/>
    </row>
    <row r="2682" spans="1:18" ht="15.75" customHeight="1" x14ac:dyDescent="0.3">
      <c r="A2682" s="11"/>
      <c r="B2682" s="11"/>
      <c r="D2682" s="21"/>
      <c r="E2682" s="22"/>
      <c r="G2682" s="23"/>
      <c r="H2682" s="24"/>
      <c r="Q2682" s="2"/>
      <c r="R2682" s="2"/>
    </row>
    <row r="2683" spans="1:18" ht="15.75" customHeight="1" x14ac:dyDescent="0.3">
      <c r="A2683" s="11"/>
      <c r="B2683" s="11"/>
      <c r="D2683" s="21"/>
      <c r="E2683" s="22"/>
      <c r="G2683" s="23"/>
      <c r="H2683" s="24"/>
      <c r="Q2683" s="2"/>
      <c r="R2683" s="2"/>
    </row>
    <row r="2684" spans="1:18" ht="15.75" customHeight="1" x14ac:dyDescent="0.3">
      <c r="A2684" s="11"/>
      <c r="B2684" s="11"/>
      <c r="D2684" s="21"/>
      <c r="E2684" s="22"/>
      <c r="G2684" s="23"/>
      <c r="H2684" s="24"/>
      <c r="Q2684" s="2"/>
      <c r="R2684" s="2"/>
    </row>
    <row r="2685" spans="1:18" ht="15.75" customHeight="1" x14ac:dyDescent="0.3">
      <c r="A2685" s="11"/>
      <c r="B2685" s="11"/>
      <c r="D2685" s="21"/>
      <c r="E2685" s="22"/>
      <c r="G2685" s="23"/>
      <c r="H2685" s="24"/>
      <c r="Q2685" s="2"/>
      <c r="R2685" s="2"/>
    </row>
    <row r="2686" spans="1:18" ht="15.75" customHeight="1" x14ac:dyDescent="0.3">
      <c r="A2686" s="11"/>
      <c r="B2686" s="11"/>
      <c r="D2686" s="21"/>
      <c r="E2686" s="22"/>
      <c r="G2686" s="23"/>
      <c r="H2686" s="24"/>
      <c r="Q2686" s="2"/>
      <c r="R2686" s="2"/>
    </row>
    <row r="2687" spans="1:18" ht="15.75" customHeight="1" x14ac:dyDescent="0.3">
      <c r="A2687" s="11"/>
      <c r="B2687" s="11"/>
      <c r="D2687" s="21"/>
      <c r="E2687" s="22"/>
      <c r="G2687" s="23"/>
      <c r="H2687" s="24"/>
      <c r="Q2687" s="2"/>
      <c r="R2687" s="2"/>
    </row>
    <row r="2688" spans="1:18" ht="15.75" customHeight="1" x14ac:dyDescent="0.3">
      <c r="A2688" s="11"/>
      <c r="B2688" s="11"/>
      <c r="D2688" s="21"/>
      <c r="E2688" s="22"/>
      <c r="G2688" s="23"/>
      <c r="H2688" s="24"/>
      <c r="Q2688" s="2"/>
      <c r="R2688" s="2"/>
    </row>
    <row r="2689" spans="1:18" ht="15.75" customHeight="1" x14ac:dyDescent="0.3">
      <c r="A2689" s="11"/>
      <c r="B2689" s="11"/>
      <c r="D2689" s="21"/>
      <c r="E2689" s="22"/>
      <c r="G2689" s="23"/>
      <c r="H2689" s="24"/>
      <c r="Q2689" s="2"/>
      <c r="R2689" s="2"/>
    </row>
    <row r="2690" spans="1:18" ht="15.75" customHeight="1" x14ac:dyDescent="0.3">
      <c r="A2690" s="11"/>
      <c r="B2690" s="11"/>
      <c r="D2690" s="21"/>
      <c r="E2690" s="22"/>
      <c r="G2690" s="23"/>
      <c r="H2690" s="24"/>
      <c r="Q2690" s="2"/>
      <c r="R2690" s="2"/>
    </row>
    <row r="2691" spans="1:18" ht="15.75" customHeight="1" x14ac:dyDescent="0.3">
      <c r="A2691" s="11"/>
      <c r="B2691" s="11"/>
      <c r="D2691" s="21"/>
      <c r="E2691" s="22"/>
      <c r="G2691" s="23"/>
      <c r="H2691" s="24"/>
      <c r="Q2691" s="2"/>
      <c r="R2691" s="2"/>
    </row>
    <row r="2692" spans="1:18" ht="15.75" customHeight="1" x14ac:dyDescent="0.3">
      <c r="A2692" s="11"/>
      <c r="B2692" s="11"/>
      <c r="D2692" s="21"/>
      <c r="E2692" s="22"/>
      <c r="G2692" s="23"/>
      <c r="H2692" s="24"/>
      <c r="Q2692" s="2"/>
      <c r="R2692" s="2"/>
    </row>
    <row r="2693" spans="1:18" ht="15.75" customHeight="1" x14ac:dyDescent="0.3">
      <c r="A2693" s="11"/>
      <c r="B2693" s="11"/>
      <c r="D2693" s="21"/>
      <c r="E2693" s="22"/>
      <c r="G2693" s="23"/>
      <c r="H2693" s="24"/>
      <c r="Q2693" s="2"/>
      <c r="R2693" s="2"/>
    </row>
    <row r="2694" spans="1:18" ht="15.75" customHeight="1" x14ac:dyDescent="0.3">
      <c r="A2694" s="11"/>
      <c r="B2694" s="11"/>
      <c r="D2694" s="21"/>
      <c r="E2694" s="22"/>
      <c r="G2694" s="23"/>
      <c r="H2694" s="24"/>
      <c r="Q2694" s="2"/>
      <c r="R2694" s="2"/>
    </row>
    <row r="2695" spans="1:18" ht="15.75" customHeight="1" x14ac:dyDescent="0.3">
      <c r="A2695" s="11"/>
      <c r="B2695" s="11"/>
      <c r="D2695" s="21"/>
      <c r="E2695" s="22"/>
      <c r="G2695" s="23"/>
      <c r="H2695" s="24"/>
      <c r="Q2695" s="2"/>
      <c r="R2695" s="2"/>
    </row>
    <row r="2696" spans="1:18" ht="15.75" customHeight="1" x14ac:dyDescent="0.3">
      <c r="A2696" s="11"/>
      <c r="B2696" s="11"/>
      <c r="D2696" s="21"/>
      <c r="E2696" s="22"/>
      <c r="G2696" s="23"/>
      <c r="H2696" s="24"/>
      <c r="Q2696" s="2"/>
      <c r="R2696" s="2"/>
    </row>
    <row r="2697" spans="1:18" ht="15.75" customHeight="1" x14ac:dyDescent="0.3">
      <c r="A2697" s="11"/>
      <c r="B2697" s="11"/>
      <c r="D2697" s="21"/>
      <c r="E2697" s="22"/>
      <c r="G2697" s="23"/>
      <c r="H2697" s="24"/>
      <c r="Q2697" s="2"/>
      <c r="R2697" s="2"/>
    </row>
    <row r="2698" spans="1:18" ht="15.75" customHeight="1" x14ac:dyDescent="0.3">
      <c r="A2698" s="11"/>
      <c r="B2698" s="11"/>
      <c r="D2698" s="21"/>
      <c r="E2698" s="22"/>
      <c r="G2698" s="23"/>
      <c r="H2698" s="24"/>
      <c r="Q2698" s="2"/>
      <c r="R2698" s="2"/>
    </row>
    <row r="2699" spans="1:18" ht="15.75" customHeight="1" x14ac:dyDescent="0.3">
      <c r="A2699" s="11"/>
      <c r="B2699" s="11"/>
      <c r="D2699" s="21"/>
      <c r="E2699" s="22"/>
      <c r="G2699" s="23"/>
      <c r="H2699" s="24"/>
      <c r="Q2699" s="2"/>
      <c r="R2699" s="2"/>
    </row>
    <row r="2700" spans="1:18" ht="15.75" customHeight="1" x14ac:dyDescent="0.3">
      <c r="A2700" s="11"/>
      <c r="B2700" s="11"/>
      <c r="D2700" s="21"/>
      <c r="E2700" s="22"/>
      <c r="G2700" s="23"/>
      <c r="H2700" s="24"/>
      <c r="Q2700" s="2"/>
      <c r="R2700" s="2"/>
    </row>
    <row r="2701" spans="1:18" ht="15.75" customHeight="1" x14ac:dyDescent="0.3">
      <c r="A2701" s="11"/>
      <c r="B2701" s="11"/>
      <c r="D2701" s="21"/>
      <c r="E2701" s="22"/>
      <c r="G2701" s="23"/>
      <c r="H2701" s="24"/>
      <c r="Q2701" s="2"/>
      <c r="R2701" s="2"/>
    </row>
    <row r="2702" spans="1:18" ht="15.75" customHeight="1" x14ac:dyDescent="0.3">
      <c r="A2702" s="11"/>
      <c r="B2702" s="11"/>
      <c r="D2702" s="21"/>
      <c r="E2702" s="22"/>
      <c r="G2702" s="23"/>
      <c r="H2702" s="24"/>
      <c r="Q2702" s="2"/>
      <c r="R2702" s="2"/>
    </row>
    <row r="2703" spans="1:18" ht="15.75" customHeight="1" x14ac:dyDescent="0.3">
      <c r="A2703" s="11"/>
      <c r="B2703" s="11"/>
      <c r="D2703" s="21"/>
      <c r="E2703" s="22"/>
      <c r="G2703" s="23"/>
      <c r="H2703" s="24"/>
      <c r="Q2703" s="2"/>
      <c r="R2703" s="2"/>
    </row>
    <row r="2704" spans="1:18" ht="15.75" customHeight="1" x14ac:dyDescent="0.3">
      <c r="A2704" s="11"/>
      <c r="B2704" s="11"/>
      <c r="D2704" s="21"/>
      <c r="E2704" s="22"/>
      <c r="G2704" s="23"/>
      <c r="H2704" s="24"/>
      <c r="Q2704" s="2"/>
      <c r="R2704" s="2"/>
    </row>
    <row r="2705" spans="1:18" ht="15.75" customHeight="1" x14ac:dyDescent="0.3">
      <c r="A2705" s="11"/>
      <c r="B2705" s="11"/>
      <c r="D2705" s="21"/>
      <c r="E2705" s="22"/>
      <c r="G2705" s="23"/>
      <c r="H2705" s="24"/>
      <c r="Q2705" s="2"/>
      <c r="R2705" s="2"/>
    </row>
    <row r="2706" spans="1:18" ht="15.75" customHeight="1" x14ac:dyDescent="0.3">
      <c r="A2706" s="11"/>
      <c r="B2706" s="11"/>
      <c r="D2706" s="21"/>
      <c r="E2706" s="22"/>
      <c r="G2706" s="23"/>
      <c r="H2706" s="24"/>
      <c r="Q2706" s="2"/>
      <c r="R2706" s="2"/>
    </row>
    <row r="2707" spans="1:18" ht="15.75" customHeight="1" x14ac:dyDescent="0.3">
      <c r="A2707" s="11"/>
      <c r="B2707" s="11"/>
      <c r="D2707" s="21"/>
      <c r="E2707" s="22"/>
      <c r="G2707" s="23"/>
      <c r="H2707" s="24"/>
      <c r="Q2707" s="2"/>
      <c r="R2707" s="2"/>
    </row>
    <row r="2708" spans="1:18" ht="15.75" customHeight="1" x14ac:dyDescent="0.3">
      <c r="A2708" s="11"/>
      <c r="B2708" s="11"/>
      <c r="D2708" s="21"/>
      <c r="E2708" s="22"/>
      <c r="G2708" s="23"/>
      <c r="H2708" s="24"/>
      <c r="Q2708" s="2"/>
      <c r="R2708" s="2"/>
    </row>
    <row r="2709" spans="1:18" ht="15.75" customHeight="1" x14ac:dyDescent="0.3">
      <c r="A2709" s="11"/>
      <c r="B2709" s="11"/>
      <c r="D2709" s="21"/>
      <c r="E2709" s="22"/>
      <c r="G2709" s="23"/>
      <c r="H2709" s="24"/>
      <c r="Q2709" s="2"/>
      <c r="R2709" s="2"/>
    </row>
    <row r="2710" spans="1:18" ht="15.75" customHeight="1" x14ac:dyDescent="0.3">
      <c r="A2710" s="11"/>
      <c r="B2710" s="11"/>
      <c r="D2710" s="21"/>
      <c r="E2710" s="22"/>
      <c r="G2710" s="23"/>
      <c r="H2710" s="24"/>
      <c r="Q2710" s="2"/>
      <c r="R2710" s="2"/>
    </row>
    <row r="2711" spans="1:18" ht="15.75" customHeight="1" x14ac:dyDescent="0.3">
      <c r="A2711" s="11"/>
      <c r="B2711" s="11"/>
      <c r="D2711" s="21"/>
      <c r="E2711" s="22"/>
      <c r="G2711" s="23"/>
      <c r="H2711" s="24"/>
      <c r="Q2711" s="2"/>
      <c r="R2711" s="2"/>
    </row>
    <row r="2712" spans="1:18" ht="15.75" customHeight="1" x14ac:dyDescent="0.3">
      <c r="A2712" s="11"/>
      <c r="B2712" s="11"/>
      <c r="D2712" s="21"/>
      <c r="E2712" s="22"/>
      <c r="G2712" s="23"/>
      <c r="H2712" s="24"/>
      <c r="Q2712" s="2"/>
      <c r="R2712" s="2"/>
    </row>
    <row r="2713" spans="1:18" ht="15.75" customHeight="1" x14ac:dyDescent="0.3">
      <c r="A2713" s="11"/>
      <c r="B2713" s="11"/>
      <c r="D2713" s="21"/>
      <c r="E2713" s="22"/>
      <c r="G2713" s="23"/>
      <c r="H2713" s="24"/>
      <c r="Q2713" s="2"/>
      <c r="R2713" s="2"/>
    </row>
    <row r="2714" spans="1:18" ht="15.75" customHeight="1" x14ac:dyDescent="0.3">
      <c r="A2714" s="11"/>
      <c r="B2714" s="11"/>
      <c r="D2714" s="21"/>
      <c r="E2714" s="22"/>
      <c r="G2714" s="23"/>
      <c r="H2714" s="24"/>
      <c r="Q2714" s="2"/>
      <c r="R2714" s="2"/>
    </row>
    <row r="2715" spans="1:18" ht="15.75" customHeight="1" x14ac:dyDescent="0.3">
      <c r="A2715" s="11"/>
      <c r="B2715" s="11"/>
      <c r="D2715" s="21"/>
      <c r="E2715" s="22"/>
      <c r="G2715" s="23"/>
      <c r="H2715" s="24"/>
      <c r="Q2715" s="2"/>
      <c r="R2715" s="2"/>
    </row>
    <row r="2716" spans="1:18" ht="15.75" customHeight="1" x14ac:dyDescent="0.3">
      <c r="A2716" s="11"/>
      <c r="B2716" s="11"/>
      <c r="D2716" s="21"/>
      <c r="E2716" s="22"/>
      <c r="G2716" s="23"/>
      <c r="H2716" s="24"/>
      <c r="Q2716" s="2"/>
      <c r="R2716" s="2"/>
    </row>
    <row r="2717" spans="1:18" ht="15.75" customHeight="1" x14ac:dyDescent="0.3">
      <c r="A2717" s="11"/>
      <c r="B2717" s="11"/>
      <c r="D2717" s="21"/>
      <c r="E2717" s="22"/>
      <c r="G2717" s="23"/>
      <c r="H2717" s="24"/>
      <c r="Q2717" s="2"/>
      <c r="R2717" s="2"/>
    </row>
    <row r="2718" spans="1:18" ht="15.75" customHeight="1" x14ac:dyDescent="0.3">
      <c r="A2718" s="11"/>
      <c r="B2718" s="11"/>
      <c r="D2718" s="21"/>
      <c r="E2718" s="22"/>
      <c r="G2718" s="23"/>
      <c r="H2718" s="24"/>
      <c r="Q2718" s="2"/>
      <c r="R2718" s="2"/>
    </row>
    <row r="2719" spans="1:18" ht="15.75" customHeight="1" x14ac:dyDescent="0.3">
      <c r="A2719" s="11"/>
      <c r="B2719" s="11"/>
      <c r="D2719" s="21"/>
      <c r="E2719" s="22"/>
      <c r="G2719" s="23"/>
      <c r="H2719" s="24"/>
      <c r="Q2719" s="2"/>
      <c r="R2719" s="2"/>
    </row>
    <row r="2720" spans="1:18" ht="15.75" customHeight="1" x14ac:dyDescent="0.3">
      <c r="A2720" s="11"/>
      <c r="B2720" s="11"/>
      <c r="D2720" s="21"/>
      <c r="E2720" s="22"/>
      <c r="G2720" s="23"/>
      <c r="H2720" s="24"/>
      <c r="Q2720" s="2"/>
      <c r="R2720" s="2"/>
    </row>
    <row r="2721" spans="1:18" ht="15.75" customHeight="1" x14ac:dyDescent="0.3">
      <c r="A2721" s="11"/>
      <c r="B2721" s="11"/>
      <c r="D2721" s="21"/>
      <c r="E2721" s="22"/>
      <c r="G2721" s="23"/>
      <c r="H2721" s="24"/>
      <c r="Q2721" s="2"/>
      <c r="R2721" s="2"/>
    </row>
    <row r="2722" spans="1:18" ht="15.75" customHeight="1" x14ac:dyDescent="0.3">
      <c r="A2722" s="11"/>
      <c r="B2722" s="11"/>
      <c r="D2722" s="21"/>
      <c r="E2722" s="22"/>
      <c r="G2722" s="23"/>
      <c r="H2722" s="24"/>
      <c r="Q2722" s="2"/>
      <c r="R2722" s="2"/>
    </row>
    <row r="2723" spans="1:18" ht="15.75" customHeight="1" x14ac:dyDescent="0.3">
      <c r="A2723" s="11"/>
      <c r="B2723" s="11"/>
      <c r="D2723" s="21"/>
      <c r="E2723" s="22"/>
      <c r="G2723" s="23"/>
      <c r="H2723" s="24"/>
      <c r="Q2723" s="2"/>
      <c r="R2723" s="2"/>
    </row>
    <row r="2724" spans="1:18" ht="15.75" customHeight="1" x14ac:dyDescent="0.3">
      <c r="A2724" s="11"/>
      <c r="B2724" s="11"/>
      <c r="D2724" s="21"/>
      <c r="E2724" s="22"/>
      <c r="G2724" s="23"/>
      <c r="H2724" s="24"/>
      <c r="Q2724" s="2"/>
      <c r="R2724" s="2"/>
    </row>
    <row r="2725" spans="1:18" ht="15.75" customHeight="1" x14ac:dyDescent="0.3">
      <c r="A2725" s="11"/>
      <c r="B2725" s="11"/>
      <c r="D2725" s="21"/>
      <c r="E2725" s="22"/>
      <c r="G2725" s="23"/>
      <c r="H2725" s="24"/>
      <c r="Q2725" s="2"/>
      <c r="R2725" s="2"/>
    </row>
    <row r="2726" spans="1:18" ht="15.75" customHeight="1" x14ac:dyDescent="0.3">
      <c r="A2726" s="11"/>
      <c r="B2726" s="11"/>
      <c r="D2726" s="21"/>
      <c r="E2726" s="22"/>
      <c r="G2726" s="23"/>
      <c r="H2726" s="24"/>
      <c r="Q2726" s="2"/>
      <c r="R2726" s="2"/>
    </row>
    <row r="2727" spans="1:18" ht="15.75" customHeight="1" x14ac:dyDescent="0.3">
      <c r="A2727" s="11"/>
      <c r="B2727" s="11"/>
      <c r="D2727" s="21"/>
      <c r="E2727" s="22"/>
      <c r="G2727" s="23"/>
      <c r="H2727" s="24"/>
      <c r="Q2727" s="2"/>
      <c r="R2727" s="2"/>
    </row>
    <row r="2728" spans="1:18" ht="15.75" customHeight="1" x14ac:dyDescent="0.3">
      <c r="A2728" s="11"/>
      <c r="B2728" s="11"/>
      <c r="D2728" s="21"/>
      <c r="E2728" s="22"/>
      <c r="G2728" s="23"/>
      <c r="H2728" s="24"/>
      <c r="Q2728" s="2"/>
      <c r="R2728" s="2"/>
    </row>
    <row r="2729" spans="1:18" ht="15.75" customHeight="1" x14ac:dyDescent="0.3">
      <c r="A2729" s="11"/>
      <c r="B2729" s="11"/>
      <c r="D2729" s="21"/>
      <c r="E2729" s="22"/>
      <c r="G2729" s="23"/>
      <c r="H2729" s="24"/>
      <c r="Q2729" s="2"/>
      <c r="R2729" s="2"/>
    </row>
    <row r="2730" spans="1:18" ht="15.75" customHeight="1" x14ac:dyDescent="0.3">
      <c r="A2730" s="11"/>
      <c r="B2730" s="11"/>
      <c r="D2730" s="21"/>
      <c r="E2730" s="22"/>
      <c r="G2730" s="23"/>
      <c r="H2730" s="24"/>
      <c r="Q2730" s="2"/>
      <c r="R2730" s="2"/>
    </row>
    <row r="2731" spans="1:18" ht="15.75" customHeight="1" x14ac:dyDescent="0.3">
      <c r="A2731" s="11"/>
      <c r="B2731" s="11"/>
      <c r="D2731" s="21"/>
      <c r="E2731" s="22"/>
      <c r="G2731" s="23"/>
      <c r="H2731" s="24"/>
      <c r="Q2731" s="2"/>
      <c r="R2731" s="2"/>
    </row>
    <row r="2732" spans="1:18" ht="15.75" customHeight="1" x14ac:dyDescent="0.3">
      <c r="A2732" s="11"/>
      <c r="B2732" s="11"/>
      <c r="D2732" s="21"/>
      <c r="E2732" s="22"/>
      <c r="G2732" s="23"/>
      <c r="H2732" s="24"/>
      <c r="Q2732" s="2"/>
      <c r="R2732" s="2"/>
    </row>
    <row r="2733" spans="1:18" ht="15.75" customHeight="1" x14ac:dyDescent="0.3">
      <c r="A2733" s="11"/>
      <c r="B2733" s="11"/>
      <c r="D2733" s="21"/>
      <c r="E2733" s="22"/>
      <c r="G2733" s="23"/>
      <c r="H2733" s="24"/>
      <c r="Q2733" s="2"/>
      <c r="R2733" s="2"/>
    </row>
    <row r="2734" spans="1:18" ht="15.75" customHeight="1" x14ac:dyDescent="0.3">
      <c r="A2734" s="11"/>
      <c r="B2734" s="11"/>
      <c r="D2734" s="21"/>
      <c r="E2734" s="22"/>
      <c r="G2734" s="23"/>
      <c r="H2734" s="24"/>
      <c r="Q2734" s="2"/>
      <c r="R2734" s="2"/>
    </row>
    <row r="2735" spans="1:18" ht="15.75" customHeight="1" x14ac:dyDescent="0.3">
      <c r="A2735" s="11"/>
      <c r="B2735" s="11"/>
      <c r="D2735" s="21"/>
      <c r="E2735" s="22"/>
      <c r="G2735" s="23"/>
      <c r="H2735" s="24"/>
      <c r="Q2735" s="2"/>
      <c r="R2735" s="2"/>
    </row>
    <row r="2736" spans="1:18" ht="15.75" customHeight="1" x14ac:dyDescent="0.3">
      <c r="A2736" s="11"/>
      <c r="B2736" s="11"/>
      <c r="D2736" s="21"/>
      <c r="E2736" s="22"/>
      <c r="G2736" s="23"/>
      <c r="H2736" s="24"/>
      <c r="Q2736" s="2"/>
      <c r="R2736" s="2"/>
    </row>
    <row r="2737" spans="1:18" ht="15.75" customHeight="1" x14ac:dyDescent="0.3">
      <c r="A2737" s="11"/>
      <c r="B2737" s="11"/>
      <c r="D2737" s="21"/>
      <c r="E2737" s="22"/>
      <c r="G2737" s="23"/>
      <c r="H2737" s="24"/>
      <c r="Q2737" s="2"/>
      <c r="R2737" s="2"/>
    </row>
    <row r="2738" spans="1:18" ht="15.75" customHeight="1" x14ac:dyDescent="0.3">
      <c r="A2738" s="11"/>
      <c r="B2738" s="11"/>
      <c r="D2738" s="21"/>
      <c r="E2738" s="22"/>
      <c r="G2738" s="23"/>
      <c r="H2738" s="24"/>
      <c r="Q2738" s="2"/>
      <c r="R2738" s="2"/>
    </row>
    <row r="2739" spans="1:18" ht="15.75" customHeight="1" x14ac:dyDescent="0.3">
      <c r="A2739" s="11"/>
      <c r="B2739" s="11"/>
      <c r="D2739" s="21"/>
      <c r="E2739" s="22"/>
      <c r="G2739" s="23"/>
      <c r="H2739" s="24"/>
      <c r="Q2739" s="2"/>
      <c r="R2739" s="2"/>
    </row>
    <row r="2740" spans="1:18" ht="15.75" customHeight="1" x14ac:dyDescent="0.3">
      <c r="A2740" s="11"/>
      <c r="B2740" s="11"/>
      <c r="D2740" s="21"/>
      <c r="E2740" s="22"/>
      <c r="G2740" s="23"/>
      <c r="H2740" s="24"/>
      <c r="Q2740" s="2"/>
      <c r="R2740" s="2"/>
    </row>
    <row r="2741" spans="1:18" ht="15.75" customHeight="1" x14ac:dyDescent="0.3">
      <c r="A2741" s="11"/>
      <c r="B2741" s="11"/>
      <c r="D2741" s="21"/>
      <c r="E2741" s="22"/>
      <c r="G2741" s="23"/>
      <c r="H2741" s="24"/>
      <c r="Q2741" s="2"/>
      <c r="R2741" s="2"/>
    </row>
    <row r="2742" spans="1:18" ht="15.75" customHeight="1" x14ac:dyDescent="0.3">
      <c r="A2742" s="11"/>
      <c r="B2742" s="11"/>
      <c r="D2742" s="21"/>
      <c r="E2742" s="22"/>
      <c r="G2742" s="23"/>
      <c r="H2742" s="24"/>
      <c r="Q2742" s="2"/>
      <c r="R2742" s="2"/>
    </row>
    <row r="2743" spans="1:18" ht="15.75" customHeight="1" x14ac:dyDescent="0.3">
      <c r="A2743" s="11"/>
      <c r="B2743" s="11"/>
      <c r="D2743" s="21"/>
      <c r="E2743" s="22"/>
      <c r="G2743" s="23"/>
      <c r="H2743" s="24"/>
      <c r="Q2743" s="2"/>
      <c r="R2743" s="2"/>
    </row>
    <row r="2744" spans="1:18" ht="15.75" customHeight="1" x14ac:dyDescent="0.3">
      <c r="A2744" s="11"/>
      <c r="B2744" s="11"/>
      <c r="D2744" s="21"/>
      <c r="E2744" s="22"/>
      <c r="G2744" s="23"/>
      <c r="H2744" s="24"/>
      <c r="Q2744" s="2"/>
      <c r="R2744" s="2"/>
    </row>
    <row r="2745" spans="1:18" ht="15.75" customHeight="1" x14ac:dyDescent="0.3">
      <c r="A2745" s="11"/>
      <c r="B2745" s="11"/>
      <c r="D2745" s="21"/>
      <c r="E2745" s="22"/>
      <c r="G2745" s="23"/>
      <c r="H2745" s="24"/>
      <c r="Q2745" s="2"/>
      <c r="R2745" s="2"/>
    </row>
    <row r="2746" spans="1:18" ht="15.75" customHeight="1" x14ac:dyDescent="0.3">
      <c r="A2746" s="11"/>
      <c r="B2746" s="11"/>
      <c r="D2746" s="21"/>
      <c r="E2746" s="22"/>
      <c r="G2746" s="23"/>
      <c r="H2746" s="24"/>
      <c r="Q2746" s="2"/>
      <c r="R2746" s="2"/>
    </row>
    <row r="2747" spans="1:18" ht="15.75" customHeight="1" x14ac:dyDescent="0.3">
      <c r="A2747" s="11"/>
      <c r="B2747" s="11"/>
      <c r="D2747" s="21"/>
      <c r="E2747" s="22"/>
      <c r="G2747" s="23"/>
      <c r="H2747" s="24"/>
      <c r="Q2747" s="2"/>
      <c r="R2747" s="2"/>
    </row>
    <row r="2748" spans="1:18" ht="15.75" customHeight="1" x14ac:dyDescent="0.3">
      <c r="A2748" s="11"/>
      <c r="B2748" s="11"/>
      <c r="D2748" s="21"/>
      <c r="E2748" s="22"/>
      <c r="G2748" s="23"/>
      <c r="H2748" s="24"/>
      <c r="Q2748" s="2"/>
      <c r="R2748" s="2"/>
    </row>
    <row r="2749" spans="1:18" ht="15.75" customHeight="1" x14ac:dyDescent="0.3">
      <c r="A2749" s="11"/>
      <c r="B2749" s="11"/>
      <c r="D2749" s="21"/>
      <c r="E2749" s="22"/>
      <c r="G2749" s="23"/>
      <c r="H2749" s="24"/>
      <c r="Q2749" s="2"/>
      <c r="R2749" s="2"/>
    </row>
    <row r="2750" spans="1:18" ht="15.75" customHeight="1" x14ac:dyDescent="0.3">
      <c r="A2750" s="11"/>
      <c r="B2750" s="11"/>
      <c r="D2750" s="21"/>
      <c r="E2750" s="22"/>
      <c r="G2750" s="23"/>
      <c r="H2750" s="24"/>
      <c r="Q2750" s="2"/>
      <c r="R2750" s="2"/>
    </row>
    <row r="2751" spans="1:18" ht="15.75" customHeight="1" x14ac:dyDescent="0.3">
      <c r="A2751" s="11"/>
      <c r="B2751" s="11"/>
      <c r="D2751" s="21"/>
      <c r="E2751" s="22"/>
      <c r="G2751" s="23"/>
      <c r="H2751" s="24"/>
      <c r="Q2751" s="2"/>
      <c r="R2751" s="2"/>
    </row>
    <row r="2752" spans="1:18" ht="15.75" customHeight="1" x14ac:dyDescent="0.3">
      <c r="A2752" s="11"/>
      <c r="B2752" s="11"/>
      <c r="D2752" s="21"/>
      <c r="E2752" s="22"/>
      <c r="G2752" s="23"/>
      <c r="H2752" s="24"/>
      <c r="Q2752" s="2"/>
      <c r="R2752" s="2"/>
    </row>
    <row r="2753" spans="1:18" ht="15.75" customHeight="1" x14ac:dyDescent="0.3">
      <c r="A2753" s="11"/>
      <c r="B2753" s="11"/>
      <c r="D2753" s="21"/>
      <c r="E2753" s="22"/>
      <c r="G2753" s="23"/>
      <c r="H2753" s="24"/>
      <c r="Q2753" s="2"/>
      <c r="R2753" s="2"/>
    </row>
    <row r="2754" spans="1:18" ht="15.75" customHeight="1" x14ac:dyDescent="0.3">
      <c r="A2754" s="11"/>
      <c r="B2754" s="11"/>
      <c r="D2754" s="21"/>
      <c r="E2754" s="22"/>
      <c r="G2754" s="23"/>
      <c r="H2754" s="24"/>
      <c r="Q2754" s="2"/>
      <c r="R2754" s="2"/>
    </row>
    <row r="2755" spans="1:18" ht="15.75" customHeight="1" x14ac:dyDescent="0.3">
      <c r="A2755" s="11"/>
      <c r="B2755" s="11"/>
      <c r="D2755" s="21"/>
      <c r="E2755" s="22"/>
      <c r="G2755" s="23"/>
      <c r="H2755" s="24"/>
      <c r="Q2755" s="2"/>
      <c r="R2755" s="2"/>
    </row>
    <row r="2756" spans="1:18" ht="15.75" customHeight="1" x14ac:dyDescent="0.3">
      <c r="A2756" s="11"/>
      <c r="B2756" s="11"/>
      <c r="D2756" s="21"/>
      <c r="E2756" s="22"/>
      <c r="G2756" s="23"/>
      <c r="H2756" s="24"/>
      <c r="Q2756" s="2"/>
      <c r="R2756" s="2"/>
    </row>
    <row r="2757" spans="1:18" ht="15.75" customHeight="1" x14ac:dyDescent="0.3">
      <c r="A2757" s="11"/>
      <c r="B2757" s="11"/>
      <c r="D2757" s="21"/>
      <c r="E2757" s="22"/>
      <c r="G2757" s="23"/>
      <c r="H2757" s="24"/>
      <c r="Q2757" s="2"/>
      <c r="R2757" s="2"/>
    </row>
    <row r="2758" spans="1:18" ht="15.75" customHeight="1" x14ac:dyDescent="0.3">
      <c r="A2758" s="11"/>
      <c r="B2758" s="11"/>
      <c r="D2758" s="21"/>
      <c r="E2758" s="22"/>
      <c r="G2758" s="23"/>
      <c r="H2758" s="24"/>
      <c r="Q2758" s="2"/>
      <c r="R2758" s="2"/>
    </row>
    <row r="2759" spans="1:18" ht="15.75" customHeight="1" x14ac:dyDescent="0.3">
      <c r="A2759" s="11"/>
      <c r="B2759" s="11"/>
      <c r="D2759" s="21"/>
      <c r="E2759" s="22"/>
      <c r="G2759" s="23"/>
      <c r="H2759" s="24"/>
      <c r="Q2759" s="2"/>
      <c r="R2759" s="2"/>
    </row>
    <row r="2760" spans="1:18" ht="15.75" customHeight="1" x14ac:dyDescent="0.3">
      <c r="A2760" s="11"/>
      <c r="B2760" s="11"/>
      <c r="D2760" s="21"/>
      <c r="E2760" s="22"/>
      <c r="G2760" s="23"/>
      <c r="H2760" s="24"/>
      <c r="Q2760" s="2"/>
      <c r="R2760" s="2"/>
    </row>
    <row r="2761" spans="1:18" ht="15.75" customHeight="1" x14ac:dyDescent="0.3">
      <c r="A2761" s="11"/>
      <c r="B2761" s="11"/>
      <c r="D2761" s="21"/>
      <c r="E2761" s="22"/>
      <c r="G2761" s="23"/>
      <c r="H2761" s="24"/>
      <c r="Q2761" s="2"/>
      <c r="R2761" s="2"/>
    </row>
    <row r="2762" spans="1:18" ht="15.75" customHeight="1" x14ac:dyDescent="0.3">
      <c r="A2762" s="11"/>
      <c r="B2762" s="11"/>
      <c r="D2762" s="21"/>
      <c r="E2762" s="22"/>
      <c r="G2762" s="23"/>
      <c r="H2762" s="24"/>
      <c r="Q2762" s="2"/>
      <c r="R2762" s="2"/>
    </row>
    <row r="2763" spans="1:18" ht="15.75" customHeight="1" x14ac:dyDescent="0.3">
      <c r="A2763" s="11"/>
      <c r="B2763" s="11"/>
      <c r="D2763" s="21"/>
      <c r="E2763" s="22"/>
      <c r="G2763" s="23"/>
      <c r="H2763" s="24"/>
      <c r="Q2763" s="2"/>
      <c r="R2763" s="2"/>
    </row>
    <row r="2764" spans="1:18" ht="15.75" customHeight="1" x14ac:dyDescent="0.3">
      <c r="A2764" s="11"/>
      <c r="B2764" s="11"/>
      <c r="D2764" s="21"/>
      <c r="E2764" s="22"/>
      <c r="G2764" s="23"/>
      <c r="H2764" s="24"/>
      <c r="Q2764" s="2"/>
      <c r="R2764" s="2"/>
    </row>
    <row r="2765" spans="1:18" ht="15.75" customHeight="1" x14ac:dyDescent="0.3">
      <c r="A2765" s="11"/>
      <c r="B2765" s="11"/>
      <c r="D2765" s="21"/>
      <c r="E2765" s="22"/>
      <c r="G2765" s="23"/>
      <c r="H2765" s="24"/>
      <c r="Q2765" s="2"/>
      <c r="R2765" s="2"/>
    </row>
    <row r="2766" spans="1:18" ht="15.75" customHeight="1" x14ac:dyDescent="0.3">
      <c r="A2766" s="11"/>
      <c r="B2766" s="11"/>
      <c r="D2766" s="21"/>
      <c r="E2766" s="22"/>
      <c r="G2766" s="23"/>
      <c r="H2766" s="24"/>
      <c r="Q2766" s="2"/>
      <c r="R2766" s="2"/>
    </row>
    <row r="2767" spans="1:18" ht="15.75" customHeight="1" x14ac:dyDescent="0.3">
      <c r="A2767" s="11"/>
      <c r="B2767" s="11"/>
      <c r="D2767" s="21"/>
      <c r="E2767" s="22"/>
      <c r="G2767" s="23"/>
      <c r="H2767" s="24"/>
      <c r="Q2767" s="2"/>
      <c r="R2767" s="2"/>
    </row>
    <row r="2768" spans="1:18" ht="15.75" customHeight="1" x14ac:dyDescent="0.3">
      <c r="A2768" s="11"/>
      <c r="B2768" s="11"/>
      <c r="D2768" s="21"/>
      <c r="E2768" s="22"/>
      <c r="G2768" s="23"/>
      <c r="H2768" s="24"/>
      <c r="Q2768" s="2"/>
      <c r="R2768" s="2"/>
    </row>
    <row r="2769" spans="1:18" ht="15.75" customHeight="1" x14ac:dyDescent="0.3">
      <c r="A2769" s="11"/>
      <c r="B2769" s="11"/>
      <c r="D2769" s="21"/>
      <c r="E2769" s="22"/>
      <c r="G2769" s="23"/>
      <c r="H2769" s="24"/>
      <c r="Q2769" s="2"/>
      <c r="R2769" s="2"/>
    </row>
    <row r="2770" spans="1:18" ht="15.75" customHeight="1" x14ac:dyDescent="0.3">
      <c r="A2770" s="11"/>
      <c r="B2770" s="11"/>
      <c r="D2770" s="21"/>
      <c r="E2770" s="22"/>
      <c r="G2770" s="23"/>
      <c r="H2770" s="24"/>
      <c r="Q2770" s="2"/>
      <c r="R2770" s="2"/>
    </row>
    <row r="2771" spans="1:18" ht="15.75" customHeight="1" x14ac:dyDescent="0.3">
      <c r="A2771" s="11"/>
      <c r="B2771" s="11"/>
      <c r="D2771" s="21"/>
      <c r="E2771" s="22"/>
      <c r="G2771" s="23"/>
      <c r="H2771" s="24"/>
      <c r="Q2771" s="2"/>
      <c r="R2771" s="2"/>
    </row>
    <row r="2772" spans="1:18" ht="15.75" customHeight="1" x14ac:dyDescent="0.3">
      <c r="A2772" s="11"/>
      <c r="B2772" s="11"/>
      <c r="D2772" s="21"/>
      <c r="E2772" s="22"/>
      <c r="G2772" s="23"/>
      <c r="H2772" s="24"/>
      <c r="Q2772" s="2"/>
      <c r="R2772" s="2"/>
    </row>
    <row r="2773" spans="1:18" ht="15.75" customHeight="1" x14ac:dyDescent="0.3">
      <c r="A2773" s="11"/>
      <c r="B2773" s="11"/>
      <c r="D2773" s="21"/>
      <c r="E2773" s="22"/>
      <c r="G2773" s="23"/>
      <c r="H2773" s="24"/>
      <c r="Q2773" s="2"/>
      <c r="R2773" s="2"/>
    </row>
    <row r="2774" spans="1:18" ht="15.75" customHeight="1" x14ac:dyDescent="0.3">
      <c r="A2774" s="11"/>
      <c r="B2774" s="11"/>
      <c r="D2774" s="21"/>
      <c r="E2774" s="22"/>
      <c r="G2774" s="23"/>
      <c r="H2774" s="24"/>
      <c r="Q2774" s="2"/>
      <c r="R2774" s="2"/>
    </row>
    <row r="2775" spans="1:18" ht="15.75" customHeight="1" x14ac:dyDescent="0.3">
      <c r="A2775" s="11"/>
      <c r="B2775" s="11"/>
      <c r="D2775" s="21"/>
      <c r="E2775" s="22"/>
      <c r="G2775" s="23"/>
      <c r="H2775" s="24"/>
      <c r="Q2775" s="2"/>
      <c r="R2775" s="2"/>
    </row>
    <row r="2776" spans="1:18" ht="15.75" customHeight="1" x14ac:dyDescent="0.3">
      <c r="A2776" s="11"/>
      <c r="B2776" s="11"/>
      <c r="D2776" s="21"/>
      <c r="E2776" s="22"/>
      <c r="G2776" s="23"/>
      <c r="H2776" s="24"/>
      <c r="Q2776" s="2"/>
      <c r="R2776" s="2"/>
    </row>
    <row r="2777" spans="1:18" ht="15.75" customHeight="1" x14ac:dyDescent="0.3">
      <c r="A2777" s="11"/>
      <c r="B2777" s="11"/>
      <c r="D2777" s="21"/>
      <c r="E2777" s="22"/>
      <c r="G2777" s="23"/>
      <c r="H2777" s="24"/>
      <c r="Q2777" s="2"/>
      <c r="R2777" s="2"/>
    </row>
    <row r="2778" spans="1:18" ht="15.75" customHeight="1" x14ac:dyDescent="0.3">
      <c r="A2778" s="11"/>
      <c r="B2778" s="11"/>
      <c r="D2778" s="21"/>
      <c r="E2778" s="22"/>
      <c r="G2778" s="23"/>
      <c r="H2778" s="24"/>
      <c r="Q2778" s="2"/>
      <c r="R2778" s="2"/>
    </row>
    <row r="2779" spans="1:18" ht="15.75" customHeight="1" x14ac:dyDescent="0.3">
      <c r="A2779" s="11"/>
      <c r="B2779" s="11"/>
      <c r="D2779" s="21"/>
      <c r="E2779" s="22"/>
      <c r="G2779" s="23"/>
      <c r="H2779" s="24"/>
      <c r="Q2779" s="2"/>
      <c r="R2779" s="2"/>
    </row>
    <row r="2780" spans="1:18" ht="15.75" customHeight="1" x14ac:dyDescent="0.3">
      <c r="A2780" s="11"/>
      <c r="B2780" s="11"/>
      <c r="D2780" s="21"/>
      <c r="E2780" s="22"/>
      <c r="G2780" s="23"/>
      <c r="H2780" s="24"/>
      <c r="Q2780" s="2"/>
      <c r="R2780" s="2"/>
    </row>
    <row r="2781" spans="1:18" ht="15.75" customHeight="1" x14ac:dyDescent="0.3">
      <c r="A2781" s="11"/>
      <c r="B2781" s="11"/>
      <c r="D2781" s="21"/>
      <c r="E2781" s="22"/>
      <c r="G2781" s="23"/>
      <c r="H2781" s="24"/>
      <c r="Q2781" s="2"/>
      <c r="R2781" s="2"/>
    </row>
    <row r="2782" spans="1:18" ht="15.75" customHeight="1" x14ac:dyDescent="0.3">
      <c r="A2782" s="11"/>
      <c r="B2782" s="11"/>
      <c r="D2782" s="21"/>
      <c r="E2782" s="22"/>
      <c r="G2782" s="23"/>
      <c r="H2782" s="24"/>
      <c r="Q2782" s="2"/>
      <c r="R2782" s="2"/>
    </row>
    <row r="2783" spans="1:18" ht="15.75" customHeight="1" x14ac:dyDescent="0.3">
      <c r="A2783" s="11"/>
      <c r="B2783" s="11"/>
      <c r="D2783" s="21"/>
      <c r="E2783" s="22"/>
      <c r="G2783" s="23"/>
      <c r="H2783" s="24"/>
      <c r="Q2783" s="2"/>
      <c r="R2783" s="2"/>
    </row>
    <row r="2784" spans="1:18" ht="15.75" customHeight="1" x14ac:dyDescent="0.3">
      <c r="A2784" s="11"/>
      <c r="B2784" s="11"/>
      <c r="D2784" s="21"/>
      <c r="E2784" s="22"/>
      <c r="G2784" s="23"/>
      <c r="H2784" s="24"/>
      <c r="Q2784" s="2"/>
      <c r="R2784" s="2"/>
    </row>
    <row r="2785" spans="1:18" ht="15.75" customHeight="1" x14ac:dyDescent="0.3">
      <c r="A2785" s="11"/>
      <c r="B2785" s="11"/>
      <c r="D2785" s="21"/>
      <c r="E2785" s="22"/>
      <c r="G2785" s="23"/>
      <c r="H2785" s="24"/>
      <c r="Q2785" s="2"/>
      <c r="R2785" s="2"/>
    </row>
    <row r="2786" spans="1:18" ht="15.75" customHeight="1" x14ac:dyDescent="0.3">
      <c r="A2786" s="11"/>
      <c r="B2786" s="11"/>
      <c r="D2786" s="21"/>
      <c r="E2786" s="22"/>
      <c r="G2786" s="23"/>
      <c r="H2786" s="24"/>
      <c r="Q2786" s="2"/>
      <c r="R2786" s="2"/>
    </row>
    <row r="2787" spans="1:18" ht="15.75" customHeight="1" x14ac:dyDescent="0.3">
      <c r="A2787" s="11"/>
      <c r="B2787" s="11"/>
      <c r="D2787" s="21"/>
      <c r="E2787" s="22"/>
      <c r="G2787" s="23"/>
      <c r="H2787" s="24"/>
      <c r="Q2787" s="2"/>
      <c r="R2787" s="2"/>
    </row>
    <row r="2788" spans="1:18" ht="15.75" customHeight="1" x14ac:dyDescent="0.3">
      <c r="A2788" s="11"/>
      <c r="B2788" s="11"/>
      <c r="D2788" s="21"/>
      <c r="E2788" s="22"/>
      <c r="G2788" s="23"/>
      <c r="H2788" s="24"/>
      <c r="Q2788" s="2"/>
      <c r="R2788" s="2"/>
    </row>
    <row r="2789" spans="1:18" ht="15.75" customHeight="1" x14ac:dyDescent="0.3">
      <c r="A2789" s="11"/>
      <c r="B2789" s="11"/>
      <c r="D2789" s="21"/>
      <c r="E2789" s="22"/>
      <c r="G2789" s="23"/>
      <c r="H2789" s="24"/>
      <c r="Q2789" s="2"/>
      <c r="R2789" s="2"/>
    </row>
    <row r="2790" spans="1:18" ht="15.75" customHeight="1" x14ac:dyDescent="0.3">
      <c r="A2790" s="11"/>
      <c r="B2790" s="11"/>
      <c r="D2790" s="21"/>
      <c r="E2790" s="22"/>
      <c r="G2790" s="23"/>
      <c r="H2790" s="24"/>
      <c r="Q2790" s="2"/>
      <c r="R2790" s="2"/>
    </row>
    <row r="2791" spans="1:18" ht="15.75" customHeight="1" x14ac:dyDescent="0.3">
      <c r="A2791" s="11"/>
      <c r="B2791" s="11"/>
      <c r="D2791" s="21"/>
      <c r="E2791" s="22"/>
      <c r="G2791" s="23"/>
      <c r="H2791" s="24"/>
      <c r="Q2791" s="2"/>
      <c r="R2791" s="2"/>
    </row>
    <row r="2792" spans="1:18" ht="15.75" customHeight="1" x14ac:dyDescent="0.3">
      <c r="A2792" s="11"/>
      <c r="B2792" s="11"/>
      <c r="D2792" s="21"/>
      <c r="E2792" s="22"/>
      <c r="G2792" s="23"/>
      <c r="H2792" s="24"/>
      <c r="Q2792" s="2"/>
      <c r="R2792" s="2"/>
    </row>
    <row r="2793" spans="1:18" ht="15.75" customHeight="1" x14ac:dyDescent="0.3">
      <c r="A2793" s="11"/>
      <c r="B2793" s="11"/>
      <c r="D2793" s="21"/>
      <c r="E2793" s="22"/>
      <c r="G2793" s="23"/>
      <c r="H2793" s="24"/>
      <c r="Q2793" s="2"/>
      <c r="R2793" s="2"/>
    </row>
    <row r="2794" spans="1:18" ht="15.75" customHeight="1" x14ac:dyDescent="0.3">
      <c r="A2794" s="11"/>
      <c r="B2794" s="11"/>
      <c r="D2794" s="21"/>
      <c r="E2794" s="22"/>
      <c r="G2794" s="23"/>
      <c r="H2794" s="24"/>
      <c r="Q2794" s="2"/>
      <c r="R2794" s="2"/>
    </row>
    <row r="2795" spans="1:18" ht="15.75" customHeight="1" x14ac:dyDescent="0.3">
      <c r="A2795" s="11"/>
      <c r="B2795" s="11"/>
      <c r="D2795" s="21"/>
      <c r="E2795" s="22"/>
      <c r="G2795" s="23"/>
      <c r="H2795" s="24"/>
      <c r="Q2795" s="2"/>
      <c r="R2795" s="2"/>
    </row>
    <row r="2796" spans="1:18" ht="15.75" customHeight="1" x14ac:dyDescent="0.3">
      <c r="A2796" s="11"/>
      <c r="B2796" s="11"/>
      <c r="D2796" s="21"/>
      <c r="E2796" s="22"/>
      <c r="G2796" s="23"/>
      <c r="H2796" s="24"/>
      <c r="Q2796" s="2"/>
      <c r="R2796" s="2"/>
    </row>
    <row r="2797" spans="1:18" ht="15.75" customHeight="1" x14ac:dyDescent="0.3">
      <c r="A2797" s="11"/>
      <c r="B2797" s="11"/>
      <c r="D2797" s="21"/>
      <c r="E2797" s="22"/>
      <c r="G2797" s="23"/>
      <c r="H2797" s="24"/>
      <c r="Q2797" s="2"/>
      <c r="R2797" s="2"/>
    </row>
    <row r="2798" spans="1:18" ht="15.75" customHeight="1" x14ac:dyDescent="0.3">
      <c r="A2798" s="11"/>
      <c r="B2798" s="11"/>
      <c r="D2798" s="21"/>
      <c r="E2798" s="22"/>
      <c r="G2798" s="23"/>
      <c r="H2798" s="24"/>
      <c r="Q2798" s="2"/>
      <c r="R2798" s="2"/>
    </row>
    <row r="2799" spans="1:18" ht="15.75" customHeight="1" x14ac:dyDescent="0.3">
      <c r="A2799" s="11"/>
      <c r="B2799" s="11"/>
      <c r="D2799" s="21"/>
      <c r="E2799" s="22"/>
      <c r="G2799" s="23"/>
      <c r="H2799" s="24"/>
      <c r="Q2799" s="2"/>
      <c r="R2799" s="2"/>
    </row>
    <row r="2800" spans="1:18" ht="15.75" customHeight="1" x14ac:dyDescent="0.3">
      <c r="A2800" s="11"/>
      <c r="B2800" s="11"/>
      <c r="D2800" s="21"/>
      <c r="E2800" s="22"/>
      <c r="G2800" s="23"/>
      <c r="H2800" s="24"/>
      <c r="Q2800" s="2"/>
      <c r="R2800" s="2"/>
    </row>
    <row r="2801" spans="1:18" ht="15.75" customHeight="1" x14ac:dyDescent="0.3">
      <c r="A2801" s="11"/>
      <c r="B2801" s="11"/>
      <c r="D2801" s="21"/>
      <c r="E2801" s="22"/>
      <c r="G2801" s="23"/>
      <c r="H2801" s="24"/>
      <c r="Q2801" s="2"/>
      <c r="R2801" s="2"/>
    </row>
    <row r="2802" spans="1:18" ht="15.75" customHeight="1" x14ac:dyDescent="0.3">
      <c r="A2802" s="11"/>
      <c r="B2802" s="11"/>
      <c r="D2802" s="21"/>
      <c r="E2802" s="22"/>
      <c r="G2802" s="23"/>
      <c r="H2802" s="24"/>
      <c r="Q2802" s="2"/>
      <c r="R2802" s="2"/>
    </row>
    <row r="2803" spans="1:18" ht="15.75" customHeight="1" x14ac:dyDescent="0.3">
      <c r="A2803" s="11"/>
      <c r="B2803" s="11"/>
      <c r="D2803" s="21"/>
      <c r="E2803" s="22"/>
      <c r="G2803" s="23"/>
      <c r="H2803" s="24"/>
      <c r="Q2803" s="2"/>
      <c r="R2803" s="2"/>
    </row>
    <row r="2804" spans="1:18" ht="15.75" customHeight="1" x14ac:dyDescent="0.3">
      <c r="A2804" s="11"/>
      <c r="B2804" s="11"/>
      <c r="D2804" s="21"/>
      <c r="E2804" s="22"/>
      <c r="G2804" s="23"/>
      <c r="H2804" s="24"/>
      <c r="Q2804" s="2"/>
      <c r="R2804" s="2"/>
    </row>
    <row r="2805" spans="1:18" ht="15.75" customHeight="1" x14ac:dyDescent="0.3">
      <c r="A2805" s="11"/>
      <c r="B2805" s="11"/>
      <c r="D2805" s="21"/>
      <c r="E2805" s="22"/>
      <c r="G2805" s="23"/>
      <c r="H2805" s="24"/>
      <c r="Q2805" s="2"/>
      <c r="R2805" s="2"/>
    </row>
    <row r="2806" spans="1:18" ht="15.75" customHeight="1" x14ac:dyDescent="0.3">
      <c r="A2806" s="11"/>
      <c r="B2806" s="11"/>
      <c r="D2806" s="21"/>
      <c r="E2806" s="22"/>
      <c r="G2806" s="23"/>
      <c r="H2806" s="24"/>
      <c r="Q2806" s="2"/>
      <c r="R2806" s="2"/>
    </row>
    <row r="2807" spans="1:18" ht="15.75" customHeight="1" x14ac:dyDescent="0.3">
      <c r="A2807" s="11"/>
      <c r="B2807" s="11"/>
      <c r="D2807" s="21"/>
      <c r="E2807" s="22"/>
      <c r="G2807" s="23"/>
      <c r="H2807" s="24"/>
      <c r="Q2807" s="2"/>
      <c r="R2807" s="2"/>
    </row>
    <row r="2808" spans="1:18" ht="15.75" customHeight="1" x14ac:dyDescent="0.3">
      <c r="A2808" s="11"/>
      <c r="B2808" s="11"/>
      <c r="D2808" s="21"/>
      <c r="E2808" s="22"/>
      <c r="G2808" s="23"/>
      <c r="H2808" s="24"/>
      <c r="Q2808" s="2"/>
      <c r="R2808" s="2"/>
    </row>
    <row r="2809" spans="1:18" ht="15.75" customHeight="1" x14ac:dyDescent="0.3">
      <c r="A2809" s="11"/>
      <c r="B2809" s="11"/>
      <c r="D2809" s="21"/>
      <c r="E2809" s="22"/>
      <c r="G2809" s="23"/>
      <c r="H2809" s="24"/>
      <c r="Q2809" s="2"/>
      <c r="R2809" s="2"/>
    </row>
    <row r="2810" spans="1:18" ht="15.75" customHeight="1" x14ac:dyDescent="0.3">
      <c r="A2810" s="11"/>
      <c r="B2810" s="11"/>
      <c r="D2810" s="21"/>
      <c r="E2810" s="22"/>
      <c r="G2810" s="23"/>
      <c r="H2810" s="24"/>
      <c r="Q2810" s="2"/>
      <c r="R2810" s="2"/>
    </row>
    <row r="2811" spans="1:18" ht="15.75" customHeight="1" x14ac:dyDescent="0.3">
      <c r="A2811" s="11"/>
      <c r="B2811" s="11"/>
      <c r="D2811" s="21"/>
      <c r="E2811" s="22"/>
      <c r="G2811" s="23"/>
      <c r="H2811" s="24"/>
      <c r="Q2811" s="2"/>
      <c r="R2811" s="2"/>
    </row>
    <row r="2812" spans="1:18" ht="15.75" customHeight="1" x14ac:dyDescent="0.3">
      <c r="A2812" s="11"/>
      <c r="B2812" s="11"/>
      <c r="D2812" s="21"/>
      <c r="E2812" s="22"/>
      <c r="G2812" s="23"/>
      <c r="H2812" s="24"/>
      <c r="Q2812" s="2"/>
      <c r="R2812" s="2"/>
    </row>
    <row r="2813" spans="1:18" ht="15.75" customHeight="1" x14ac:dyDescent="0.3">
      <c r="A2813" s="11"/>
      <c r="B2813" s="11"/>
      <c r="D2813" s="21"/>
      <c r="E2813" s="22"/>
      <c r="G2813" s="23"/>
      <c r="H2813" s="24"/>
      <c r="Q2813" s="2"/>
      <c r="R2813" s="2"/>
    </row>
    <row r="2814" spans="1:18" ht="15.75" customHeight="1" x14ac:dyDescent="0.3">
      <c r="A2814" s="11"/>
      <c r="B2814" s="11"/>
      <c r="D2814" s="21"/>
      <c r="E2814" s="22"/>
      <c r="G2814" s="23"/>
      <c r="H2814" s="24"/>
      <c r="Q2814" s="2"/>
      <c r="R2814" s="2"/>
    </row>
    <row r="2815" spans="1:18" ht="15.75" customHeight="1" x14ac:dyDescent="0.3">
      <c r="A2815" s="11"/>
      <c r="B2815" s="11"/>
      <c r="D2815" s="21"/>
      <c r="E2815" s="22"/>
      <c r="G2815" s="23"/>
      <c r="H2815" s="24"/>
      <c r="Q2815" s="2"/>
      <c r="R2815" s="2"/>
    </row>
    <row r="2816" spans="1:18" ht="15.75" customHeight="1" x14ac:dyDescent="0.3">
      <c r="A2816" s="11"/>
      <c r="B2816" s="11"/>
      <c r="D2816" s="21"/>
      <c r="E2816" s="22"/>
      <c r="G2816" s="23"/>
      <c r="H2816" s="24"/>
      <c r="Q2816" s="2"/>
      <c r="R2816" s="2"/>
    </row>
    <row r="2817" spans="1:18" ht="15.75" customHeight="1" x14ac:dyDescent="0.3">
      <c r="A2817" s="11"/>
      <c r="B2817" s="11"/>
      <c r="D2817" s="21"/>
      <c r="E2817" s="22"/>
      <c r="G2817" s="23"/>
      <c r="H2817" s="24"/>
      <c r="Q2817" s="2"/>
      <c r="R2817" s="2"/>
    </row>
    <row r="2818" spans="1:18" ht="15.75" customHeight="1" x14ac:dyDescent="0.3">
      <c r="A2818" s="11"/>
      <c r="B2818" s="11"/>
      <c r="D2818" s="21"/>
      <c r="E2818" s="22"/>
      <c r="G2818" s="23"/>
      <c r="H2818" s="24"/>
      <c r="Q2818" s="2"/>
      <c r="R2818" s="2"/>
    </row>
    <row r="2819" spans="1:18" ht="15.75" customHeight="1" x14ac:dyDescent="0.3">
      <c r="A2819" s="11"/>
      <c r="B2819" s="11"/>
      <c r="D2819" s="21"/>
      <c r="E2819" s="22"/>
      <c r="G2819" s="23"/>
      <c r="H2819" s="24"/>
      <c r="Q2819" s="2"/>
      <c r="R2819" s="2"/>
    </row>
    <row r="2820" spans="1:18" ht="15.75" customHeight="1" x14ac:dyDescent="0.3">
      <c r="A2820" s="11"/>
      <c r="B2820" s="11"/>
      <c r="D2820" s="21"/>
      <c r="E2820" s="22"/>
      <c r="G2820" s="23"/>
      <c r="H2820" s="24"/>
      <c r="Q2820" s="2"/>
      <c r="R2820" s="2"/>
    </row>
    <row r="2821" spans="1:18" ht="15.75" customHeight="1" x14ac:dyDescent="0.3">
      <c r="A2821" s="11"/>
      <c r="B2821" s="11"/>
      <c r="D2821" s="21"/>
      <c r="E2821" s="22"/>
      <c r="G2821" s="23"/>
      <c r="H2821" s="24"/>
      <c r="Q2821" s="2"/>
      <c r="R2821" s="2"/>
    </row>
    <row r="2822" spans="1:18" ht="15.75" customHeight="1" x14ac:dyDescent="0.3">
      <c r="A2822" s="11"/>
      <c r="B2822" s="11"/>
      <c r="D2822" s="21"/>
      <c r="E2822" s="22"/>
      <c r="G2822" s="23"/>
      <c r="H2822" s="24"/>
      <c r="Q2822" s="2"/>
      <c r="R2822" s="2"/>
    </row>
    <row r="2823" spans="1:18" ht="15.75" customHeight="1" x14ac:dyDescent="0.3">
      <c r="A2823" s="11"/>
      <c r="B2823" s="11"/>
      <c r="D2823" s="21"/>
      <c r="E2823" s="22"/>
      <c r="G2823" s="23"/>
      <c r="H2823" s="24"/>
      <c r="Q2823" s="2"/>
      <c r="R2823" s="2"/>
    </row>
    <row r="2824" spans="1:18" ht="15.75" customHeight="1" x14ac:dyDescent="0.3">
      <c r="A2824" s="11"/>
      <c r="B2824" s="11"/>
      <c r="D2824" s="21"/>
      <c r="E2824" s="22"/>
      <c r="G2824" s="23"/>
      <c r="H2824" s="24"/>
      <c r="Q2824" s="2"/>
      <c r="R2824" s="2"/>
    </row>
    <row r="2825" spans="1:18" ht="15.75" customHeight="1" x14ac:dyDescent="0.3">
      <c r="A2825" s="11"/>
      <c r="B2825" s="11"/>
      <c r="D2825" s="21"/>
      <c r="E2825" s="22"/>
      <c r="G2825" s="23"/>
      <c r="H2825" s="24"/>
      <c r="Q2825" s="2"/>
      <c r="R2825" s="2"/>
    </row>
    <row r="2826" spans="1:18" ht="15.75" customHeight="1" x14ac:dyDescent="0.3">
      <c r="A2826" s="11"/>
      <c r="B2826" s="11"/>
      <c r="D2826" s="21"/>
      <c r="E2826" s="22"/>
      <c r="G2826" s="23"/>
      <c r="H2826" s="24"/>
      <c r="Q2826" s="2"/>
      <c r="R2826" s="2"/>
    </row>
    <row r="2827" spans="1:18" ht="15.75" customHeight="1" x14ac:dyDescent="0.3">
      <c r="A2827" s="11"/>
      <c r="B2827" s="11"/>
      <c r="D2827" s="21"/>
      <c r="E2827" s="22"/>
      <c r="G2827" s="23"/>
      <c r="H2827" s="24"/>
      <c r="Q2827" s="2"/>
      <c r="R2827" s="2"/>
    </row>
    <row r="2828" spans="1:18" ht="15.75" customHeight="1" x14ac:dyDescent="0.3">
      <c r="A2828" s="11"/>
      <c r="B2828" s="11"/>
      <c r="D2828" s="21"/>
      <c r="E2828" s="22"/>
      <c r="G2828" s="23"/>
      <c r="H2828" s="24"/>
      <c r="Q2828" s="2"/>
      <c r="R2828" s="2"/>
    </row>
    <row r="2829" spans="1:18" ht="15.75" customHeight="1" x14ac:dyDescent="0.3">
      <c r="A2829" s="11"/>
      <c r="B2829" s="11"/>
      <c r="D2829" s="21"/>
      <c r="E2829" s="22"/>
      <c r="G2829" s="23"/>
      <c r="H2829" s="24"/>
      <c r="Q2829" s="2"/>
      <c r="R2829" s="2"/>
    </row>
    <row r="2830" spans="1:18" ht="15.75" customHeight="1" x14ac:dyDescent="0.3">
      <c r="A2830" s="11"/>
      <c r="B2830" s="11"/>
      <c r="D2830" s="21"/>
      <c r="E2830" s="22"/>
      <c r="G2830" s="23"/>
      <c r="H2830" s="24"/>
      <c r="Q2830" s="2"/>
      <c r="R2830" s="2"/>
    </row>
    <row r="2831" spans="1:18" ht="15.75" customHeight="1" x14ac:dyDescent="0.3">
      <c r="A2831" s="11"/>
      <c r="B2831" s="11"/>
      <c r="D2831" s="21"/>
      <c r="E2831" s="22"/>
      <c r="G2831" s="23"/>
      <c r="H2831" s="24"/>
      <c r="Q2831" s="2"/>
      <c r="R2831" s="2"/>
    </row>
    <row r="2832" spans="1:18" ht="15.75" customHeight="1" x14ac:dyDescent="0.3">
      <c r="A2832" s="11"/>
      <c r="B2832" s="11"/>
      <c r="D2832" s="21"/>
      <c r="E2832" s="22"/>
      <c r="G2832" s="23"/>
      <c r="H2832" s="24"/>
      <c r="Q2832" s="2"/>
      <c r="R2832" s="2"/>
    </row>
    <row r="2833" spans="1:18" ht="15.75" customHeight="1" x14ac:dyDescent="0.3">
      <c r="A2833" s="11"/>
      <c r="B2833" s="11"/>
      <c r="D2833" s="21"/>
      <c r="E2833" s="22"/>
      <c r="G2833" s="23"/>
      <c r="H2833" s="24"/>
      <c r="Q2833" s="2"/>
      <c r="R2833" s="2"/>
    </row>
    <row r="2834" spans="1:18" ht="15.75" customHeight="1" x14ac:dyDescent="0.3">
      <c r="A2834" s="11"/>
      <c r="B2834" s="11"/>
      <c r="D2834" s="21"/>
      <c r="E2834" s="22"/>
      <c r="G2834" s="23"/>
      <c r="H2834" s="24"/>
      <c r="Q2834" s="2"/>
      <c r="R2834" s="2"/>
    </row>
    <row r="2835" spans="1:18" ht="15.75" customHeight="1" x14ac:dyDescent="0.3">
      <c r="A2835" s="11"/>
      <c r="B2835" s="11"/>
      <c r="D2835" s="21"/>
      <c r="E2835" s="22"/>
      <c r="G2835" s="23"/>
      <c r="H2835" s="24"/>
      <c r="Q2835" s="2"/>
      <c r="R2835" s="2"/>
    </row>
    <row r="2836" spans="1:18" ht="15.75" customHeight="1" x14ac:dyDescent="0.3">
      <c r="A2836" s="11"/>
      <c r="B2836" s="11"/>
      <c r="D2836" s="21"/>
      <c r="E2836" s="22"/>
      <c r="G2836" s="23"/>
      <c r="H2836" s="24"/>
      <c r="Q2836" s="2"/>
      <c r="R2836" s="2"/>
    </row>
    <row r="2837" spans="1:18" ht="15.75" customHeight="1" x14ac:dyDescent="0.3">
      <c r="A2837" s="11"/>
      <c r="B2837" s="11"/>
      <c r="D2837" s="21"/>
      <c r="E2837" s="22"/>
      <c r="G2837" s="23"/>
      <c r="H2837" s="24"/>
      <c r="Q2837" s="2"/>
      <c r="R2837" s="2"/>
    </row>
    <row r="2838" spans="1:18" ht="15.75" customHeight="1" x14ac:dyDescent="0.3">
      <c r="A2838" s="11"/>
      <c r="B2838" s="11"/>
      <c r="D2838" s="21"/>
      <c r="E2838" s="22"/>
      <c r="G2838" s="23"/>
      <c r="H2838" s="24"/>
      <c r="Q2838" s="2"/>
      <c r="R2838" s="2"/>
    </row>
    <row r="2839" spans="1:18" ht="15.75" customHeight="1" x14ac:dyDescent="0.3">
      <c r="A2839" s="11"/>
      <c r="B2839" s="11"/>
      <c r="D2839" s="21"/>
      <c r="E2839" s="22"/>
      <c r="G2839" s="23"/>
      <c r="H2839" s="24"/>
      <c r="Q2839" s="2"/>
      <c r="R2839" s="2"/>
    </row>
    <row r="2840" spans="1:18" ht="15.75" customHeight="1" x14ac:dyDescent="0.3">
      <c r="A2840" s="11"/>
      <c r="B2840" s="11"/>
      <c r="D2840" s="21"/>
      <c r="E2840" s="22"/>
      <c r="G2840" s="23"/>
      <c r="H2840" s="24"/>
      <c r="Q2840" s="2"/>
      <c r="R2840" s="2"/>
    </row>
    <row r="2841" spans="1:18" ht="15.75" customHeight="1" x14ac:dyDescent="0.3">
      <c r="A2841" s="11"/>
      <c r="B2841" s="11"/>
      <c r="D2841" s="21"/>
      <c r="E2841" s="22"/>
      <c r="G2841" s="23"/>
      <c r="H2841" s="24"/>
      <c r="Q2841" s="2"/>
      <c r="R2841" s="2"/>
    </row>
    <row r="2842" spans="1:18" ht="15.75" customHeight="1" x14ac:dyDescent="0.3">
      <c r="A2842" s="11"/>
      <c r="B2842" s="11"/>
      <c r="D2842" s="21"/>
      <c r="E2842" s="22"/>
      <c r="G2842" s="23"/>
      <c r="H2842" s="24"/>
      <c r="Q2842" s="2"/>
      <c r="R2842" s="2"/>
    </row>
    <row r="2843" spans="1:18" ht="15.75" customHeight="1" x14ac:dyDescent="0.3">
      <c r="A2843" s="11"/>
      <c r="B2843" s="11"/>
      <c r="D2843" s="21"/>
      <c r="E2843" s="22"/>
      <c r="G2843" s="23"/>
      <c r="H2843" s="24"/>
      <c r="Q2843" s="2"/>
      <c r="R2843" s="2"/>
    </row>
    <row r="2844" spans="1:18" ht="15.75" customHeight="1" x14ac:dyDescent="0.3">
      <c r="A2844" s="11"/>
      <c r="B2844" s="11"/>
      <c r="D2844" s="21"/>
      <c r="E2844" s="22"/>
      <c r="G2844" s="23"/>
      <c r="H2844" s="24"/>
      <c r="Q2844" s="2"/>
      <c r="R2844" s="2"/>
    </row>
    <row r="2845" spans="1:18" ht="15.75" customHeight="1" x14ac:dyDescent="0.3">
      <c r="A2845" s="11"/>
      <c r="B2845" s="11"/>
      <c r="D2845" s="21"/>
      <c r="E2845" s="22"/>
      <c r="G2845" s="23"/>
      <c r="H2845" s="24"/>
      <c r="Q2845" s="2"/>
      <c r="R2845" s="2"/>
    </row>
    <row r="2846" spans="1:18" ht="15.75" customHeight="1" x14ac:dyDescent="0.3">
      <c r="A2846" s="11"/>
      <c r="B2846" s="11"/>
      <c r="D2846" s="21"/>
      <c r="E2846" s="22"/>
      <c r="G2846" s="23"/>
      <c r="H2846" s="24"/>
      <c r="Q2846" s="2"/>
      <c r="R2846" s="2"/>
    </row>
    <row r="2847" spans="1:18" ht="15.75" customHeight="1" x14ac:dyDescent="0.3">
      <c r="A2847" s="11"/>
      <c r="B2847" s="11"/>
      <c r="D2847" s="21"/>
      <c r="E2847" s="22"/>
      <c r="G2847" s="23"/>
      <c r="H2847" s="24"/>
      <c r="Q2847" s="2"/>
      <c r="R2847" s="2"/>
    </row>
    <row r="2848" spans="1:18" ht="15.75" customHeight="1" x14ac:dyDescent="0.3">
      <c r="A2848" s="11"/>
      <c r="B2848" s="11"/>
      <c r="D2848" s="21"/>
      <c r="E2848" s="22"/>
      <c r="G2848" s="23"/>
      <c r="H2848" s="24"/>
      <c r="Q2848" s="2"/>
      <c r="R2848" s="2"/>
    </row>
    <row r="2849" spans="1:18" ht="15.75" customHeight="1" x14ac:dyDescent="0.3">
      <c r="A2849" s="11"/>
      <c r="B2849" s="11"/>
      <c r="D2849" s="21"/>
      <c r="E2849" s="22"/>
      <c r="G2849" s="23"/>
      <c r="H2849" s="24"/>
      <c r="Q2849" s="2"/>
      <c r="R2849" s="2"/>
    </row>
    <row r="2850" spans="1:18" ht="15.75" customHeight="1" x14ac:dyDescent="0.3">
      <c r="A2850" s="11"/>
      <c r="B2850" s="11"/>
      <c r="D2850" s="21"/>
      <c r="E2850" s="22"/>
      <c r="G2850" s="23"/>
      <c r="H2850" s="24"/>
      <c r="Q2850" s="2"/>
      <c r="R2850" s="2"/>
    </row>
    <row r="2851" spans="1:18" ht="15.75" customHeight="1" x14ac:dyDescent="0.3">
      <c r="A2851" s="11"/>
      <c r="B2851" s="11"/>
      <c r="D2851" s="21"/>
      <c r="E2851" s="22"/>
      <c r="G2851" s="23"/>
      <c r="H2851" s="24"/>
      <c r="Q2851" s="2"/>
      <c r="R2851" s="2"/>
    </row>
    <row r="2852" spans="1:18" ht="15.75" customHeight="1" x14ac:dyDescent="0.3">
      <c r="A2852" s="11"/>
      <c r="B2852" s="11"/>
      <c r="D2852" s="21"/>
      <c r="E2852" s="22"/>
      <c r="G2852" s="23"/>
      <c r="H2852" s="24"/>
      <c r="Q2852" s="2"/>
      <c r="R2852" s="2"/>
    </row>
    <row r="2853" spans="1:18" ht="15.75" customHeight="1" x14ac:dyDescent="0.3">
      <c r="A2853" s="11"/>
      <c r="B2853" s="11"/>
      <c r="D2853" s="21"/>
      <c r="E2853" s="22"/>
      <c r="G2853" s="23"/>
      <c r="H2853" s="24"/>
      <c r="Q2853" s="2"/>
      <c r="R2853" s="2"/>
    </row>
    <row r="2854" spans="1:18" ht="15.75" customHeight="1" x14ac:dyDescent="0.3">
      <c r="A2854" s="11"/>
      <c r="B2854" s="11"/>
      <c r="D2854" s="21"/>
      <c r="E2854" s="22"/>
      <c r="G2854" s="23"/>
      <c r="H2854" s="24"/>
      <c r="Q2854" s="2"/>
      <c r="R2854" s="2"/>
    </row>
    <row r="2855" spans="1:18" ht="15.75" customHeight="1" x14ac:dyDescent="0.3">
      <c r="A2855" s="11"/>
      <c r="B2855" s="11"/>
      <c r="D2855" s="21"/>
      <c r="E2855" s="22"/>
      <c r="G2855" s="23"/>
      <c r="H2855" s="24"/>
      <c r="Q2855" s="2"/>
      <c r="R2855" s="2"/>
    </row>
    <row r="2856" spans="1:18" ht="15.75" customHeight="1" x14ac:dyDescent="0.3">
      <c r="A2856" s="11"/>
      <c r="B2856" s="11"/>
      <c r="D2856" s="21"/>
      <c r="E2856" s="22"/>
      <c r="G2856" s="23"/>
      <c r="H2856" s="24"/>
      <c r="Q2856" s="2"/>
      <c r="R2856" s="2"/>
    </row>
    <row r="2857" spans="1:18" ht="15.75" customHeight="1" x14ac:dyDescent="0.3">
      <c r="A2857" s="11"/>
      <c r="B2857" s="11"/>
      <c r="D2857" s="21"/>
      <c r="E2857" s="22"/>
      <c r="G2857" s="23"/>
      <c r="H2857" s="24"/>
      <c r="Q2857" s="2"/>
      <c r="R2857" s="2"/>
    </row>
    <row r="2858" spans="1:18" ht="15.75" customHeight="1" x14ac:dyDescent="0.3">
      <c r="A2858" s="11"/>
      <c r="B2858" s="11"/>
      <c r="D2858" s="21"/>
      <c r="E2858" s="22"/>
      <c r="G2858" s="23"/>
      <c r="H2858" s="24"/>
      <c r="Q2858" s="2"/>
      <c r="R2858" s="2"/>
    </row>
    <row r="2859" spans="1:18" ht="15.75" customHeight="1" x14ac:dyDescent="0.3">
      <c r="A2859" s="11"/>
      <c r="B2859" s="11"/>
      <c r="D2859" s="21"/>
      <c r="E2859" s="22"/>
      <c r="G2859" s="23"/>
      <c r="H2859" s="24"/>
      <c r="Q2859" s="2"/>
      <c r="R2859" s="2"/>
    </row>
    <row r="2860" spans="1:18" ht="15.75" customHeight="1" x14ac:dyDescent="0.3">
      <c r="A2860" s="11"/>
      <c r="B2860" s="11"/>
      <c r="D2860" s="21"/>
      <c r="E2860" s="22"/>
      <c r="G2860" s="23"/>
      <c r="H2860" s="24"/>
      <c r="Q2860" s="2"/>
      <c r="R2860" s="2"/>
    </row>
    <row r="2861" spans="1:18" ht="15.75" customHeight="1" x14ac:dyDescent="0.3">
      <c r="A2861" s="11"/>
      <c r="B2861" s="11"/>
      <c r="D2861" s="21"/>
      <c r="E2861" s="22"/>
      <c r="G2861" s="23"/>
      <c r="H2861" s="24"/>
      <c r="Q2861" s="2"/>
      <c r="R2861" s="2"/>
    </row>
    <row r="2862" spans="1:18" ht="15.75" customHeight="1" x14ac:dyDescent="0.3">
      <c r="A2862" s="11"/>
      <c r="B2862" s="11"/>
      <c r="D2862" s="21"/>
      <c r="E2862" s="22"/>
      <c r="G2862" s="23"/>
      <c r="H2862" s="24"/>
      <c r="Q2862" s="2"/>
      <c r="R2862" s="2"/>
    </row>
    <row r="2863" spans="1:18" ht="15.75" customHeight="1" x14ac:dyDescent="0.3">
      <c r="A2863" s="11"/>
      <c r="B2863" s="11"/>
      <c r="D2863" s="21"/>
      <c r="E2863" s="22"/>
      <c r="G2863" s="23"/>
      <c r="H2863" s="24"/>
      <c r="Q2863" s="2"/>
      <c r="R2863" s="2"/>
    </row>
    <row r="2864" spans="1:18" ht="15.75" customHeight="1" x14ac:dyDescent="0.3">
      <c r="A2864" s="11"/>
      <c r="B2864" s="11"/>
      <c r="D2864" s="21"/>
      <c r="E2864" s="22"/>
      <c r="G2864" s="23"/>
      <c r="H2864" s="24"/>
      <c r="Q2864" s="2"/>
      <c r="R2864" s="2"/>
    </row>
    <row r="2865" spans="1:18" ht="15.75" customHeight="1" x14ac:dyDescent="0.3">
      <c r="A2865" s="11"/>
      <c r="B2865" s="11"/>
      <c r="D2865" s="21"/>
      <c r="E2865" s="22"/>
      <c r="G2865" s="23"/>
      <c r="H2865" s="24"/>
      <c r="Q2865" s="2"/>
      <c r="R2865" s="2"/>
    </row>
    <row r="2866" spans="1:18" ht="15.75" customHeight="1" x14ac:dyDescent="0.3">
      <c r="A2866" s="11"/>
      <c r="B2866" s="11"/>
      <c r="D2866" s="21"/>
      <c r="E2866" s="22"/>
      <c r="G2866" s="23"/>
      <c r="H2866" s="24"/>
      <c r="Q2866" s="2"/>
      <c r="R2866" s="2"/>
    </row>
    <row r="2867" spans="1:18" ht="15.75" customHeight="1" x14ac:dyDescent="0.3">
      <c r="A2867" s="11"/>
      <c r="B2867" s="11"/>
      <c r="D2867" s="21"/>
      <c r="E2867" s="22"/>
      <c r="G2867" s="23"/>
      <c r="H2867" s="24"/>
      <c r="Q2867" s="2"/>
      <c r="R2867" s="2"/>
    </row>
    <row r="2868" spans="1:18" ht="15.75" customHeight="1" x14ac:dyDescent="0.3">
      <c r="A2868" s="11"/>
      <c r="B2868" s="11"/>
      <c r="D2868" s="21"/>
      <c r="E2868" s="22"/>
      <c r="G2868" s="23"/>
      <c r="H2868" s="24"/>
      <c r="Q2868" s="2"/>
      <c r="R2868" s="2"/>
    </row>
    <row r="2869" spans="1:18" ht="15.75" customHeight="1" x14ac:dyDescent="0.3">
      <c r="A2869" s="11"/>
      <c r="B2869" s="11"/>
      <c r="D2869" s="21"/>
      <c r="E2869" s="22"/>
      <c r="G2869" s="23"/>
      <c r="H2869" s="24"/>
      <c r="Q2869" s="2"/>
      <c r="R2869" s="2"/>
    </row>
    <row r="2870" spans="1:18" ht="15.75" customHeight="1" x14ac:dyDescent="0.3">
      <c r="A2870" s="11"/>
      <c r="B2870" s="11"/>
      <c r="D2870" s="21"/>
      <c r="E2870" s="22"/>
      <c r="G2870" s="23"/>
      <c r="H2870" s="24"/>
      <c r="Q2870" s="2"/>
      <c r="R2870" s="2"/>
    </row>
    <row r="2871" spans="1:18" ht="15.75" customHeight="1" x14ac:dyDescent="0.3">
      <c r="A2871" s="11"/>
      <c r="B2871" s="11"/>
      <c r="D2871" s="21"/>
      <c r="E2871" s="22"/>
      <c r="G2871" s="23"/>
      <c r="H2871" s="24"/>
      <c r="Q2871" s="2"/>
      <c r="R2871" s="2"/>
    </row>
    <row r="2872" spans="1:18" ht="15.75" customHeight="1" x14ac:dyDescent="0.3">
      <c r="A2872" s="11"/>
      <c r="B2872" s="11"/>
      <c r="D2872" s="21"/>
      <c r="E2872" s="22"/>
      <c r="G2872" s="23"/>
      <c r="H2872" s="24"/>
      <c r="Q2872" s="2"/>
      <c r="R2872" s="2"/>
    </row>
    <row r="2873" spans="1:18" ht="15.75" customHeight="1" x14ac:dyDescent="0.3">
      <c r="A2873" s="11"/>
      <c r="B2873" s="11"/>
      <c r="D2873" s="21"/>
      <c r="E2873" s="22"/>
      <c r="G2873" s="23"/>
      <c r="H2873" s="24"/>
      <c r="Q2873" s="2"/>
      <c r="R2873" s="2"/>
    </row>
    <row r="2874" spans="1:18" ht="15.75" customHeight="1" x14ac:dyDescent="0.3">
      <c r="A2874" s="11"/>
      <c r="B2874" s="11"/>
      <c r="D2874" s="21"/>
      <c r="E2874" s="22"/>
      <c r="G2874" s="23"/>
      <c r="H2874" s="24"/>
      <c r="Q2874" s="2"/>
      <c r="R2874" s="2"/>
    </row>
    <row r="2875" spans="1:18" ht="15.75" customHeight="1" x14ac:dyDescent="0.3">
      <c r="A2875" s="11"/>
      <c r="B2875" s="11"/>
      <c r="D2875" s="21"/>
      <c r="E2875" s="22"/>
      <c r="G2875" s="23"/>
      <c r="H2875" s="24"/>
      <c r="Q2875" s="2"/>
      <c r="R2875" s="2"/>
    </row>
    <row r="2876" spans="1:18" ht="15.75" customHeight="1" x14ac:dyDescent="0.3">
      <c r="A2876" s="11"/>
      <c r="B2876" s="11"/>
      <c r="D2876" s="21"/>
      <c r="E2876" s="22"/>
      <c r="G2876" s="23"/>
      <c r="H2876" s="24"/>
      <c r="Q2876" s="2"/>
      <c r="R2876" s="2"/>
    </row>
    <row r="2877" spans="1:18" ht="15.75" customHeight="1" x14ac:dyDescent="0.3">
      <c r="A2877" s="11"/>
      <c r="B2877" s="11"/>
      <c r="D2877" s="21"/>
      <c r="E2877" s="22"/>
      <c r="G2877" s="23"/>
      <c r="H2877" s="24"/>
      <c r="Q2877" s="2"/>
      <c r="R2877" s="2"/>
    </row>
    <row r="2878" spans="1:18" ht="15.75" customHeight="1" x14ac:dyDescent="0.3">
      <c r="A2878" s="11"/>
      <c r="B2878" s="11"/>
      <c r="D2878" s="21"/>
      <c r="E2878" s="22"/>
      <c r="G2878" s="23"/>
      <c r="H2878" s="24"/>
      <c r="Q2878" s="2"/>
      <c r="R2878" s="2"/>
    </row>
    <row r="2879" spans="1:18" ht="15.75" customHeight="1" x14ac:dyDescent="0.3">
      <c r="A2879" s="11"/>
      <c r="B2879" s="11"/>
      <c r="D2879" s="21"/>
      <c r="E2879" s="22"/>
      <c r="G2879" s="23"/>
      <c r="H2879" s="24"/>
      <c r="Q2879" s="2"/>
      <c r="R2879" s="2"/>
    </row>
    <row r="2880" spans="1:18" ht="15.75" customHeight="1" x14ac:dyDescent="0.3">
      <c r="A2880" s="11"/>
      <c r="B2880" s="11"/>
      <c r="D2880" s="21"/>
      <c r="E2880" s="22"/>
      <c r="G2880" s="23"/>
      <c r="H2880" s="24"/>
      <c r="Q2880" s="2"/>
      <c r="R2880" s="2"/>
    </row>
    <row r="2881" spans="1:18" ht="15.75" customHeight="1" x14ac:dyDescent="0.3">
      <c r="A2881" s="11"/>
      <c r="B2881" s="11"/>
      <c r="D2881" s="21"/>
      <c r="E2881" s="22"/>
      <c r="G2881" s="23"/>
      <c r="H2881" s="24"/>
      <c r="Q2881" s="2"/>
      <c r="R2881" s="2"/>
    </row>
    <row r="2882" spans="1:18" ht="15.75" customHeight="1" x14ac:dyDescent="0.3">
      <c r="A2882" s="11"/>
      <c r="B2882" s="11"/>
      <c r="D2882" s="21"/>
      <c r="E2882" s="22"/>
      <c r="G2882" s="23"/>
      <c r="H2882" s="24"/>
      <c r="Q2882" s="2"/>
      <c r="R2882" s="2"/>
    </row>
    <row r="2883" spans="1:18" ht="15.75" customHeight="1" x14ac:dyDescent="0.3">
      <c r="A2883" s="11"/>
      <c r="B2883" s="11"/>
      <c r="D2883" s="21"/>
      <c r="E2883" s="22"/>
      <c r="G2883" s="23"/>
      <c r="H2883" s="24"/>
      <c r="Q2883" s="2"/>
      <c r="R2883" s="2"/>
    </row>
    <row r="2884" spans="1:18" ht="15.75" customHeight="1" x14ac:dyDescent="0.3">
      <c r="A2884" s="11"/>
      <c r="B2884" s="11"/>
      <c r="D2884" s="21"/>
      <c r="E2884" s="22"/>
      <c r="G2884" s="23"/>
      <c r="H2884" s="24"/>
      <c r="Q2884" s="2"/>
      <c r="R2884" s="2"/>
    </row>
    <row r="2885" spans="1:18" ht="15.75" customHeight="1" x14ac:dyDescent="0.3">
      <c r="A2885" s="11"/>
      <c r="B2885" s="11"/>
      <c r="D2885" s="21"/>
      <c r="E2885" s="22"/>
      <c r="G2885" s="23"/>
      <c r="H2885" s="24"/>
      <c r="Q2885" s="2"/>
      <c r="R2885" s="2"/>
    </row>
    <row r="2886" spans="1:18" ht="15.75" customHeight="1" x14ac:dyDescent="0.3">
      <c r="A2886" s="11"/>
      <c r="B2886" s="11"/>
      <c r="D2886" s="21"/>
      <c r="E2886" s="22"/>
      <c r="G2886" s="23"/>
      <c r="H2886" s="24"/>
      <c r="Q2886" s="2"/>
      <c r="R2886" s="2"/>
    </row>
    <row r="2887" spans="1:18" ht="15.75" customHeight="1" x14ac:dyDescent="0.3">
      <c r="A2887" s="11"/>
      <c r="B2887" s="11"/>
      <c r="D2887" s="21"/>
      <c r="E2887" s="22"/>
      <c r="G2887" s="23"/>
      <c r="H2887" s="24"/>
      <c r="Q2887" s="2"/>
      <c r="R2887" s="2"/>
    </row>
    <row r="2888" spans="1:18" ht="15.75" customHeight="1" x14ac:dyDescent="0.3">
      <c r="A2888" s="11"/>
      <c r="B2888" s="11"/>
      <c r="D2888" s="21"/>
      <c r="E2888" s="22"/>
      <c r="G2888" s="23"/>
      <c r="H2888" s="24"/>
      <c r="Q2888" s="2"/>
      <c r="R2888" s="2"/>
    </row>
    <row r="2889" spans="1:18" ht="15.75" customHeight="1" x14ac:dyDescent="0.3">
      <c r="A2889" s="11"/>
      <c r="B2889" s="11"/>
      <c r="D2889" s="21"/>
      <c r="E2889" s="22"/>
      <c r="G2889" s="23"/>
      <c r="H2889" s="24"/>
      <c r="Q2889" s="2"/>
      <c r="R2889" s="2"/>
    </row>
    <row r="2890" spans="1:18" ht="15.75" customHeight="1" x14ac:dyDescent="0.3">
      <c r="A2890" s="11"/>
      <c r="B2890" s="11"/>
      <c r="D2890" s="21"/>
      <c r="E2890" s="22"/>
      <c r="G2890" s="23"/>
      <c r="H2890" s="24"/>
      <c r="Q2890" s="2"/>
      <c r="R2890" s="2"/>
    </row>
    <row r="2891" spans="1:18" ht="15.75" customHeight="1" x14ac:dyDescent="0.3">
      <c r="A2891" s="11"/>
      <c r="B2891" s="11"/>
      <c r="D2891" s="21"/>
      <c r="E2891" s="22"/>
      <c r="G2891" s="23"/>
      <c r="H2891" s="24"/>
      <c r="Q2891" s="2"/>
      <c r="R2891" s="2"/>
    </row>
    <row r="2892" spans="1:18" ht="15.75" customHeight="1" x14ac:dyDescent="0.3">
      <c r="A2892" s="11"/>
      <c r="B2892" s="11"/>
      <c r="D2892" s="21"/>
      <c r="E2892" s="22"/>
      <c r="G2892" s="23"/>
      <c r="H2892" s="24"/>
      <c r="Q2892" s="2"/>
      <c r="R2892" s="2"/>
    </row>
    <row r="2893" spans="1:18" ht="15.75" customHeight="1" x14ac:dyDescent="0.3">
      <c r="A2893" s="11"/>
      <c r="B2893" s="11"/>
      <c r="D2893" s="21"/>
      <c r="E2893" s="22"/>
      <c r="G2893" s="23"/>
      <c r="H2893" s="24"/>
      <c r="Q2893" s="2"/>
      <c r="R2893" s="2"/>
    </row>
    <row r="2894" spans="1:18" ht="15.75" customHeight="1" x14ac:dyDescent="0.3">
      <c r="A2894" s="11"/>
      <c r="B2894" s="11"/>
      <c r="D2894" s="21"/>
      <c r="E2894" s="22"/>
      <c r="G2894" s="23"/>
      <c r="H2894" s="24"/>
      <c r="Q2894" s="2"/>
      <c r="R2894" s="2"/>
    </row>
    <row r="2895" spans="1:18" ht="15.75" customHeight="1" x14ac:dyDescent="0.3">
      <c r="A2895" s="11"/>
      <c r="B2895" s="11"/>
      <c r="D2895" s="21"/>
      <c r="E2895" s="22"/>
      <c r="G2895" s="23"/>
      <c r="H2895" s="24"/>
      <c r="Q2895" s="2"/>
      <c r="R2895" s="2"/>
    </row>
    <row r="2896" spans="1:18" ht="15.75" customHeight="1" x14ac:dyDescent="0.3">
      <c r="A2896" s="11"/>
      <c r="B2896" s="11"/>
      <c r="D2896" s="21"/>
      <c r="E2896" s="22"/>
      <c r="G2896" s="23"/>
      <c r="H2896" s="24"/>
      <c r="Q2896" s="2"/>
      <c r="R2896" s="2"/>
    </row>
    <row r="2897" spans="1:18" ht="15.75" customHeight="1" x14ac:dyDescent="0.3">
      <c r="A2897" s="11"/>
      <c r="B2897" s="11"/>
      <c r="D2897" s="21"/>
      <c r="E2897" s="22"/>
      <c r="G2897" s="23"/>
      <c r="H2897" s="24"/>
      <c r="Q2897" s="2"/>
      <c r="R2897" s="2"/>
    </row>
    <row r="2898" spans="1:18" ht="15.75" customHeight="1" x14ac:dyDescent="0.3">
      <c r="A2898" s="11"/>
      <c r="B2898" s="11"/>
      <c r="D2898" s="21"/>
      <c r="E2898" s="22"/>
      <c r="G2898" s="23"/>
      <c r="H2898" s="24"/>
      <c r="Q2898" s="2"/>
      <c r="R2898" s="2"/>
    </row>
    <row r="2899" spans="1:18" ht="15.75" customHeight="1" x14ac:dyDescent="0.3">
      <c r="A2899" s="11"/>
      <c r="B2899" s="11"/>
      <c r="D2899" s="21"/>
      <c r="E2899" s="22"/>
      <c r="G2899" s="23"/>
      <c r="H2899" s="24"/>
      <c r="Q2899" s="2"/>
      <c r="R2899" s="2"/>
    </row>
    <row r="2900" spans="1:18" ht="15.75" customHeight="1" x14ac:dyDescent="0.3">
      <c r="A2900" s="11"/>
      <c r="B2900" s="11"/>
      <c r="D2900" s="21"/>
      <c r="E2900" s="22"/>
      <c r="G2900" s="23"/>
      <c r="H2900" s="24"/>
      <c r="Q2900" s="2"/>
      <c r="R2900" s="2"/>
    </row>
    <row r="2901" spans="1:18" ht="15.75" customHeight="1" x14ac:dyDescent="0.3">
      <c r="A2901" s="11"/>
      <c r="B2901" s="11"/>
      <c r="D2901" s="21"/>
      <c r="E2901" s="22"/>
      <c r="G2901" s="23"/>
      <c r="H2901" s="24"/>
      <c r="Q2901" s="2"/>
      <c r="R2901" s="2"/>
    </row>
    <row r="2902" spans="1:18" ht="15.75" customHeight="1" x14ac:dyDescent="0.3">
      <c r="A2902" s="11"/>
      <c r="B2902" s="11"/>
      <c r="D2902" s="21"/>
      <c r="E2902" s="22"/>
      <c r="G2902" s="23"/>
      <c r="H2902" s="24"/>
      <c r="Q2902" s="2"/>
      <c r="R2902" s="2"/>
    </row>
    <row r="2903" spans="1:18" ht="15.75" customHeight="1" x14ac:dyDescent="0.3">
      <c r="A2903" s="11"/>
      <c r="B2903" s="11"/>
      <c r="D2903" s="21"/>
      <c r="E2903" s="22"/>
      <c r="G2903" s="23"/>
      <c r="H2903" s="24"/>
      <c r="Q2903" s="2"/>
      <c r="R2903" s="2"/>
    </row>
    <row r="2904" spans="1:18" ht="15.75" customHeight="1" x14ac:dyDescent="0.3">
      <c r="A2904" s="11"/>
      <c r="B2904" s="11"/>
      <c r="D2904" s="21"/>
      <c r="E2904" s="22"/>
      <c r="G2904" s="23"/>
      <c r="H2904" s="24"/>
      <c r="Q2904" s="2"/>
      <c r="R2904" s="2"/>
    </row>
    <row r="2905" spans="1:18" ht="15.75" customHeight="1" x14ac:dyDescent="0.3">
      <c r="A2905" s="11"/>
      <c r="B2905" s="11"/>
      <c r="D2905" s="21"/>
      <c r="E2905" s="22"/>
      <c r="G2905" s="23"/>
      <c r="H2905" s="24"/>
      <c r="Q2905" s="2"/>
      <c r="R2905" s="2"/>
    </row>
    <row r="2906" spans="1:18" ht="15.75" customHeight="1" x14ac:dyDescent="0.3">
      <c r="A2906" s="11"/>
      <c r="B2906" s="11"/>
      <c r="D2906" s="21"/>
      <c r="E2906" s="22"/>
      <c r="G2906" s="23"/>
      <c r="H2906" s="24"/>
      <c r="Q2906" s="2"/>
      <c r="R2906" s="2"/>
    </row>
    <row r="2907" spans="1:18" ht="15.75" customHeight="1" x14ac:dyDescent="0.3">
      <c r="A2907" s="11"/>
      <c r="B2907" s="11"/>
      <c r="D2907" s="21"/>
      <c r="E2907" s="22"/>
      <c r="G2907" s="23"/>
      <c r="H2907" s="24"/>
      <c r="Q2907" s="2"/>
      <c r="R2907" s="2"/>
    </row>
    <row r="2908" spans="1:18" ht="15.75" customHeight="1" x14ac:dyDescent="0.3">
      <c r="A2908" s="11"/>
      <c r="B2908" s="11"/>
      <c r="D2908" s="21"/>
      <c r="E2908" s="22"/>
      <c r="G2908" s="23"/>
      <c r="H2908" s="24"/>
      <c r="Q2908" s="2"/>
      <c r="R2908" s="2"/>
    </row>
    <row r="2909" spans="1:18" ht="15.75" customHeight="1" x14ac:dyDescent="0.3">
      <c r="A2909" s="11"/>
      <c r="B2909" s="11"/>
      <c r="D2909" s="21"/>
      <c r="E2909" s="22"/>
      <c r="G2909" s="23"/>
      <c r="H2909" s="24"/>
      <c r="Q2909" s="2"/>
      <c r="R2909" s="2"/>
    </row>
    <row r="2910" spans="1:18" ht="15.75" customHeight="1" x14ac:dyDescent="0.3">
      <c r="A2910" s="11"/>
      <c r="B2910" s="11"/>
      <c r="D2910" s="21"/>
      <c r="E2910" s="22"/>
      <c r="G2910" s="23"/>
      <c r="H2910" s="24"/>
      <c r="Q2910" s="2"/>
      <c r="R2910" s="2"/>
    </row>
    <row r="2911" spans="1:18" ht="15.75" customHeight="1" x14ac:dyDescent="0.3">
      <c r="A2911" s="11"/>
      <c r="B2911" s="11"/>
      <c r="D2911" s="21"/>
      <c r="E2911" s="22"/>
      <c r="G2911" s="23"/>
      <c r="H2911" s="24"/>
      <c r="Q2911" s="2"/>
      <c r="R2911" s="2"/>
    </row>
    <row r="2912" spans="1:18" ht="15.75" customHeight="1" x14ac:dyDescent="0.3">
      <c r="A2912" s="11"/>
      <c r="B2912" s="11"/>
      <c r="D2912" s="21"/>
      <c r="E2912" s="22"/>
      <c r="G2912" s="23"/>
      <c r="H2912" s="24"/>
      <c r="Q2912" s="2"/>
      <c r="R2912" s="2"/>
    </row>
    <row r="2913" spans="1:18" ht="15.75" customHeight="1" x14ac:dyDescent="0.3">
      <c r="A2913" s="11"/>
      <c r="B2913" s="11"/>
      <c r="D2913" s="21"/>
      <c r="E2913" s="22"/>
      <c r="G2913" s="23"/>
      <c r="H2913" s="24"/>
      <c r="Q2913" s="2"/>
      <c r="R2913" s="2"/>
    </row>
    <row r="2914" spans="1:18" ht="15.75" customHeight="1" x14ac:dyDescent="0.3">
      <c r="A2914" s="11"/>
      <c r="B2914" s="11"/>
      <c r="D2914" s="21"/>
      <c r="E2914" s="22"/>
      <c r="G2914" s="23"/>
      <c r="H2914" s="24"/>
      <c r="Q2914" s="2"/>
      <c r="R2914" s="2"/>
    </row>
    <row r="2915" spans="1:18" ht="15.75" customHeight="1" x14ac:dyDescent="0.3">
      <c r="A2915" s="11"/>
      <c r="B2915" s="11"/>
      <c r="D2915" s="21"/>
      <c r="E2915" s="22"/>
      <c r="G2915" s="23"/>
      <c r="H2915" s="24"/>
      <c r="Q2915" s="2"/>
      <c r="R2915" s="2"/>
    </row>
    <row r="2916" spans="1:18" ht="15.75" customHeight="1" x14ac:dyDescent="0.3">
      <c r="A2916" s="11"/>
      <c r="B2916" s="11"/>
      <c r="D2916" s="21"/>
      <c r="E2916" s="22"/>
      <c r="G2916" s="23"/>
      <c r="H2916" s="24"/>
      <c r="Q2916" s="2"/>
      <c r="R2916" s="2"/>
    </row>
    <row r="2917" spans="1:18" ht="15.75" customHeight="1" x14ac:dyDescent="0.3">
      <c r="A2917" s="11"/>
      <c r="B2917" s="11"/>
      <c r="D2917" s="21"/>
      <c r="E2917" s="22"/>
      <c r="G2917" s="23"/>
      <c r="H2917" s="24"/>
      <c r="Q2917" s="2"/>
      <c r="R2917" s="2"/>
    </row>
    <row r="2918" spans="1:18" ht="15.75" customHeight="1" x14ac:dyDescent="0.3">
      <c r="A2918" s="11"/>
      <c r="B2918" s="11"/>
      <c r="D2918" s="21"/>
      <c r="E2918" s="22"/>
      <c r="G2918" s="23"/>
      <c r="H2918" s="24"/>
      <c r="Q2918" s="2"/>
      <c r="R2918" s="2"/>
    </row>
    <row r="2919" spans="1:18" ht="15.75" customHeight="1" x14ac:dyDescent="0.3">
      <c r="A2919" s="11"/>
      <c r="B2919" s="11"/>
      <c r="D2919" s="21"/>
      <c r="E2919" s="22"/>
      <c r="G2919" s="23"/>
      <c r="H2919" s="24"/>
      <c r="Q2919" s="2"/>
      <c r="R2919" s="2"/>
    </row>
    <row r="2920" spans="1:18" ht="15.75" customHeight="1" x14ac:dyDescent="0.3">
      <c r="A2920" s="11"/>
      <c r="B2920" s="11"/>
      <c r="D2920" s="21"/>
      <c r="E2920" s="22"/>
      <c r="G2920" s="23"/>
      <c r="H2920" s="24"/>
      <c r="Q2920" s="2"/>
      <c r="R2920" s="2"/>
    </row>
    <row r="2921" spans="1:18" ht="15.75" customHeight="1" x14ac:dyDescent="0.3">
      <c r="A2921" s="11"/>
      <c r="B2921" s="11"/>
      <c r="D2921" s="21"/>
      <c r="E2921" s="22"/>
      <c r="G2921" s="23"/>
      <c r="H2921" s="24"/>
      <c r="Q2921" s="2"/>
      <c r="R2921" s="2"/>
    </row>
    <row r="2922" spans="1:18" ht="15.75" customHeight="1" x14ac:dyDescent="0.3">
      <c r="A2922" s="11"/>
      <c r="B2922" s="11"/>
      <c r="D2922" s="21"/>
      <c r="E2922" s="22"/>
      <c r="G2922" s="23"/>
      <c r="H2922" s="24"/>
      <c r="Q2922" s="2"/>
      <c r="R2922" s="2"/>
    </row>
    <row r="2923" spans="1:18" ht="15.75" customHeight="1" x14ac:dyDescent="0.3">
      <c r="A2923" s="11"/>
      <c r="B2923" s="11"/>
      <c r="D2923" s="21"/>
      <c r="E2923" s="22"/>
      <c r="G2923" s="23"/>
      <c r="H2923" s="24"/>
      <c r="Q2923" s="2"/>
      <c r="R2923" s="2"/>
    </row>
    <row r="2924" spans="1:18" ht="15.75" customHeight="1" x14ac:dyDescent="0.3">
      <c r="A2924" s="11"/>
      <c r="B2924" s="11"/>
      <c r="D2924" s="21"/>
      <c r="E2924" s="22"/>
      <c r="G2924" s="23"/>
      <c r="H2924" s="24"/>
      <c r="Q2924" s="2"/>
      <c r="R2924" s="2"/>
    </row>
    <row r="2925" spans="1:18" ht="15.75" customHeight="1" x14ac:dyDescent="0.3">
      <c r="A2925" s="11"/>
      <c r="B2925" s="11"/>
      <c r="D2925" s="21"/>
      <c r="E2925" s="22"/>
      <c r="G2925" s="23"/>
      <c r="H2925" s="24"/>
      <c r="Q2925" s="2"/>
      <c r="R2925" s="2"/>
    </row>
    <row r="2926" spans="1:18" ht="15.75" customHeight="1" x14ac:dyDescent="0.3">
      <c r="A2926" s="11"/>
      <c r="B2926" s="11"/>
      <c r="D2926" s="21"/>
      <c r="E2926" s="22"/>
      <c r="G2926" s="23"/>
      <c r="H2926" s="24"/>
      <c r="Q2926" s="2"/>
      <c r="R2926" s="2"/>
    </row>
    <row r="2927" spans="1:18" ht="15.75" customHeight="1" x14ac:dyDescent="0.3">
      <c r="A2927" s="11"/>
      <c r="B2927" s="11"/>
      <c r="D2927" s="21"/>
      <c r="E2927" s="22"/>
      <c r="G2927" s="23"/>
      <c r="H2927" s="24"/>
      <c r="Q2927" s="2"/>
      <c r="R2927" s="2"/>
    </row>
    <row r="2928" spans="1:18" ht="15.75" customHeight="1" x14ac:dyDescent="0.3">
      <c r="A2928" s="11"/>
      <c r="B2928" s="11"/>
      <c r="D2928" s="21"/>
      <c r="E2928" s="22"/>
      <c r="G2928" s="23"/>
      <c r="H2928" s="24"/>
      <c r="Q2928" s="2"/>
      <c r="R2928" s="2"/>
    </row>
    <row r="2929" spans="1:18" ht="15.75" customHeight="1" x14ac:dyDescent="0.3">
      <c r="A2929" s="11"/>
      <c r="B2929" s="11"/>
      <c r="D2929" s="21"/>
      <c r="E2929" s="22"/>
      <c r="G2929" s="23"/>
      <c r="H2929" s="24"/>
      <c r="Q2929" s="2"/>
      <c r="R2929" s="2"/>
    </row>
    <row r="2930" spans="1:18" ht="15.75" customHeight="1" x14ac:dyDescent="0.3">
      <c r="A2930" s="11"/>
      <c r="B2930" s="11"/>
      <c r="D2930" s="21"/>
      <c r="E2930" s="22"/>
      <c r="G2930" s="23"/>
      <c r="H2930" s="24"/>
      <c r="Q2930" s="2"/>
      <c r="R2930" s="2"/>
    </row>
    <row r="2931" spans="1:18" ht="15.75" customHeight="1" x14ac:dyDescent="0.3">
      <c r="A2931" s="11"/>
      <c r="B2931" s="11"/>
      <c r="D2931" s="21"/>
      <c r="E2931" s="22"/>
      <c r="G2931" s="23"/>
      <c r="H2931" s="24"/>
      <c r="Q2931" s="2"/>
      <c r="R2931" s="2"/>
    </row>
    <row r="2932" spans="1:18" ht="15.75" customHeight="1" x14ac:dyDescent="0.3">
      <c r="A2932" s="11"/>
      <c r="B2932" s="11"/>
      <c r="D2932" s="21"/>
      <c r="E2932" s="22"/>
      <c r="G2932" s="23"/>
      <c r="H2932" s="24"/>
      <c r="Q2932" s="2"/>
      <c r="R2932" s="2"/>
    </row>
    <row r="2933" spans="1:18" ht="15.75" customHeight="1" x14ac:dyDescent="0.3">
      <c r="A2933" s="11"/>
      <c r="B2933" s="11"/>
      <c r="D2933" s="21"/>
      <c r="E2933" s="22"/>
      <c r="G2933" s="23"/>
      <c r="H2933" s="24"/>
      <c r="Q2933" s="2"/>
      <c r="R2933" s="2"/>
    </row>
    <row r="2934" spans="1:18" ht="15.75" customHeight="1" x14ac:dyDescent="0.3">
      <c r="A2934" s="11"/>
      <c r="B2934" s="11"/>
      <c r="D2934" s="21"/>
      <c r="E2934" s="22"/>
      <c r="G2934" s="23"/>
      <c r="H2934" s="24"/>
      <c r="Q2934" s="2"/>
      <c r="R2934" s="2"/>
    </row>
    <row r="2935" spans="1:18" ht="15.75" customHeight="1" x14ac:dyDescent="0.3">
      <c r="A2935" s="11"/>
      <c r="B2935" s="11"/>
      <c r="D2935" s="21"/>
      <c r="E2935" s="22"/>
      <c r="G2935" s="23"/>
      <c r="H2935" s="24"/>
      <c r="Q2935" s="2"/>
      <c r="R2935" s="2"/>
    </row>
    <row r="2936" spans="1:18" ht="15.75" customHeight="1" x14ac:dyDescent="0.3">
      <c r="A2936" s="11"/>
      <c r="B2936" s="11"/>
      <c r="D2936" s="21"/>
      <c r="E2936" s="22"/>
      <c r="G2936" s="23"/>
      <c r="H2936" s="24"/>
      <c r="Q2936" s="2"/>
      <c r="R2936" s="2"/>
    </row>
    <row r="2937" spans="1:18" ht="15.75" customHeight="1" x14ac:dyDescent="0.3">
      <c r="A2937" s="11"/>
      <c r="B2937" s="11"/>
      <c r="D2937" s="21"/>
      <c r="E2937" s="22"/>
      <c r="G2937" s="23"/>
      <c r="H2937" s="24"/>
      <c r="Q2937" s="2"/>
      <c r="R2937" s="2"/>
    </row>
    <row r="2938" spans="1:18" ht="15.75" customHeight="1" x14ac:dyDescent="0.3">
      <c r="A2938" s="11"/>
      <c r="B2938" s="11"/>
      <c r="D2938" s="21"/>
      <c r="E2938" s="22"/>
      <c r="G2938" s="23"/>
      <c r="H2938" s="24"/>
      <c r="Q2938" s="2"/>
      <c r="R2938" s="2"/>
    </row>
    <row r="2939" spans="1:18" ht="15.75" customHeight="1" x14ac:dyDescent="0.3">
      <c r="A2939" s="11"/>
      <c r="B2939" s="11"/>
      <c r="D2939" s="21"/>
      <c r="E2939" s="22"/>
      <c r="G2939" s="23"/>
      <c r="H2939" s="24"/>
      <c r="Q2939" s="2"/>
      <c r="R2939" s="2"/>
    </row>
    <row r="2940" spans="1:18" ht="15.75" customHeight="1" x14ac:dyDescent="0.3">
      <c r="A2940" s="11"/>
      <c r="B2940" s="11"/>
      <c r="D2940" s="21"/>
      <c r="E2940" s="22"/>
      <c r="G2940" s="23"/>
      <c r="H2940" s="24"/>
      <c r="Q2940" s="2"/>
      <c r="R2940" s="2"/>
    </row>
    <row r="2941" spans="1:18" ht="15.75" customHeight="1" x14ac:dyDescent="0.3">
      <c r="A2941" s="11"/>
      <c r="B2941" s="11"/>
      <c r="D2941" s="21"/>
      <c r="E2941" s="22"/>
      <c r="G2941" s="23"/>
      <c r="H2941" s="24"/>
      <c r="Q2941" s="2"/>
      <c r="R2941" s="2"/>
    </row>
    <row r="2942" spans="1:18" ht="15.75" customHeight="1" x14ac:dyDescent="0.3">
      <c r="A2942" s="11"/>
      <c r="B2942" s="11"/>
      <c r="D2942" s="21"/>
      <c r="E2942" s="22"/>
      <c r="G2942" s="23"/>
      <c r="H2942" s="24"/>
      <c r="Q2942" s="2"/>
      <c r="R2942" s="2"/>
    </row>
    <row r="2943" spans="1:18" ht="15.75" customHeight="1" x14ac:dyDescent="0.3">
      <c r="A2943" s="11"/>
      <c r="B2943" s="11"/>
      <c r="D2943" s="21"/>
      <c r="E2943" s="22"/>
      <c r="G2943" s="23"/>
      <c r="H2943" s="24"/>
      <c r="Q2943" s="2"/>
      <c r="R2943" s="2"/>
    </row>
    <row r="2944" spans="1:18" ht="15.75" customHeight="1" x14ac:dyDescent="0.3">
      <c r="A2944" s="11"/>
      <c r="B2944" s="11"/>
      <c r="D2944" s="21"/>
      <c r="E2944" s="22"/>
      <c r="G2944" s="23"/>
      <c r="H2944" s="24"/>
      <c r="Q2944" s="2"/>
      <c r="R2944" s="2"/>
    </row>
    <row r="2945" spans="1:18" ht="15.75" customHeight="1" x14ac:dyDescent="0.3">
      <c r="A2945" s="11"/>
      <c r="B2945" s="11"/>
      <c r="D2945" s="21"/>
      <c r="E2945" s="22"/>
      <c r="G2945" s="23"/>
      <c r="H2945" s="24"/>
      <c r="Q2945" s="2"/>
      <c r="R2945" s="2"/>
    </row>
    <row r="2946" spans="1:18" ht="15.75" customHeight="1" x14ac:dyDescent="0.3">
      <c r="A2946" s="11"/>
      <c r="B2946" s="11"/>
      <c r="D2946" s="21"/>
      <c r="E2946" s="22"/>
      <c r="G2946" s="23"/>
      <c r="H2946" s="24"/>
      <c r="Q2946" s="2"/>
      <c r="R2946" s="2"/>
    </row>
    <row r="2947" spans="1:18" ht="15.75" customHeight="1" x14ac:dyDescent="0.3">
      <c r="A2947" s="11"/>
      <c r="B2947" s="11"/>
      <c r="D2947" s="21"/>
      <c r="E2947" s="22"/>
      <c r="G2947" s="23"/>
      <c r="H2947" s="24"/>
      <c r="Q2947" s="2"/>
      <c r="R2947" s="2"/>
    </row>
    <row r="2948" spans="1:18" ht="15.75" customHeight="1" x14ac:dyDescent="0.3">
      <c r="A2948" s="11"/>
      <c r="B2948" s="11"/>
      <c r="D2948" s="21"/>
      <c r="E2948" s="22"/>
      <c r="G2948" s="23"/>
      <c r="H2948" s="24"/>
      <c r="Q2948" s="2"/>
      <c r="R2948" s="2"/>
    </row>
    <row r="2949" spans="1:18" ht="15.75" customHeight="1" x14ac:dyDescent="0.3">
      <c r="A2949" s="11"/>
      <c r="B2949" s="11"/>
      <c r="D2949" s="21"/>
      <c r="E2949" s="22"/>
      <c r="G2949" s="23"/>
      <c r="H2949" s="24"/>
      <c r="Q2949" s="2"/>
      <c r="R2949" s="2"/>
    </row>
    <row r="2950" spans="1:18" ht="15.75" customHeight="1" x14ac:dyDescent="0.3">
      <c r="A2950" s="11"/>
      <c r="B2950" s="11"/>
      <c r="D2950" s="21"/>
      <c r="E2950" s="22"/>
      <c r="G2950" s="23"/>
      <c r="H2950" s="24"/>
      <c r="Q2950" s="2"/>
      <c r="R2950" s="2"/>
    </row>
    <row r="2951" spans="1:18" ht="15.75" customHeight="1" x14ac:dyDescent="0.3">
      <c r="A2951" s="11"/>
      <c r="B2951" s="11"/>
      <c r="D2951" s="21"/>
      <c r="E2951" s="22"/>
      <c r="G2951" s="23"/>
      <c r="H2951" s="24"/>
      <c r="Q2951" s="2"/>
      <c r="R2951" s="2"/>
    </row>
    <row r="2952" spans="1:18" ht="15.75" customHeight="1" x14ac:dyDescent="0.3">
      <c r="A2952" s="11"/>
      <c r="B2952" s="11"/>
      <c r="D2952" s="21"/>
      <c r="E2952" s="22"/>
      <c r="G2952" s="23"/>
      <c r="H2952" s="24"/>
      <c r="Q2952" s="2"/>
      <c r="R2952" s="2"/>
    </row>
    <row r="2953" spans="1:18" ht="15.75" customHeight="1" x14ac:dyDescent="0.3">
      <c r="A2953" s="11"/>
      <c r="B2953" s="11"/>
      <c r="D2953" s="21"/>
      <c r="E2953" s="22"/>
      <c r="G2953" s="23"/>
      <c r="H2953" s="24"/>
      <c r="Q2953" s="2"/>
      <c r="R2953" s="2"/>
    </row>
    <row r="2954" spans="1:18" ht="15.75" customHeight="1" x14ac:dyDescent="0.3">
      <c r="A2954" s="11"/>
      <c r="B2954" s="11"/>
      <c r="D2954" s="21"/>
      <c r="E2954" s="22"/>
      <c r="G2954" s="23"/>
      <c r="H2954" s="24"/>
      <c r="Q2954" s="2"/>
      <c r="R2954" s="2"/>
    </row>
    <row r="2955" spans="1:18" ht="15.75" customHeight="1" x14ac:dyDescent="0.3">
      <c r="A2955" s="11"/>
      <c r="B2955" s="11"/>
      <c r="D2955" s="21"/>
      <c r="E2955" s="22"/>
      <c r="G2955" s="23"/>
      <c r="H2955" s="24"/>
      <c r="Q2955" s="2"/>
      <c r="R2955" s="2"/>
    </row>
    <row r="2956" spans="1:18" ht="15.75" customHeight="1" x14ac:dyDescent="0.3">
      <c r="A2956" s="11"/>
      <c r="B2956" s="11"/>
      <c r="D2956" s="21"/>
      <c r="E2956" s="22"/>
      <c r="G2956" s="23"/>
      <c r="H2956" s="24"/>
      <c r="Q2956" s="2"/>
      <c r="R2956" s="2"/>
    </row>
    <row r="2957" spans="1:18" ht="15.75" customHeight="1" x14ac:dyDescent="0.3">
      <c r="A2957" s="11"/>
      <c r="B2957" s="11"/>
      <c r="D2957" s="21"/>
      <c r="E2957" s="22"/>
      <c r="G2957" s="23"/>
      <c r="H2957" s="24"/>
      <c r="Q2957" s="2"/>
      <c r="R2957" s="2"/>
    </row>
    <row r="2958" spans="1:18" ht="15.75" customHeight="1" x14ac:dyDescent="0.3">
      <c r="A2958" s="11"/>
      <c r="B2958" s="11"/>
      <c r="D2958" s="21"/>
      <c r="E2958" s="22"/>
      <c r="G2958" s="23"/>
      <c r="H2958" s="24"/>
      <c r="Q2958" s="2"/>
      <c r="R2958" s="2"/>
    </row>
    <row r="2959" spans="1:18" ht="15.75" customHeight="1" x14ac:dyDescent="0.3">
      <c r="A2959" s="11"/>
      <c r="B2959" s="11"/>
      <c r="D2959" s="21"/>
      <c r="E2959" s="22"/>
      <c r="G2959" s="23"/>
      <c r="H2959" s="24"/>
      <c r="Q2959" s="2"/>
      <c r="R2959" s="2"/>
    </row>
    <row r="2960" spans="1:18" ht="15.75" customHeight="1" x14ac:dyDescent="0.3">
      <c r="A2960" s="11"/>
      <c r="B2960" s="11"/>
      <c r="D2960" s="21"/>
      <c r="E2960" s="22"/>
      <c r="G2960" s="23"/>
      <c r="H2960" s="24"/>
      <c r="Q2960" s="2"/>
      <c r="R2960" s="2"/>
    </row>
    <row r="2961" spans="1:18" ht="15.75" customHeight="1" x14ac:dyDescent="0.3">
      <c r="A2961" s="11"/>
      <c r="B2961" s="11"/>
      <c r="D2961" s="21"/>
      <c r="E2961" s="22"/>
      <c r="G2961" s="23"/>
      <c r="H2961" s="24"/>
      <c r="Q2961" s="2"/>
      <c r="R2961" s="2"/>
    </row>
    <row r="2962" spans="1:18" ht="15.75" customHeight="1" x14ac:dyDescent="0.3">
      <c r="A2962" s="11"/>
      <c r="B2962" s="11"/>
      <c r="D2962" s="21"/>
      <c r="E2962" s="22"/>
      <c r="G2962" s="23"/>
      <c r="H2962" s="24"/>
      <c r="Q2962" s="2"/>
      <c r="R2962" s="2"/>
    </row>
    <row r="2963" spans="1:18" ht="15.75" customHeight="1" x14ac:dyDescent="0.3">
      <c r="A2963" s="11"/>
      <c r="B2963" s="11"/>
      <c r="D2963" s="21"/>
      <c r="E2963" s="22"/>
      <c r="G2963" s="23"/>
      <c r="H2963" s="24"/>
      <c r="Q2963" s="2"/>
      <c r="R2963" s="2"/>
    </row>
    <row r="2964" spans="1:18" ht="15.75" customHeight="1" x14ac:dyDescent="0.3">
      <c r="A2964" s="11"/>
      <c r="B2964" s="11"/>
      <c r="D2964" s="21"/>
      <c r="E2964" s="22"/>
      <c r="G2964" s="23"/>
      <c r="H2964" s="24"/>
      <c r="Q2964" s="2"/>
      <c r="R2964" s="2"/>
    </row>
    <row r="2965" spans="1:18" ht="15.75" customHeight="1" x14ac:dyDescent="0.3">
      <c r="A2965" s="11"/>
      <c r="B2965" s="11"/>
      <c r="D2965" s="21"/>
      <c r="E2965" s="22"/>
      <c r="G2965" s="23"/>
      <c r="H2965" s="24"/>
      <c r="Q2965" s="2"/>
      <c r="R2965" s="2"/>
    </row>
    <row r="2966" spans="1:18" ht="15.75" customHeight="1" x14ac:dyDescent="0.3">
      <c r="A2966" s="11"/>
      <c r="B2966" s="11"/>
      <c r="D2966" s="21"/>
      <c r="E2966" s="22"/>
      <c r="G2966" s="23"/>
      <c r="H2966" s="24"/>
      <c r="Q2966" s="2"/>
      <c r="R2966" s="2"/>
    </row>
    <row r="2967" spans="1:18" ht="15.75" customHeight="1" x14ac:dyDescent="0.3">
      <c r="A2967" s="11"/>
      <c r="B2967" s="11"/>
      <c r="D2967" s="21"/>
      <c r="E2967" s="22"/>
      <c r="G2967" s="23"/>
      <c r="H2967" s="24"/>
      <c r="Q2967" s="2"/>
      <c r="R2967" s="2"/>
    </row>
    <row r="2968" spans="1:18" ht="15.75" customHeight="1" x14ac:dyDescent="0.3">
      <c r="A2968" s="11"/>
      <c r="B2968" s="11"/>
      <c r="D2968" s="21"/>
      <c r="E2968" s="22"/>
      <c r="G2968" s="23"/>
      <c r="H2968" s="24"/>
      <c r="Q2968" s="2"/>
      <c r="R2968" s="2"/>
    </row>
    <row r="2969" spans="1:18" ht="15.75" customHeight="1" x14ac:dyDescent="0.3">
      <c r="A2969" s="11"/>
      <c r="B2969" s="11"/>
      <c r="D2969" s="21"/>
      <c r="E2969" s="22"/>
      <c r="G2969" s="23"/>
      <c r="H2969" s="24"/>
      <c r="Q2969" s="2"/>
      <c r="R2969" s="2"/>
    </row>
    <row r="2970" spans="1:18" ht="15.75" customHeight="1" x14ac:dyDescent="0.3">
      <c r="A2970" s="11"/>
      <c r="B2970" s="11"/>
      <c r="D2970" s="21"/>
      <c r="E2970" s="22"/>
      <c r="G2970" s="23"/>
      <c r="H2970" s="24"/>
      <c r="Q2970" s="2"/>
      <c r="R2970" s="2"/>
    </row>
    <row r="2971" spans="1:18" ht="15.75" customHeight="1" x14ac:dyDescent="0.3">
      <c r="A2971" s="11"/>
      <c r="B2971" s="11"/>
      <c r="D2971" s="21"/>
      <c r="E2971" s="22"/>
      <c r="G2971" s="23"/>
      <c r="H2971" s="24"/>
      <c r="Q2971" s="2"/>
      <c r="R2971" s="2"/>
    </row>
    <row r="2972" spans="1:18" ht="15.75" customHeight="1" x14ac:dyDescent="0.3">
      <c r="A2972" s="11"/>
      <c r="B2972" s="11"/>
      <c r="D2972" s="21"/>
      <c r="E2972" s="22"/>
      <c r="G2972" s="23"/>
      <c r="H2972" s="24"/>
      <c r="Q2972" s="2"/>
      <c r="R2972" s="2"/>
    </row>
    <row r="2973" spans="1:18" ht="15.75" customHeight="1" x14ac:dyDescent="0.3">
      <c r="A2973" s="11"/>
      <c r="B2973" s="11"/>
      <c r="D2973" s="21"/>
      <c r="E2973" s="22"/>
      <c r="G2973" s="23"/>
      <c r="H2973" s="24"/>
      <c r="Q2973" s="2"/>
      <c r="R2973" s="2"/>
    </row>
    <row r="2974" spans="1:18" ht="15.75" customHeight="1" x14ac:dyDescent="0.3">
      <c r="A2974" s="11"/>
      <c r="B2974" s="11"/>
      <c r="D2974" s="21"/>
      <c r="E2974" s="22"/>
      <c r="G2974" s="23"/>
      <c r="H2974" s="24"/>
      <c r="Q2974" s="2"/>
      <c r="R2974" s="2"/>
    </row>
    <row r="2975" spans="1:18" ht="15.75" customHeight="1" x14ac:dyDescent="0.3">
      <c r="A2975" s="11"/>
      <c r="B2975" s="11"/>
      <c r="D2975" s="21"/>
      <c r="E2975" s="22"/>
      <c r="G2975" s="23"/>
      <c r="H2975" s="24"/>
      <c r="Q2975" s="2"/>
      <c r="R2975" s="2"/>
    </row>
    <row r="2976" spans="1:18" ht="15.75" customHeight="1" x14ac:dyDescent="0.3">
      <c r="A2976" s="11"/>
      <c r="B2976" s="11"/>
      <c r="D2976" s="21"/>
      <c r="E2976" s="22"/>
      <c r="G2976" s="23"/>
      <c r="H2976" s="24"/>
      <c r="Q2976" s="2"/>
      <c r="R2976" s="2"/>
    </row>
    <row r="2977" spans="1:18" ht="15.75" customHeight="1" x14ac:dyDescent="0.3">
      <c r="A2977" s="11"/>
      <c r="B2977" s="11"/>
      <c r="D2977" s="21"/>
      <c r="E2977" s="22"/>
      <c r="G2977" s="23"/>
      <c r="H2977" s="24"/>
      <c r="Q2977" s="2"/>
      <c r="R2977" s="2"/>
    </row>
    <row r="2978" spans="1:18" ht="15.75" customHeight="1" x14ac:dyDescent="0.3">
      <c r="A2978" s="11"/>
      <c r="B2978" s="11"/>
      <c r="D2978" s="21"/>
      <c r="E2978" s="22"/>
      <c r="G2978" s="23"/>
      <c r="H2978" s="24"/>
      <c r="Q2978" s="2"/>
      <c r="R2978" s="2"/>
    </row>
    <row r="2979" spans="1:18" ht="15.75" customHeight="1" x14ac:dyDescent="0.3">
      <c r="A2979" s="11"/>
      <c r="B2979" s="11"/>
      <c r="D2979" s="21"/>
      <c r="E2979" s="22"/>
      <c r="G2979" s="23"/>
      <c r="H2979" s="24"/>
      <c r="Q2979" s="2"/>
      <c r="R2979" s="2"/>
    </row>
    <row r="2980" spans="1:18" ht="15.75" customHeight="1" x14ac:dyDescent="0.3">
      <c r="A2980" s="11"/>
      <c r="B2980" s="11"/>
      <c r="D2980" s="21"/>
      <c r="E2980" s="22"/>
      <c r="G2980" s="23"/>
      <c r="H2980" s="24"/>
      <c r="Q2980" s="2"/>
      <c r="R2980" s="2"/>
    </row>
    <row r="2981" spans="1:18" ht="15.75" customHeight="1" x14ac:dyDescent="0.3">
      <c r="A2981" s="11"/>
      <c r="B2981" s="11"/>
      <c r="D2981" s="21"/>
      <c r="E2981" s="22"/>
      <c r="G2981" s="23"/>
      <c r="H2981" s="24"/>
      <c r="Q2981" s="2"/>
      <c r="R2981" s="2"/>
    </row>
    <row r="2982" spans="1:18" ht="15.75" customHeight="1" x14ac:dyDescent="0.3">
      <c r="A2982" s="11"/>
      <c r="B2982" s="11"/>
      <c r="D2982" s="21"/>
      <c r="E2982" s="22"/>
      <c r="G2982" s="23"/>
      <c r="H2982" s="24"/>
      <c r="Q2982" s="2"/>
      <c r="R2982" s="2"/>
    </row>
    <row r="2983" spans="1:18" ht="15.75" customHeight="1" x14ac:dyDescent="0.3">
      <c r="A2983" s="11"/>
      <c r="B2983" s="11"/>
      <c r="D2983" s="21"/>
      <c r="E2983" s="22"/>
      <c r="G2983" s="23"/>
      <c r="H2983" s="24"/>
      <c r="Q2983" s="2"/>
      <c r="R2983" s="2"/>
    </row>
    <row r="2984" spans="1:18" ht="15.75" customHeight="1" x14ac:dyDescent="0.3">
      <c r="A2984" s="11"/>
      <c r="B2984" s="11"/>
      <c r="D2984" s="21"/>
      <c r="E2984" s="22"/>
      <c r="G2984" s="23"/>
      <c r="H2984" s="24"/>
      <c r="Q2984" s="2"/>
      <c r="R2984" s="2"/>
    </row>
    <row r="2985" spans="1:18" ht="15.75" customHeight="1" x14ac:dyDescent="0.3">
      <c r="A2985" s="11"/>
      <c r="B2985" s="11"/>
      <c r="D2985" s="21"/>
      <c r="E2985" s="22"/>
      <c r="G2985" s="23"/>
      <c r="H2985" s="24"/>
      <c r="Q2985" s="2"/>
      <c r="R2985" s="2"/>
    </row>
    <row r="2986" spans="1:18" ht="15.75" customHeight="1" x14ac:dyDescent="0.3">
      <c r="A2986" s="11"/>
      <c r="B2986" s="11"/>
      <c r="D2986" s="21"/>
      <c r="E2986" s="22"/>
      <c r="G2986" s="23"/>
      <c r="H2986" s="24"/>
      <c r="Q2986" s="2"/>
      <c r="R2986" s="2"/>
    </row>
    <row r="2987" spans="1:18" ht="15.75" customHeight="1" x14ac:dyDescent="0.3">
      <c r="A2987" s="11"/>
      <c r="B2987" s="11"/>
      <c r="D2987" s="21"/>
      <c r="E2987" s="22"/>
      <c r="G2987" s="23"/>
      <c r="H2987" s="24"/>
      <c r="Q2987" s="2"/>
      <c r="R2987" s="2"/>
    </row>
    <row r="2988" spans="1:18" ht="15.75" customHeight="1" x14ac:dyDescent="0.3">
      <c r="A2988" s="11"/>
      <c r="B2988" s="11"/>
      <c r="D2988" s="21"/>
      <c r="E2988" s="22"/>
      <c r="G2988" s="23"/>
      <c r="H2988" s="24"/>
      <c r="Q2988" s="2"/>
      <c r="R2988" s="2"/>
    </row>
    <row r="2989" spans="1:18" ht="15.75" customHeight="1" x14ac:dyDescent="0.3">
      <c r="A2989" s="11"/>
      <c r="B2989" s="11"/>
      <c r="D2989" s="21"/>
      <c r="E2989" s="22"/>
      <c r="G2989" s="23"/>
      <c r="H2989" s="24"/>
      <c r="Q2989" s="2"/>
      <c r="R2989" s="2"/>
    </row>
    <row r="2990" spans="1:18" ht="15.75" customHeight="1" x14ac:dyDescent="0.3">
      <c r="A2990" s="11"/>
      <c r="B2990" s="11"/>
      <c r="D2990" s="21"/>
      <c r="E2990" s="22"/>
      <c r="G2990" s="23"/>
      <c r="H2990" s="24"/>
      <c r="Q2990" s="2"/>
      <c r="R2990" s="2"/>
    </row>
    <row r="2991" spans="1:18" ht="15.75" customHeight="1" x14ac:dyDescent="0.3">
      <c r="A2991" s="11"/>
      <c r="B2991" s="11"/>
      <c r="D2991" s="21"/>
      <c r="E2991" s="22"/>
      <c r="G2991" s="23"/>
      <c r="H2991" s="24"/>
      <c r="Q2991" s="2"/>
      <c r="R2991" s="2"/>
    </row>
    <row r="2992" spans="1:18" ht="15.75" customHeight="1" x14ac:dyDescent="0.3">
      <c r="A2992" s="11"/>
      <c r="B2992" s="11"/>
      <c r="D2992" s="21"/>
      <c r="E2992" s="22"/>
      <c r="G2992" s="23"/>
      <c r="H2992" s="24"/>
      <c r="Q2992" s="2"/>
      <c r="R2992" s="2"/>
    </row>
    <row r="2993" spans="1:18" ht="15.75" customHeight="1" x14ac:dyDescent="0.3">
      <c r="A2993" s="11"/>
      <c r="B2993" s="11"/>
      <c r="D2993" s="21"/>
      <c r="E2993" s="22"/>
      <c r="G2993" s="23"/>
      <c r="H2993" s="24"/>
      <c r="Q2993" s="2"/>
      <c r="R2993" s="2"/>
    </row>
    <row r="2994" spans="1:18" ht="15.75" customHeight="1" x14ac:dyDescent="0.3">
      <c r="A2994" s="11"/>
      <c r="B2994" s="11"/>
      <c r="D2994" s="21"/>
      <c r="E2994" s="22"/>
      <c r="G2994" s="23"/>
      <c r="H2994" s="24"/>
      <c r="Q2994" s="2"/>
      <c r="R2994" s="2"/>
    </row>
    <row r="2995" spans="1:18" ht="15.75" customHeight="1" x14ac:dyDescent="0.3">
      <c r="A2995" s="11"/>
      <c r="B2995" s="11"/>
      <c r="D2995" s="21"/>
      <c r="E2995" s="22"/>
      <c r="G2995" s="23"/>
      <c r="H2995" s="24"/>
      <c r="Q2995" s="2"/>
      <c r="R2995" s="2"/>
    </row>
    <row r="2996" spans="1:18" ht="15.75" customHeight="1" x14ac:dyDescent="0.3">
      <c r="A2996" s="11"/>
      <c r="B2996" s="11"/>
      <c r="D2996" s="21"/>
      <c r="E2996" s="22"/>
      <c r="G2996" s="23"/>
      <c r="H2996" s="24"/>
      <c r="Q2996" s="2"/>
      <c r="R2996" s="2"/>
    </row>
    <row r="2997" spans="1:18" ht="15.75" customHeight="1" x14ac:dyDescent="0.3">
      <c r="A2997" s="11"/>
      <c r="B2997" s="11"/>
      <c r="D2997" s="21"/>
      <c r="E2997" s="22"/>
      <c r="G2997" s="23"/>
      <c r="H2997" s="24"/>
      <c r="Q2997" s="2"/>
      <c r="R2997" s="2"/>
    </row>
    <row r="2998" spans="1:18" ht="15.75" customHeight="1" x14ac:dyDescent="0.3">
      <c r="A2998" s="11"/>
      <c r="B2998" s="11"/>
      <c r="D2998" s="21"/>
      <c r="E2998" s="22"/>
      <c r="G2998" s="23"/>
      <c r="H2998" s="24"/>
      <c r="Q2998" s="2"/>
      <c r="R2998" s="2"/>
    </row>
    <row r="2999" spans="1:18" ht="15.75" customHeight="1" x14ac:dyDescent="0.3">
      <c r="A2999" s="11"/>
      <c r="B2999" s="11"/>
      <c r="D2999" s="21"/>
      <c r="E2999" s="22"/>
      <c r="G2999" s="23"/>
      <c r="H2999" s="24"/>
      <c r="Q2999" s="2"/>
      <c r="R2999" s="2"/>
    </row>
    <row r="3000" spans="1:18" ht="15.75" customHeight="1" x14ac:dyDescent="0.3">
      <c r="A3000" s="11"/>
      <c r="B3000" s="11"/>
      <c r="D3000" s="21"/>
      <c r="E3000" s="22"/>
      <c r="G3000" s="23"/>
      <c r="H3000" s="24"/>
      <c r="Q3000" s="2"/>
      <c r="R3000" s="2"/>
    </row>
    <row r="3001" spans="1:18" ht="15.75" customHeight="1" x14ac:dyDescent="0.3">
      <c r="A3001" s="11"/>
      <c r="B3001" s="11"/>
      <c r="D3001" s="21"/>
      <c r="E3001" s="22"/>
      <c r="G3001" s="23"/>
      <c r="H3001" s="24"/>
      <c r="Q3001" s="2"/>
      <c r="R3001" s="2"/>
    </row>
    <row r="3002" spans="1:18" ht="15.75" customHeight="1" x14ac:dyDescent="0.3">
      <c r="A3002" s="11"/>
      <c r="B3002" s="11"/>
      <c r="D3002" s="21"/>
      <c r="E3002" s="22"/>
      <c r="G3002" s="23"/>
      <c r="H3002" s="24"/>
      <c r="Q3002" s="2"/>
      <c r="R3002" s="2"/>
    </row>
    <row r="3003" spans="1:18" ht="15.75" customHeight="1" x14ac:dyDescent="0.3">
      <c r="A3003" s="11"/>
      <c r="B3003" s="11"/>
      <c r="D3003" s="21"/>
      <c r="E3003" s="22"/>
      <c r="G3003" s="23"/>
      <c r="H3003" s="24"/>
      <c r="Q3003" s="2"/>
      <c r="R3003" s="2"/>
    </row>
    <row r="3004" spans="1:18" ht="15.75" customHeight="1" x14ac:dyDescent="0.3">
      <c r="A3004" s="11"/>
      <c r="B3004" s="11"/>
      <c r="D3004" s="21"/>
      <c r="E3004" s="22"/>
      <c r="G3004" s="23"/>
      <c r="H3004" s="24"/>
      <c r="Q3004" s="2"/>
      <c r="R3004" s="2"/>
    </row>
    <row r="3005" spans="1:18" ht="15.75" customHeight="1" x14ac:dyDescent="0.3">
      <c r="A3005" s="11"/>
      <c r="B3005" s="11"/>
      <c r="D3005" s="21"/>
      <c r="E3005" s="22"/>
      <c r="G3005" s="23"/>
      <c r="H3005" s="24"/>
      <c r="Q3005" s="2"/>
      <c r="R3005" s="2"/>
    </row>
    <row r="3006" spans="1:18" ht="15.75" customHeight="1" x14ac:dyDescent="0.3">
      <c r="A3006" s="11"/>
      <c r="B3006" s="11"/>
      <c r="D3006" s="21"/>
      <c r="E3006" s="22"/>
      <c r="G3006" s="23"/>
      <c r="H3006" s="24"/>
      <c r="Q3006" s="2"/>
      <c r="R3006" s="2"/>
    </row>
    <row r="3007" spans="1:18" ht="15.75" customHeight="1" x14ac:dyDescent="0.3">
      <c r="A3007" s="11"/>
      <c r="B3007" s="11"/>
      <c r="D3007" s="21"/>
      <c r="E3007" s="22"/>
      <c r="G3007" s="23"/>
      <c r="H3007" s="24"/>
      <c r="Q3007" s="2"/>
      <c r="R3007" s="2"/>
    </row>
    <row r="3008" spans="1:18" ht="15.75" customHeight="1" x14ac:dyDescent="0.3">
      <c r="A3008" s="11"/>
      <c r="B3008" s="11"/>
      <c r="D3008" s="21"/>
      <c r="E3008" s="22"/>
      <c r="G3008" s="23"/>
      <c r="H3008" s="24"/>
      <c r="Q3008" s="2"/>
      <c r="R3008" s="2"/>
    </row>
    <row r="3009" spans="1:18" ht="15.75" customHeight="1" x14ac:dyDescent="0.3">
      <c r="A3009" s="11"/>
      <c r="B3009" s="11"/>
      <c r="D3009" s="21"/>
      <c r="E3009" s="22"/>
      <c r="G3009" s="23"/>
      <c r="H3009" s="24"/>
      <c r="Q3009" s="2"/>
      <c r="R3009" s="2"/>
    </row>
    <row r="3010" spans="1:18" ht="15.75" customHeight="1" x14ac:dyDescent="0.3">
      <c r="A3010" s="11"/>
      <c r="B3010" s="11"/>
      <c r="D3010" s="21"/>
      <c r="E3010" s="22"/>
      <c r="G3010" s="23"/>
      <c r="H3010" s="24"/>
      <c r="Q3010" s="2"/>
      <c r="R3010" s="2"/>
    </row>
    <row r="3011" spans="1:18" ht="15.75" customHeight="1" x14ac:dyDescent="0.3">
      <c r="A3011" s="11"/>
      <c r="B3011" s="11"/>
      <c r="D3011" s="21"/>
      <c r="E3011" s="22"/>
      <c r="G3011" s="23"/>
      <c r="H3011" s="24"/>
      <c r="Q3011" s="2"/>
      <c r="R3011" s="2"/>
    </row>
    <row r="3012" spans="1:18" ht="15.75" customHeight="1" x14ac:dyDescent="0.3">
      <c r="A3012" s="11"/>
      <c r="B3012" s="11"/>
      <c r="D3012" s="21"/>
      <c r="E3012" s="22"/>
      <c r="G3012" s="23"/>
      <c r="H3012" s="24"/>
      <c r="Q3012" s="2"/>
      <c r="R3012" s="2"/>
    </row>
    <row r="3013" spans="1:18" ht="15.75" customHeight="1" x14ac:dyDescent="0.3">
      <c r="A3013" s="11"/>
      <c r="B3013" s="11"/>
      <c r="D3013" s="21"/>
      <c r="E3013" s="22"/>
      <c r="G3013" s="23"/>
      <c r="H3013" s="24"/>
      <c r="Q3013" s="2"/>
      <c r="R3013" s="2"/>
    </row>
    <row r="3014" spans="1:18" ht="15.75" customHeight="1" x14ac:dyDescent="0.3">
      <c r="A3014" s="11"/>
      <c r="B3014" s="11"/>
      <c r="D3014" s="21"/>
      <c r="E3014" s="22"/>
      <c r="G3014" s="23"/>
      <c r="H3014" s="24"/>
      <c r="Q3014" s="2"/>
      <c r="R3014" s="2"/>
    </row>
    <row r="3015" spans="1:18" ht="15.75" customHeight="1" x14ac:dyDescent="0.3">
      <c r="A3015" s="11"/>
      <c r="B3015" s="11"/>
      <c r="D3015" s="21"/>
      <c r="E3015" s="22"/>
      <c r="G3015" s="23"/>
      <c r="H3015" s="24"/>
      <c r="Q3015" s="2"/>
      <c r="R3015" s="2"/>
    </row>
    <row r="3016" spans="1:18" ht="15.75" customHeight="1" x14ac:dyDescent="0.3">
      <c r="A3016" s="11"/>
      <c r="B3016" s="11"/>
      <c r="D3016" s="21"/>
      <c r="E3016" s="22"/>
      <c r="G3016" s="23"/>
      <c r="H3016" s="24"/>
      <c r="Q3016" s="2"/>
      <c r="R3016" s="2"/>
    </row>
    <row r="3017" spans="1:18" ht="15.75" customHeight="1" x14ac:dyDescent="0.3">
      <c r="A3017" s="11"/>
      <c r="B3017" s="11"/>
      <c r="D3017" s="21"/>
      <c r="E3017" s="22"/>
      <c r="G3017" s="23"/>
      <c r="H3017" s="24"/>
      <c r="Q3017" s="2"/>
      <c r="R3017" s="2"/>
    </row>
    <row r="3018" spans="1:18" ht="15.75" customHeight="1" x14ac:dyDescent="0.3">
      <c r="A3018" s="11"/>
      <c r="B3018" s="11"/>
      <c r="D3018" s="21"/>
      <c r="E3018" s="22"/>
      <c r="G3018" s="23"/>
      <c r="H3018" s="24"/>
      <c r="Q3018" s="2"/>
      <c r="R3018" s="2"/>
    </row>
    <row r="3019" spans="1:18" ht="15.75" customHeight="1" x14ac:dyDescent="0.3">
      <c r="A3019" s="11"/>
      <c r="B3019" s="11"/>
      <c r="D3019" s="21"/>
      <c r="E3019" s="22"/>
      <c r="G3019" s="23"/>
      <c r="H3019" s="24"/>
      <c r="Q3019" s="2"/>
      <c r="R3019" s="2"/>
    </row>
    <row r="3020" spans="1:18" ht="15.75" customHeight="1" x14ac:dyDescent="0.3">
      <c r="A3020" s="11"/>
      <c r="B3020" s="11"/>
      <c r="D3020" s="21"/>
      <c r="E3020" s="22"/>
      <c r="G3020" s="23"/>
      <c r="H3020" s="24"/>
      <c r="Q3020" s="2"/>
      <c r="R3020" s="2"/>
    </row>
    <row r="3021" spans="1:18" ht="15.75" customHeight="1" x14ac:dyDescent="0.3">
      <c r="A3021" s="11"/>
      <c r="B3021" s="11"/>
      <c r="D3021" s="21"/>
      <c r="E3021" s="22"/>
      <c r="G3021" s="23"/>
      <c r="H3021" s="24"/>
      <c r="Q3021" s="2"/>
      <c r="R3021" s="2"/>
    </row>
    <row r="3022" spans="1:18" ht="15.75" customHeight="1" x14ac:dyDescent="0.3">
      <c r="A3022" s="11"/>
      <c r="B3022" s="11"/>
      <c r="D3022" s="21"/>
      <c r="E3022" s="22"/>
      <c r="G3022" s="23"/>
      <c r="H3022" s="24"/>
      <c r="Q3022" s="2"/>
      <c r="R3022" s="2"/>
    </row>
    <row r="3023" spans="1:18" ht="15.75" customHeight="1" x14ac:dyDescent="0.3">
      <c r="A3023" s="11"/>
      <c r="B3023" s="11"/>
      <c r="D3023" s="21"/>
      <c r="E3023" s="22"/>
      <c r="G3023" s="23"/>
      <c r="H3023" s="24"/>
      <c r="Q3023" s="2"/>
      <c r="R3023" s="2"/>
    </row>
    <row r="3024" spans="1:18" ht="15.75" customHeight="1" x14ac:dyDescent="0.3">
      <c r="A3024" s="11"/>
      <c r="B3024" s="11"/>
      <c r="D3024" s="21"/>
      <c r="E3024" s="22"/>
      <c r="G3024" s="23"/>
      <c r="H3024" s="24"/>
      <c r="Q3024" s="2"/>
      <c r="R3024" s="2"/>
    </row>
    <row r="3025" spans="1:18" ht="15.75" customHeight="1" x14ac:dyDescent="0.3">
      <c r="A3025" s="11"/>
      <c r="B3025" s="11"/>
      <c r="D3025" s="21"/>
      <c r="E3025" s="22"/>
      <c r="G3025" s="23"/>
      <c r="H3025" s="24"/>
      <c r="Q3025" s="2"/>
      <c r="R3025" s="2"/>
    </row>
    <row r="3026" spans="1:18" ht="15.75" customHeight="1" x14ac:dyDescent="0.3">
      <c r="A3026" s="11"/>
      <c r="B3026" s="11"/>
      <c r="D3026" s="21"/>
      <c r="E3026" s="22"/>
      <c r="G3026" s="23"/>
      <c r="H3026" s="24"/>
      <c r="Q3026" s="2"/>
      <c r="R3026" s="2"/>
    </row>
    <row r="3027" spans="1:18" ht="15.75" customHeight="1" x14ac:dyDescent="0.3">
      <c r="A3027" s="11"/>
      <c r="B3027" s="11"/>
      <c r="D3027" s="21"/>
      <c r="E3027" s="22"/>
      <c r="G3027" s="23"/>
      <c r="H3027" s="24"/>
      <c r="Q3027" s="2"/>
      <c r="R3027" s="2"/>
    </row>
    <row r="3028" spans="1:18" ht="15.75" customHeight="1" x14ac:dyDescent="0.3">
      <c r="A3028" s="11"/>
      <c r="B3028" s="11"/>
      <c r="D3028" s="21"/>
      <c r="E3028" s="22"/>
      <c r="G3028" s="23"/>
      <c r="H3028" s="24"/>
      <c r="Q3028" s="2"/>
      <c r="R3028" s="2"/>
    </row>
    <row r="3029" spans="1:18" ht="15.75" customHeight="1" x14ac:dyDescent="0.3">
      <c r="A3029" s="11"/>
      <c r="B3029" s="11"/>
      <c r="D3029" s="21"/>
      <c r="E3029" s="22"/>
      <c r="G3029" s="23"/>
      <c r="H3029" s="24"/>
      <c r="Q3029" s="2"/>
      <c r="R3029" s="2"/>
    </row>
    <row r="3030" spans="1:18" ht="15.75" customHeight="1" x14ac:dyDescent="0.3">
      <c r="A3030" s="11"/>
      <c r="B3030" s="11"/>
      <c r="D3030" s="21"/>
      <c r="E3030" s="22"/>
      <c r="G3030" s="23"/>
      <c r="H3030" s="24"/>
      <c r="Q3030" s="2"/>
      <c r="R3030" s="2"/>
    </row>
    <row r="3031" spans="1:18" ht="15.75" customHeight="1" x14ac:dyDescent="0.3">
      <c r="A3031" s="11"/>
      <c r="B3031" s="11"/>
      <c r="D3031" s="21"/>
      <c r="E3031" s="22"/>
      <c r="G3031" s="23"/>
      <c r="H3031" s="24"/>
      <c r="Q3031" s="2"/>
      <c r="R3031" s="2"/>
    </row>
    <row r="3032" spans="1:18" ht="15.75" customHeight="1" x14ac:dyDescent="0.3">
      <c r="A3032" s="11"/>
      <c r="B3032" s="11"/>
      <c r="D3032" s="21"/>
      <c r="E3032" s="22"/>
      <c r="G3032" s="23"/>
      <c r="H3032" s="24"/>
      <c r="Q3032" s="2"/>
      <c r="R3032" s="2"/>
    </row>
    <row r="3033" spans="1:18" ht="15.75" customHeight="1" x14ac:dyDescent="0.3">
      <c r="A3033" s="11"/>
      <c r="B3033" s="11"/>
      <c r="D3033" s="21"/>
      <c r="E3033" s="22"/>
      <c r="G3033" s="23"/>
      <c r="H3033" s="24"/>
      <c r="Q3033" s="2"/>
      <c r="R3033" s="2"/>
    </row>
    <row r="3034" spans="1:18" ht="15.75" customHeight="1" x14ac:dyDescent="0.3">
      <c r="A3034" s="11"/>
      <c r="B3034" s="11"/>
      <c r="D3034" s="21"/>
      <c r="E3034" s="22"/>
      <c r="G3034" s="23"/>
      <c r="H3034" s="24"/>
      <c r="Q3034" s="2"/>
      <c r="R3034" s="2"/>
    </row>
    <row r="3035" spans="1:18" ht="15.75" customHeight="1" x14ac:dyDescent="0.3">
      <c r="A3035" s="11"/>
      <c r="B3035" s="11"/>
      <c r="D3035" s="21"/>
      <c r="E3035" s="22"/>
      <c r="G3035" s="23"/>
      <c r="H3035" s="24"/>
      <c r="Q3035" s="2"/>
      <c r="R3035" s="2"/>
    </row>
    <row r="3036" spans="1:18" ht="15.75" customHeight="1" x14ac:dyDescent="0.3">
      <c r="A3036" s="11"/>
      <c r="B3036" s="11"/>
      <c r="D3036" s="21"/>
      <c r="E3036" s="22"/>
      <c r="G3036" s="23"/>
      <c r="H3036" s="24"/>
      <c r="Q3036" s="2"/>
      <c r="R3036" s="2"/>
    </row>
    <row r="3037" spans="1:18" ht="15.75" customHeight="1" x14ac:dyDescent="0.3">
      <c r="A3037" s="11"/>
      <c r="B3037" s="11"/>
      <c r="D3037" s="21"/>
      <c r="E3037" s="22"/>
      <c r="G3037" s="23"/>
      <c r="H3037" s="24"/>
      <c r="Q3037" s="2"/>
      <c r="R3037" s="2"/>
    </row>
    <row r="3038" spans="1:18" ht="15.75" customHeight="1" x14ac:dyDescent="0.3">
      <c r="A3038" s="11"/>
      <c r="B3038" s="11"/>
      <c r="D3038" s="21"/>
      <c r="E3038" s="22"/>
      <c r="G3038" s="23"/>
      <c r="H3038" s="24"/>
      <c r="Q3038" s="2"/>
      <c r="R3038" s="2"/>
    </row>
    <row r="3039" spans="1:18" ht="15.75" customHeight="1" x14ac:dyDescent="0.3">
      <c r="A3039" s="11"/>
      <c r="B3039" s="11"/>
      <c r="D3039" s="21"/>
      <c r="E3039" s="22"/>
      <c r="G3039" s="23"/>
      <c r="H3039" s="24"/>
      <c r="Q3039" s="2"/>
      <c r="R3039" s="2"/>
    </row>
    <row r="3040" spans="1:18" ht="15.75" customHeight="1" x14ac:dyDescent="0.3">
      <c r="A3040" s="11"/>
      <c r="B3040" s="11"/>
      <c r="D3040" s="21"/>
      <c r="E3040" s="22"/>
      <c r="G3040" s="23"/>
      <c r="H3040" s="24"/>
      <c r="Q3040" s="2"/>
      <c r="R3040" s="2"/>
    </row>
    <row r="3041" spans="1:18" ht="15.75" customHeight="1" x14ac:dyDescent="0.3">
      <c r="A3041" s="11"/>
      <c r="B3041" s="11"/>
      <c r="D3041" s="21"/>
      <c r="E3041" s="22"/>
      <c r="G3041" s="23"/>
      <c r="H3041" s="24"/>
      <c r="Q3041" s="2"/>
      <c r="R3041" s="2"/>
    </row>
    <row r="3042" spans="1:18" ht="15.75" customHeight="1" x14ac:dyDescent="0.3">
      <c r="A3042" s="11"/>
      <c r="B3042" s="11"/>
      <c r="D3042" s="21"/>
      <c r="E3042" s="22"/>
      <c r="G3042" s="23"/>
      <c r="H3042" s="24"/>
      <c r="Q3042" s="2"/>
      <c r="R3042" s="2"/>
    </row>
    <row r="3043" spans="1:18" ht="15.75" customHeight="1" x14ac:dyDescent="0.3">
      <c r="A3043" s="11"/>
      <c r="B3043" s="11"/>
      <c r="D3043" s="21"/>
      <c r="E3043" s="22"/>
      <c r="G3043" s="23"/>
      <c r="H3043" s="24"/>
      <c r="Q3043" s="2"/>
      <c r="R3043" s="2"/>
    </row>
    <row r="3044" spans="1:18" ht="15.75" customHeight="1" x14ac:dyDescent="0.3">
      <c r="A3044" s="11"/>
      <c r="B3044" s="11"/>
      <c r="D3044" s="21"/>
      <c r="E3044" s="22"/>
      <c r="G3044" s="23"/>
      <c r="H3044" s="24"/>
      <c r="Q3044" s="2"/>
      <c r="R3044" s="2"/>
    </row>
    <row r="3045" spans="1:18" ht="15.75" customHeight="1" x14ac:dyDescent="0.3">
      <c r="A3045" s="11"/>
      <c r="B3045" s="11"/>
      <c r="D3045" s="21"/>
      <c r="E3045" s="22"/>
      <c r="G3045" s="23"/>
      <c r="H3045" s="24"/>
      <c r="Q3045" s="2"/>
      <c r="R3045" s="2"/>
    </row>
    <row r="3046" spans="1:18" ht="15.75" customHeight="1" x14ac:dyDescent="0.3">
      <c r="A3046" s="11"/>
      <c r="B3046" s="11"/>
      <c r="D3046" s="21"/>
      <c r="E3046" s="22"/>
      <c r="G3046" s="23"/>
      <c r="H3046" s="24"/>
      <c r="Q3046" s="2"/>
      <c r="R3046" s="2"/>
    </row>
    <row r="3047" spans="1:18" ht="15.75" customHeight="1" x14ac:dyDescent="0.3">
      <c r="A3047" s="11"/>
      <c r="B3047" s="11"/>
      <c r="D3047" s="21"/>
      <c r="E3047" s="22"/>
      <c r="G3047" s="23"/>
      <c r="H3047" s="24"/>
      <c r="Q3047" s="2"/>
      <c r="R3047" s="2"/>
    </row>
    <row r="3048" spans="1:18" ht="15.75" customHeight="1" x14ac:dyDescent="0.3">
      <c r="A3048" s="11"/>
      <c r="B3048" s="11"/>
      <c r="D3048" s="21"/>
      <c r="E3048" s="22"/>
      <c r="G3048" s="23"/>
      <c r="H3048" s="24"/>
      <c r="Q3048" s="2"/>
      <c r="R3048" s="2"/>
    </row>
    <row r="3049" spans="1:18" ht="15.75" customHeight="1" x14ac:dyDescent="0.3">
      <c r="A3049" s="11"/>
      <c r="B3049" s="11"/>
      <c r="D3049" s="21"/>
      <c r="E3049" s="22"/>
      <c r="G3049" s="23"/>
      <c r="H3049" s="24"/>
      <c r="Q3049" s="2"/>
      <c r="R3049" s="2"/>
    </row>
    <row r="3050" spans="1:18" ht="15.75" customHeight="1" x14ac:dyDescent="0.3">
      <c r="A3050" s="11"/>
      <c r="B3050" s="11"/>
      <c r="D3050" s="21"/>
      <c r="E3050" s="22"/>
      <c r="G3050" s="23"/>
      <c r="H3050" s="24"/>
      <c r="Q3050" s="2"/>
      <c r="R3050" s="2"/>
    </row>
    <row r="3051" spans="1:18" ht="15.75" customHeight="1" x14ac:dyDescent="0.3">
      <c r="A3051" s="11"/>
      <c r="B3051" s="11"/>
      <c r="D3051" s="21"/>
      <c r="E3051" s="22"/>
      <c r="G3051" s="23"/>
      <c r="H3051" s="24"/>
      <c r="Q3051" s="2"/>
      <c r="R3051" s="2"/>
    </row>
    <row r="3052" spans="1:18" ht="15.75" customHeight="1" x14ac:dyDescent="0.3">
      <c r="A3052" s="11"/>
      <c r="B3052" s="11"/>
      <c r="D3052" s="21"/>
      <c r="E3052" s="22"/>
      <c r="G3052" s="23"/>
      <c r="H3052" s="24"/>
      <c r="Q3052" s="2"/>
      <c r="R3052" s="2"/>
    </row>
    <row r="3053" spans="1:18" ht="15.75" customHeight="1" x14ac:dyDescent="0.3">
      <c r="A3053" s="11"/>
      <c r="B3053" s="11"/>
      <c r="D3053" s="21"/>
      <c r="E3053" s="22"/>
      <c r="G3053" s="23"/>
      <c r="H3053" s="24"/>
      <c r="Q3053" s="2"/>
      <c r="R3053" s="2"/>
    </row>
    <row r="3054" spans="1:18" ht="15.75" customHeight="1" x14ac:dyDescent="0.3">
      <c r="A3054" s="11"/>
      <c r="B3054" s="11"/>
      <c r="D3054" s="21"/>
      <c r="E3054" s="22"/>
      <c r="G3054" s="23"/>
      <c r="H3054" s="24"/>
      <c r="Q3054" s="2"/>
      <c r="R3054" s="2"/>
    </row>
    <row r="3055" spans="1:18" ht="15.75" customHeight="1" x14ac:dyDescent="0.3">
      <c r="A3055" s="11"/>
      <c r="B3055" s="11"/>
      <c r="D3055" s="21"/>
      <c r="E3055" s="22"/>
      <c r="G3055" s="23"/>
      <c r="H3055" s="24"/>
      <c r="Q3055" s="2"/>
      <c r="R3055" s="2"/>
    </row>
    <row r="3056" spans="1:18" ht="15.75" customHeight="1" x14ac:dyDescent="0.3">
      <c r="A3056" s="11"/>
      <c r="B3056" s="11"/>
      <c r="D3056" s="21"/>
      <c r="E3056" s="22"/>
      <c r="G3056" s="23"/>
      <c r="H3056" s="24"/>
      <c r="Q3056" s="2"/>
      <c r="R3056" s="2"/>
    </row>
    <row r="3057" spans="1:18" ht="15.75" customHeight="1" x14ac:dyDescent="0.3">
      <c r="A3057" s="11"/>
      <c r="B3057" s="11"/>
      <c r="D3057" s="21"/>
      <c r="E3057" s="22"/>
      <c r="G3057" s="23"/>
      <c r="H3057" s="24"/>
      <c r="Q3057" s="2"/>
      <c r="R3057" s="2"/>
    </row>
    <row r="3058" spans="1:18" ht="15.75" customHeight="1" x14ac:dyDescent="0.3">
      <c r="A3058" s="11"/>
      <c r="B3058" s="11"/>
      <c r="D3058" s="21"/>
      <c r="E3058" s="22"/>
      <c r="G3058" s="23"/>
      <c r="H3058" s="24"/>
      <c r="Q3058" s="2"/>
      <c r="R3058" s="2"/>
    </row>
    <row r="3059" spans="1:18" ht="15.75" customHeight="1" x14ac:dyDescent="0.3">
      <c r="A3059" s="11"/>
      <c r="B3059" s="11"/>
      <c r="D3059" s="21"/>
      <c r="E3059" s="22"/>
      <c r="G3059" s="23"/>
      <c r="H3059" s="24"/>
      <c r="Q3059" s="2"/>
      <c r="R3059" s="2"/>
    </row>
    <row r="3060" spans="1:18" ht="15.75" customHeight="1" x14ac:dyDescent="0.3">
      <c r="A3060" s="11"/>
      <c r="B3060" s="11"/>
      <c r="D3060" s="21"/>
      <c r="E3060" s="22"/>
      <c r="G3060" s="23"/>
      <c r="H3060" s="24"/>
      <c r="Q3060" s="2"/>
      <c r="R3060" s="2"/>
    </row>
    <row r="3061" spans="1:18" ht="15.75" customHeight="1" x14ac:dyDescent="0.3">
      <c r="A3061" s="11"/>
      <c r="B3061" s="11"/>
      <c r="D3061" s="21"/>
      <c r="E3061" s="22"/>
      <c r="G3061" s="23"/>
      <c r="H3061" s="24"/>
      <c r="Q3061" s="2"/>
      <c r="R3061" s="2"/>
    </row>
    <row r="3062" spans="1:18" ht="15.75" customHeight="1" x14ac:dyDescent="0.3">
      <c r="A3062" s="11"/>
      <c r="B3062" s="11"/>
      <c r="D3062" s="21"/>
      <c r="E3062" s="22"/>
      <c r="G3062" s="23"/>
      <c r="H3062" s="24"/>
      <c r="Q3062" s="2"/>
      <c r="R3062" s="2"/>
    </row>
    <row r="3063" spans="1:18" ht="15.75" customHeight="1" x14ac:dyDescent="0.3">
      <c r="A3063" s="11"/>
      <c r="B3063" s="11"/>
      <c r="D3063" s="21"/>
      <c r="E3063" s="22"/>
      <c r="G3063" s="23"/>
      <c r="H3063" s="24"/>
      <c r="Q3063" s="2"/>
      <c r="R3063" s="2"/>
    </row>
    <row r="3064" spans="1:18" ht="15.75" customHeight="1" x14ac:dyDescent="0.3">
      <c r="A3064" s="11"/>
      <c r="B3064" s="11"/>
      <c r="D3064" s="21"/>
      <c r="E3064" s="22"/>
      <c r="G3064" s="23"/>
      <c r="H3064" s="24"/>
      <c r="Q3064" s="2"/>
      <c r="R3064" s="2"/>
    </row>
    <row r="3065" spans="1:18" ht="15.75" customHeight="1" x14ac:dyDescent="0.3">
      <c r="A3065" s="11"/>
      <c r="B3065" s="11"/>
      <c r="D3065" s="21"/>
      <c r="E3065" s="22"/>
      <c r="G3065" s="23"/>
      <c r="H3065" s="24"/>
      <c r="Q3065" s="2"/>
      <c r="R3065" s="2"/>
    </row>
    <row r="3066" spans="1:18" ht="15.75" customHeight="1" x14ac:dyDescent="0.3">
      <c r="A3066" s="11"/>
      <c r="B3066" s="11"/>
      <c r="D3066" s="21"/>
      <c r="E3066" s="22"/>
      <c r="G3066" s="23"/>
      <c r="H3066" s="24"/>
      <c r="Q3066" s="2"/>
      <c r="R3066" s="2"/>
    </row>
    <row r="3067" spans="1:18" ht="15.75" customHeight="1" x14ac:dyDescent="0.3">
      <c r="A3067" s="11"/>
      <c r="B3067" s="11"/>
      <c r="D3067" s="21"/>
      <c r="E3067" s="22"/>
      <c r="G3067" s="23"/>
      <c r="H3067" s="24"/>
      <c r="Q3067" s="2"/>
      <c r="R3067" s="2"/>
    </row>
    <row r="3068" spans="1:18" ht="15.75" customHeight="1" x14ac:dyDescent="0.3">
      <c r="A3068" s="11"/>
      <c r="B3068" s="11"/>
      <c r="D3068" s="21"/>
      <c r="E3068" s="22"/>
      <c r="G3068" s="23"/>
      <c r="H3068" s="24"/>
      <c r="Q3068" s="2"/>
      <c r="R3068" s="2"/>
    </row>
    <row r="3069" spans="1:18" ht="15.75" customHeight="1" x14ac:dyDescent="0.3">
      <c r="A3069" s="11"/>
      <c r="B3069" s="11"/>
      <c r="D3069" s="21"/>
      <c r="E3069" s="22"/>
      <c r="G3069" s="23"/>
      <c r="H3069" s="24"/>
      <c r="Q3069" s="2"/>
      <c r="R3069" s="2"/>
    </row>
    <row r="3070" spans="1:18" ht="15.75" customHeight="1" x14ac:dyDescent="0.3">
      <c r="A3070" s="11"/>
      <c r="B3070" s="11"/>
      <c r="D3070" s="21"/>
      <c r="E3070" s="22"/>
      <c r="G3070" s="23"/>
      <c r="H3070" s="24"/>
      <c r="Q3070" s="2"/>
      <c r="R3070" s="2"/>
    </row>
    <row r="3071" spans="1:18" ht="15.75" customHeight="1" x14ac:dyDescent="0.3">
      <c r="A3071" s="11"/>
      <c r="B3071" s="11"/>
      <c r="D3071" s="21"/>
      <c r="E3071" s="22"/>
      <c r="G3071" s="23"/>
      <c r="H3071" s="24"/>
      <c r="Q3071" s="2"/>
      <c r="R3071" s="2"/>
    </row>
    <row r="3072" spans="1:18" ht="15.75" customHeight="1" x14ac:dyDescent="0.3">
      <c r="A3072" s="11"/>
      <c r="B3072" s="11"/>
      <c r="D3072" s="21"/>
      <c r="E3072" s="22"/>
      <c r="G3072" s="23"/>
      <c r="H3072" s="24"/>
      <c r="Q3072" s="2"/>
      <c r="R3072" s="2"/>
    </row>
    <row r="3073" spans="1:18" ht="15.75" customHeight="1" x14ac:dyDescent="0.3">
      <c r="A3073" s="11"/>
      <c r="B3073" s="11"/>
      <c r="D3073" s="21"/>
      <c r="E3073" s="22"/>
      <c r="G3073" s="23"/>
      <c r="H3073" s="24"/>
      <c r="Q3073" s="2"/>
      <c r="R3073" s="2"/>
    </row>
    <row r="3074" spans="1:18" ht="15.75" customHeight="1" x14ac:dyDescent="0.3">
      <c r="A3074" s="11"/>
      <c r="B3074" s="11"/>
      <c r="D3074" s="21"/>
      <c r="E3074" s="22"/>
      <c r="G3074" s="23"/>
      <c r="H3074" s="24"/>
      <c r="Q3074" s="2"/>
      <c r="R3074" s="2"/>
    </row>
    <row r="3075" spans="1:18" ht="15.75" customHeight="1" x14ac:dyDescent="0.3">
      <c r="A3075" s="11"/>
      <c r="B3075" s="11"/>
      <c r="D3075" s="21"/>
      <c r="E3075" s="22"/>
      <c r="G3075" s="23"/>
      <c r="H3075" s="24"/>
      <c r="Q3075" s="2"/>
      <c r="R3075" s="2"/>
    </row>
    <row r="3076" spans="1:18" ht="15.75" customHeight="1" x14ac:dyDescent="0.3">
      <c r="A3076" s="11"/>
      <c r="B3076" s="11"/>
      <c r="D3076" s="21"/>
      <c r="E3076" s="22"/>
      <c r="G3076" s="23"/>
      <c r="H3076" s="24"/>
      <c r="Q3076" s="2"/>
      <c r="R3076" s="2"/>
    </row>
    <row r="3077" spans="1:18" ht="15.75" customHeight="1" x14ac:dyDescent="0.3">
      <c r="A3077" s="11"/>
      <c r="B3077" s="11"/>
      <c r="D3077" s="21"/>
      <c r="E3077" s="22"/>
      <c r="G3077" s="23"/>
      <c r="H3077" s="24"/>
      <c r="Q3077" s="2"/>
      <c r="R3077" s="2"/>
    </row>
    <row r="3078" spans="1:18" ht="15.75" customHeight="1" x14ac:dyDescent="0.3">
      <c r="A3078" s="11"/>
      <c r="B3078" s="11"/>
      <c r="D3078" s="21"/>
      <c r="E3078" s="22"/>
      <c r="G3078" s="23"/>
      <c r="H3078" s="24"/>
      <c r="Q3078" s="2"/>
      <c r="R3078" s="2"/>
    </row>
    <row r="3079" spans="1:18" ht="15.75" customHeight="1" x14ac:dyDescent="0.3">
      <c r="A3079" s="11"/>
      <c r="B3079" s="11"/>
      <c r="D3079" s="21"/>
      <c r="E3079" s="22"/>
      <c r="G3079" s="23"/>
      <c r="H3079" s="24"/>
      <c r="Q3079" s="2"/>
      <c r="R3079" s="2"/>
    </row>
    <row r="3080" spans="1:18" ht="15.75" customHeight="1" x14ac:dyDescent="0.3">
      <c r="A3080" s="11"/>
      <c r="B3080" s="11"/>
      <c r="D3080" s="21"/>
      <c r="E3080" s="22"/>
      <c r="G3080" s="23"/>
      <c r="H3080" s="24"/>
      <c r="Q3080" s="2"/>
      <c r="R3080" s="2"/>
    </row>
    <row r="3081" spans="1:18" ht="15.75" customHeight="1" x14ac:dyDescent="0.3">
      <c r="A3081" s="11"/>
      <c r="B3081" s="11"/>
      <c r="D3081" s="21"/>
      <c r="E3081" s="22"/>
      <c r="G3081" s="23"/>
      <c r="H3081" s="24"/>
      <c r="Q3081" s="2"/>
      <c r="R3081" s="2"/>
    </row>
    <row r="3082" spans="1:18" ht="15.75" customHeight="1" x14ac:dyDescent="0.3">
      <c r="A3082" s="11"/>
      <c r="B3082" s="11"/>
      <c r="D3082" s="21"/>
      <c r="E3082" s="22"/>
      <c r="G3082" s="23"/>
      <c r="H3082" s="24"/>
      <c r="Q3082" s="2"/>
      <c r="R3082" s="2"/>
    </row>
    <row r="3083" spans="1:18" ht="15.75" customHeight="1" x14ac:dyDescent="0.3">
      <c r="A3083" s="11"/>
      <c r="B3083" s="11"/>
      <c r="D3083" s="21"/>
      <c r="E3083" s="22"/>
      <c r="G3083" s="23"/>
      <c r="H3083" s="24"/>
      <c r="Q3083" s="2"/>
      <c r="R3083" s="2"/>
    </row>
    <row r="3084" spans="1:18" ht="15.75" customHeight="1" x14ac:dyDescent="0.3">
      <c r="A3084" s="11"/>
      <c r="B3084" s="11"/>
      <c r="D3084" s="21"/>
      <c r="E3084" s="22"/>
      <c r="G3084" s="23"/>
      <c r="H3084" s="24"/>
      <c r="Q3084" s="2"/>
      <c r="R3084" s="2"/>
    </row>
    <row r="3085" spans="1:18" ht="15.75" customHeight="1" x14ac:dyDescent="0.3">
      <c r="A3085" s="11"/>
      <c r="B3085" s="11"/>
      <c r="D3085" s="21"/>
      <c r="E3085" s="22"/>
      <c r="G3085" s="23"/>
      <c r="H3085" s="24"/>
      <c r="Q3085" s="2"/>
      <c r="R3085" s="2"/>
    </row>
    <row r="3086" spans="1:18" ht="15.75" customHeight="1" x14ac:dyDescent="0.3">
      <c r="A3086" s="11"/>
      <c r="B3086" s="11"/>
      <c r="D3086" s="21"/>
      <c r="E3086" s="22"/>
      <c r="G3086" s="23"/>
      <c r="H3086" s="24"/>
      <c r="Q3086" s="2"/>
      <c r="R3086" s="2"/>
    </row>
    <row r="3087" spans="1:18" ht="15.75" customHeight="1" x14ac:dyDescent="0.3">
      <c r="A3087" s="11"/>
      <c r="B3087" s="11"/>
      <c r="D3087" s="21"/>
      <c r="E3087" s="22"/>
      <c r="G3087" s="23"/>
      <c r="H3087" s="24"/>
      <c r="Q3087" s="2"/>
      <c r="R3087" s="2"/>
    </row>
    <row r="3088" spans="1:18" ht="15.75" customHeight="1" x14ac:dyDescent="0.3">
      <c r="A3088" s="11"/>
      <c r="B3088" s="11"/>
      <c r="D3088" s="21"/>
      <c r="E3088" s="22"/>
      <c r="G3088" s="23"/>
      <c r="H3088" s="24"/>
      <c r="Q3088" s="2"/>
      <c r="R3088" s="2"/>
    </row>
    <row r="3089" spans="1:18" ht="15.75" customHeight="1" x14ac:dyDescent="0.3">
      <c r="A3089" s="11"/>
      <c r="B3089" s="11"/>
      <c r="D3089" s="21"/>
      <c r="E3089" s="22"/>
      <c r="G3089" s="23"/>
      <c r="H3089" s="24"/>
      <c r="Q3089" s="2"/>
      <c r="R3089" s="2"/>
    </row>
    <row r="3090" spans="1:18" ht="15.75" customHeight="1" x14ac:dyDescent="0.3">
      <c r="A3090" s="11"/>
      <c r="B3090" s="11"/>
      <c r="D3090" s="21"/>
      <c r="E3090" s="22"/>
      <c r="G3090" s="23"/>
      <c r="H3090" s="24"/>
      <c r="Q3090" s="2"/>
      <c r="R3090" s="2"/>
    </row>
    <row r="3091" spans="1:18" ht="15.75" customHeight="1" x14ac:dyDescent="0.3">
      <c r="A3091" s="11"/>
      <c r="B3091" s="11"/>
      <c r="D3091" s="21"/>
      <c r="E3091" s="22"/>
      <c r="G3091" s="23"/>
      <c r="H3091" s="24"/>
      <c r="Q3091" s="2"/>
      <c r="R3091" s="2"/>
    </row>
    <row r="3092" spans="1:18" ht="15.75" customHeight="1" x14ac:dyDescent="0.3">
      <c r="A3092" s="11"/>
      <c r="B3092" s="11"/>
      <c r="D3092" s="21"/>
      <c r="E3092" s="22"/>
      <c r="G3092" s="23"/>
      <c r="H3092" s="24"/>
      <c r="Q3092" s="2"/>
      <c r="R3092" s="2"/>
    </row>
    <row r="3093" spans="1:18" ht="15.75" customHeight="1" x14ac:dyDescent="0.3">
      <c r="A3093" s="11"/>
      <c r="B3093" s="11"/>
      <c r="D3093" s="21"/>
      <c r="E3093" s="22"/>
      <c r="G3093" s="23"/>
      <c r="H3093" s="24"/>
      <c r="Q3093" s="2"/>
      <c r="R3093" s="2"/>
    </row>
    <row r="3094" spans="1:18" ht="15.75" customHeight="1" x14ac:dyDescent="0.3">
      <c r="A3094" s="11"/>
      <c r="B3094" s="11"/>
      <c r="D3094" s="21"/>
      <c r="E3094" s="22"/>
      <c r="G3094" s="23"/>
      <c r="H3094" s="24"/>
      <c r="Q3094" s="2"/>
      <c r="R3094" s="2"/>
    </row>
    <row r="3095" spans="1:18" ht="15.75" customHeight="1" x14ac:dyDescent="0.3">
      <c r="A3095" s="11"/>
      <c r="B3095" s="11"/>
      <c r="D3095" s="21"/>
      <c r="E3095" s="22"/>
      <c r="G3095" s="23"/>
      <c r="H3095" s="24"/>
      <c r="Q3095" s="2"/>
      <c r="R3095" s="2"/>
    </row>
    <row r="3096" spans="1:18" ht="15.75" customHeight="1" x14ac:dyDescent="0.3">
      <c r="A3096" s="11"/>
      <c r="B3096" s="11"/>
      <c r="D3096" s="21"/>
      <c r="E3096" s="22"/>
      <c r="G3096" s="23"/>
      <c r="H3096" s="24"/>
      <c r="Q3096" s="2"/>
      <c r="R3096" s="2"/>
    </row>
    <row r="3097" spans="1:18" ht="15.75" customHeight="1" x14ac:dyDescent="0.3">
      <c r="A3097" s="11"/>
      <c r="B3097" s="11"/>
      <c r="D3097" s="21"/>
      <c r="E3097" s="22"/>
      <c r="G3097" s="23"/>
      <c r="H3097" s="24"/>
      <c r="Q3097" s="2"/>
      <c r="R3097" s="2"/>
    </row>
    <row r="3098" spans="1:18" ht="15.75" customHeight="1" x14ac:dyDescent="0.3">
      <c r="A3098" s="11"/>
      <c r="B3098" s="11"/>
      <c r="D3098" s="21"/>
      <c r="E3098" s="22"/>
      <c r="G3098" s="23"/>
      <c r="H3098" s="24"/>
      <c r="Q3098" s="2"/>
      <c r="R3098" s="2"/>
    </row>
    <row r="3099" spans="1:18" ht="15.75" customHeight="1" x14ac:dyDescent="0.3">
      <c r="A3099" s="11"/>
      <c r="B3099" s="11"/>
      <c r="D3099" s="21"/>
      <c r="E3099" s="22"/>
      <c r="G3099" s="23"/>
      <c r="H3099" s="24"/>
      <c r="Q3099" s="2"/>
      <c r="R3099" s="2"/>
    </row>
    <row r="3100" spans="1:18" ht="15.75" customHeight="1" x14ac:dyDescent="0.3">
      <c r="A3100" s="11"/>
      <c r="B3100" s="11"/>
      <c r="D3100" s="21"/>
      <c r="E3100" s="22"/>
      <c r="G3100" s="23"/>
      <c r="H3100" s="24"/>
      <c r="Q3100" s="2"/>
      <c r="R3100" s="2"/>
    </row>
    <row r="3101" spans="1:18" ht="15.75" customHeight="1" x14ac:dyDescent="0.3">
      <c r="A3101" s="11"/>
      <c r="B3101" s="11"/>
      <c r="D3101" s="21"/>
      <c r="E3101" s="22"/>
      <c r="G3101" s="23"/>
      <c r="H3101" s="24"/>
      <c r="Q3101" s="2"/>
      <c r="R3101" s="2"/>
    </row>
    <row r="3102" spans="1:18" ht="15.75" customHeight="1" x14ac:dyDescent="0.3">
      <c r="A3102" s="11"/>
      <c r="B3102" s="11"/>
      <c r="D3102" s="21"/>
      <c r="E3102" s="22"/>
      <c r="G3102" s="23"/>
      <c r="H3102" s="24"/>
      <c r="Q3102" s="2"/>
      <c r="R3102" s="2"/>
    </row>
    <row r="3103" spans="1:18" ht="15.75" customHeight="1" x14ac:dyDescent="0.3">
      <c r="A3103" s="11"/>
      <c r="B3103" s="11"/>
      <c r="D3103" s="21"/>
      <c r="E3103" s="22"/>
      <c r="G3103" s="23"/>
      <c r="H3103" s="24"/>
      <c r="Q3103" s="2"/>
      <c r="R3103" s="2"/>
    </row>
    <row r="3104" spans="1:18" ht="15.75" customHeight="1" x14ac:dyDescent="0.3">
      <c r="A3104" s="11"/>
      <c r="B3104" s="11"/>
      <c r="D3104" s="21"/>
      <c r="E3104" s="22"/>
      <c r="G3104" s="23"/>
      <c r="H3104" s="24"/>
      <c r="Q3104" s="2"/>
      <c r="R3104" s="2"/>
    </row>
    <row r="3105" spans="1:18" ht="15.75" customHeight="1" x14ac:dyDescent="0.3">
      <c r="A3105" s="11"/>
      <c r="B3105" s="11"/>
      <c r="D3105" s="21"/>
      <c r="E3105" s="22"/>
      <c r="G3105" s="23"/>
      <c r="H3105" s="24"/>
      <c r="Q3105" s="2"/>
      <c r="R3105" s="2"/>
    </row>
    <row r="3106" spans="1:18" ht="15.75" customHeight="1" x14ac:dyDescent="0.3">
      <c r="A3106" s="11"/>
      <c r="B3106" s="11"/>
      <c r="D3106" s="21"/>
      <c r="E3106" s="22"/>
      <c r="G3106" s="23"/>
      <c r="H3106" s="24"/>
      <c r="Q3106" s="2"/>
      <c r="R3106" s="2"/>
    </row>
    <row r="3107" spans="1:18" ht="15.75" customHeight="1" x14ac:dyDescent="0.3">
      <c r="A3107" s="11"/>
      <c r="B3107" s="11"/>
      <c r="D3107" s="21"/>
      <c r="E3107" s="22"/>
      <c r="G3107" s="23"/>
      <c r="H3107" s="24"/>
      <c r="Q3107" s="2"/>
      <c r="R3107" s="2"/>
    </row>
    <row r="3108" spans="1:18" ht="15.75" customHeight="1" x14ac:dyDescent="0.3">
      <c r="A3108" s="11"/>
      <c r="B3108" s="11"/>
      <c r="D3108" s="21"/>
      <c r="E3108" s="22"/>
      <c r="G3108" s="23"/>
      <c r="H3108" s="24"/>
      <c r="Q3108" s="2"/>
      <c r="R3108" s="2"/>
    </row>
    <row r="3109" spans="1:18" ht="15.75" customHeight="1" x14ac:dyDescent="0.3">
      <c r="A3109" s="11"/>
      <c r="B3109" s="11"/>
      <c r="D3109" s="21"/>
      <c r="E3109" s="22"/>
      <c r="G3109" s="23"/>
      <c r="H3109" s="24"/>
      <c r="Q3109" s="2"/>
      <c r="R3109" s="2"/>
    </row>
    <row r="3110" spans="1:18" ht="15.75" customHeight="1" x14ac:dyDescent="0.3">
      <c r="A3110" s="11"/>
      <c r="B3110" s="11"/>
      <c r="D3110" s="21"/>
      <c r="E3110" s="22"/>
      <c r="G3110" s="23"/>
      <c r="H3110" s="24"/>
      <c r="Q3110" s="2"/>
      <c r="R3110" s="2"/>
    </row>
    <row r="3111" spans="1:18" ht="15.75" customHeight="1" x14ac:dyDescent="0.3">
      <c r="A3111" s="11"/>
      <c r="B3111" s="11"/>
      <c r="D3111" s="21"/>
      <c r="E3111" s="22"/>
      <c r="G3111" s="23"/>
      <c r="H3111" s="24"/>
      <c r="Q3111" s="2"/>
      <c r="R3111" s="2"/>
    </row>
    <row r="3112" spans="1:18" ht="15.75" customHeight="1" x14ac:dyDescent="0.3">
      <c r="A3112" s="11"/>
      <c r="B3112" s="11"/>
      <c r="D3112" s="21"/>
      <c r="E3112" s="22"/>
      <c r="G3112" s="23"/>
      <c r="H3112" s="24"/>
      <c r="Q3112" s="2"/>
      <c r="R3112" s="2"/>
    </row>
    <row r="3113" spans="1:18" ht="15.75" customHeight="1" x14ac:dyDescent="0.3">
      <c r="A3113" s="11"/>
      <c r="B3113" s="11"/>
      <c r="D3113" s="21"/>
      <c r="E3113" s="22"/>
      <c r="G3113" s="23"/>
      <c r="H3113" s="24"/>
      <c r="Q3113" s="2"/>
      <c r="R3113" s="2"/>
    </row>
    <row r="3114" spans="1:18" ht="15.75" customHeight="1" x14ac:dyDescent="0.3">
      <c r="A3114" s="11"/>
      <c r="B3114" s="11"/>
      <c r="D3114" s="21"/>
      <c r="E3114" s="22"/>
      <c r="G3114" s="23"/>
      <c r="H3114" s="24"/>
      <c r="Q3114" s="2"/>
      <c r="R3114" s="2"/>
    </row>
    <row r="3115" spans="1:18" ht="15.75" customHeight="1" x14ac:dyDescent="0.3">
      <c r="A3115" s="11"/>
      <c r="B3115" s="11"/>
      <c r="D3115" s="21"/>
      <c r="E3115" s="22"/>
      <c r="G3115" s="23"/>
      <c r="H3115" s="24"/>
      <c r="Q3115" s="2"/>
      <c r="R3115" s="2"/>
    </row>
    <row r="3116" spans="1:18" ht="15.75" customHeight="1" x14ac:dyDescent="0.3">
      <c r="A3116" s="11"/>
      <c r="B3116" s="11"/>
      <c r="D3116" s="21"/>
      <c r="E3116" s="22"/>
      <c r="G3116" s="23"/>
      <c r="H3116" s="24"/>
      <c r="Q3116" s="2"/>
      <c r="R3116" s="2"/>
    </row>
    <row r="3117" spans="1:18" ht="15.75" customHeight="1" x14ac:dyDescent="0.3">
      <c r="A3117" s="11"/>
      <c r="B3117" s="11"/>
      <c r="D3117" s="21"/>
      <c r="E3117" s="22"/>
      <c r="G3117" s="23"/>
      <c r="H3117" s="24"/>
      <c r="Q3117" s="2"/>
      <c r="R3117" s="2"/>
    </row>
    <row r="3118" spans="1:18" ht="15.75" customHeight="1" x14ac:dyDescent="0.3">
      <c r="A3118" s="11"/>
      <c r="B3118" s="11"/>
      <c r="D3118" s="21"/>
      <c r="E3118" s="22"/>
      <c r="G3118" s="23"/>
      <c r="H3118" s="24"/>
      <c r="Q3118" s="2"/>
      <c r="R3118" s="2"/>
    </row>
    <row r="3119" spans="1:18" ht="15.75" customHeight="1" x14ac:dyDescent="0.3">
      <c r="A3119" s="11"/>
      <c r="B3119" s="11"/>
      <c r="D3119" s="21"/>
      <c r="E3119" s="22"/>
      <c r="G3119" s="23"/>
      <c r="H3119" s="24"/>
      <c r="Q3119" s="2"/>
      <c r="R3119" s="2"/>
    </row>
    <row r="3120" spans="1:18" ht="15.75" customHeight="1" x14ac:dyDescent="0.3">
      <c r="A3120" s="11"/>
      <c r="B3120" s="11"/>
      <c r="D3120" s="21"/>
      <c r="E3120" s="22"/>
      <c r="G3120" s="23"/>
      <c r="H3120" s="24"/>
      <c r="Q3120" s="2"/>
      <c r="R3120" s="2"/>
    </row>
    <row r="3121" spans="1:18" ht="15.75" customHeight="1" x14ac:dyDescent="0.3">
      <c r="A3121" s="11"/>
      <c r="B3121" s="11"/>
      <c r="D3121" s="21"/>
      <c r="E3121" s="22"/>
      <c r="G3121" s="23"/>
      <c r="H3121" s="24"/>
      <c r="Q3121" s="2"/>
      <c r="R3121" s="2"/>
    </row>
    <row r="3122" spans="1:18" ht="15.75" customHeight="1" x14ac:dyDescent="0.3">
      <c r="A3122" s="11"/>
      <c r="B3122" s="11"/>
      <c r="D3122" s="21"/>
      <c r="E3122" s="22"/>
      <c r="G3122" s="23"/>
      <c r="H3122" s="24"/>
      <c r="Q3122" s="2"/>
      <c r="R3122" s="2"/>
    </row>
    <row r="3123" spans="1:18" ht="15.75" customHeight="1" x14ac:dyDescent="0.3">
      <c r="A3123" s="11"/>
      <c r="B3123" s="11"/>
      <c r="D3123" s="21"/>
      <c r="E3123" s="22"/>
      <c r="G3123" s="23"/>
      <c r="H3123" s="24"/>
      <c r="Q3123" s="2"/>
      <c r="R3123" s="2"/>
    </row>
    <row r="3124" spans="1:18" ht="15.75" customHeight="1" x14ac:dyDescent="0.3">
      <c r="A3124" s="11"/>
      <c r="B3124" s="11"/>
      <c r="D3124" s="21"/>
      <c r="E3124" s="22"/>
      <c r="G3124" s="23"/>
      <c r="H3124" s="24"/>
      <c r="Q3124" s="2"/>
      <c r="R3124" s="2"/>
    </row>
    <row r="3125" spans="1:18" ht="15.75" customHeight="1" x14ac:dyDescent="0.3">
      <c r="A3125" s="11"/>
      <c r="B3125" s="11"/>
      <c r="D3125" s="21"/>
      <c r="E3125" s="22"/>
      <c r="G3125" s="23"/>
      <c r="H3125" s="24"/>
      <c r="Q3125" s="2"/>
      <c r="R3125" s="2"/>
    </row>
    <row r="3126" spans="1:18" ht="15.75" customHeight="1" x14ac:dyDescent="0.3">
      <c r="A3126" s="11"/>
      <c r="B3126" s="11"/>
      <c r="D3126" s="21"/>
      <c r="E3126" s="22"/>
      <c r="G3126" s="23"/>
      <c r="H3126" s="24"/>
      <c r="Q3126" s="2"/>
      <c r="R3126" s="2"/>
    </row>
    <row r="3127" spans="1:18" ht="15.75" customHeight="1" x14ac:dyDescent="0.3">
      <c r="A3127" s="11"/>
      <c r="B3127" s="11"/>
      <c r="D3127" s="21"/>
      <c r="E3127" s="22"/>
      <c r="G3127" s="23"/>
      <c r="H3127" s="24"/>
      <c r="Q3127" s="2"/>
      <c r="R3127" s="2"/>
    </row>
    <row r="3128" spans="1:18" ht="15.75" customHeight="1" x14ac:dyDescent="0.3">
      <c r="A3128" s="11"/>
      <c r="B3128" s="11"/>
      <c r="D3128" s="21"/>
      <c r="E3128" s="22"/>
      <c r="G3128" s="23"/>
      <c r="H3128" s="24"/>
      <c r="Q3128" s="2"/>
      <c r="R3128" s="2"/>
    </row>
    <row r="3129" spans="1:18" ht="15.75" customHeight="1" x14ac:dyDescent="0.3">
      <c r="A3129" s="11"/>
      <c r="B3129" s="11"/>
      <c r="D3129" s="21"/>
      <c r="E3129" s="22"/>
      <c r="G3129" s="23"/>
      <c r="H3129" s="24"/>
      <c r="Q3129" s="2"/>
      <c r="R3129" s="2"/>
    </row>
    <row r="3130" spans="1:18" ht="15.75" customHeight="1" x14ac:dyDescent="0.3">
      <c r="A3130" s="11"/>
      <c r="B3130" s="11"/>
      <c r="D3130" s="21"/>
      <c r="E3130" s="22"/>
      <c r="G3130" s="23"/>
      <c r="H3130" s="24"/>
      <c r="Q3130" s="2"/>
      <c r="R3130" s="2"/>
    </row>
    <row r="3131" spans="1:18" ht="15.75" customHeight="1" x14ac:dyDescent="0.3">
      <c r="A3131" s="11"/>
      <c r="B3131" s="11"/>
      <c r="D3131" s="21"/>
      <c r="E3131" s="22"/>
      <c r="G3131" s="23"/>
      <c r="H3131" s="24"/>
      <c r="Q3131" s="2"/>
      <c r="R3131" s="2"/>
    </row>
    <row r="3132" spans="1:18" ht="15.75" customHeight="1" x14ac:dyDescent="0.3">
      <c r="A3132" s="11"/>
      <c r="B3132" s="11"/>
      <c r="D3132" s="21"/>
      <c r="E3132" s="22"/>
      <c r="G3132" s="23"/>
      <c r="H3132" s="24"/>
      <c r="Q3132" s="2"/>
      <c r="R3132" s="2"/>
    </row>
    <row r="3133" spans="1:18" ht="15.75" customHeight="1" x14ac:dyDescent="0.3">
      <c r="A3133" s="11"/>
      <c r="B3133" s="11"/>
      <c r="D3133" s="21"/>
      <c r="E3133" s="22"/>
      <c r="G3133" s="23"/>
      <c r="H3133" s="24"/>
      <c r="Q3133" s="2"/>
      <c r="R3133" s="2"/>
    </row>
    <row r="3134" spans="1:18" ht="15.75" customHeight="1" x14ac:dyDescent="0.3">
      <c r="A3134" s="11"/>
      <c r="B3134" s="11"/>
      <c r="D3134" s="21"/>
      <c r="E3134" s="22"/>
      <c r="G3134" s="23"/>
      <c r="H3134" s="24"/>
      <c r="Q3134" s="2"/>
      <c r="R3134" s="2"/>
    </row>
    <row r="3135" spans="1:18" ht="15.75" customHeight="1" x14ac:dyDescent="0.3">
      <c r="A3135" s="11"/>
      <c r="B3135" s="11"/>
      <c r="D3135" s="21"/>
      <c r="E3135" s="22"/>
      <c r="G3135" s="23"/>
      <c r="H3135" s="24"/>
      <c r="Q3135" s="2"/>
      <c r="R3135" s="2"/>
    </row>
    <row r="3136" spans="1:18" ht="15.75" customHeight="1" x14ac:dyDescent="0.3">
      <c r="A3136" s="11"/>
      <c r="B3136" s="11"/>
      <c r="D3136" s="21"/>
      <c r="E3136" s="22"/>
      <c r="G3136" s="23"/>
      <c r="H3136" s="24"/>
      <c r="Q3136" s="2"/>
      <c r="R3136" s="2"/>
    </row>
    <row r="3137" spans="1:18" ht="15.75" customHeight="1" x14ac:dyDescent="0.3">
      <c r="A3137" s="11"/>
      <c r="B3137" s="11"/>
      <c r="D3137" s="21"/>
      <c r="E3137" s="22"/>
      <c r="G3137" s="23"/>
      <c r="H3137" s="24"/>
      <c r="Q3137" s="2"/>
      <c r="R3137" s="2"/>
    </row>
    <row r="3138" spans="1:18" ht="15.75" customHeight="1" x14ac:dyDescent="0.3">
      <c r="A3138" s="11"/>
      <c r="B3138" s="11"/>
      <c r="D3138" s="21"/>
      <c r="E3138" s="22"/>
      <c r="G3138" s="23"/>
      <c r="H3138" s="24"/>
      <c r="Q3138" s="2"/>
      <c r="R3138" s="2"/>
    </row>
    <row r="3139" spans="1:18" ht="15.75" customHeight="1" x14ac:dyDescent="0.3">
      <c r="A3139" s="11"/>
      <c r="B3139" s="11"/>
      <c r="D3139" s="21"/>
      <c r="E3139" s="22"/>
      <c r="G3139" s="23"/>
      <c r="H3139" s="24"/>
      <c r="Q3139" s="2"/>
      <c r="R3139" s="2"/>
    </row>
    <row r="3140" spans="1:18" ht="15.75" customHeight="1" x14ac:dyDescent="0.3">
      <c r="A3140" s="11"/>
      <c r="B3140" s="11"/>
      <c r="D3140" s="21"/>
      <c r="E3140" s="22"/>
      <c r="G3140" s="23"/>
      <c r="H3140" s="24"/>
      <c r="Q3140" s="2"/>
      <c r="R3140" s="2"/>
    </row>
    <row r="3141" spans="1:18" ht="15.75" customHeight="1" x14ac:dyDescent="0.3">
      <c r="A3141" s="11"/>
      <c r="B3141" s="11"/>
      <c r="D3141" s="21"/>
      <c r="E3141" s="22"/>
      <c r="G3141" s="23"/>
      <c r="H3141" s="24"/>
      <c r="Q3141" s="2"/>
      <c r="R3141" s="2"/>
    </row>
    <row r="3142" spans="1:18" ht="15.75" customHeight="1" x14ac:dyDescent="0.3">
      <c r="A3142" s="11"/>
      <c r="B3142" s="11"/>
      <c r="D3142" s="21"/>
      <c r="E3142" s="22"/>
      <c r="G3142" s="23"/>
      <c r="H3142" s="24"/>
      <c r="Q3142" s="2"/>
      <c r="R3142" s="2"/>
    </row>
    <row r="3143" spans="1:18" ht="15.75" customHeight="1" x14ac:dyDescent="0.3">
      <c r="A3143" s="11"/>
      <c r="B3143" s="11"/>
      <c r="D3143" s="21"/>
      <c r="E3143" s="22"/>
      <c r="G3143" s="23"/>
      <c r="H3143" s="24"/>
      <c r="Q3143" s="2"/>
      <c r="R3143" s="2"/>
    </row>
    <row r="3144" spans="1:18" ht="15.75" customHeight="1" x14ac:dyDescent="0.3">
      <c r="A3144" s="11"/>
      <c r="B3144" s="11"/>
      <c r="D3144" s="21"/>
      <c r="E3144" s="22"/>
      <c r="G3144" s="23"/>
      <c r="H3144" s="24"/>
      <c r="Q3144" s="2"/>
      <c r="R3144" s="2"/>
    </row>
    <row r="3145" spans="1:18" ht="15.75" customHeight="1" x14ac:dyDescent="0.3">
      <c r="A3145" s="11"/>
      <c r="B3145" s="11"/>
      <c r="D3145" s="21"/>
      <c r="E3145" s="22"/>
      <c r="G3145" s="23"/>
      <c r="H3145" s="24"/>
      <c r="Q3145" s="2"/>
      <c r="R3145" s="2"/>
    </row>
    <row r="3146" spans="1:18" ht="15.75" customHeight="1" x14ac:dyDescent="0.3">
      <c r="A3146" s="11"/>
      <c r="B3146" s="11"/>
      <c r="D3146" s="21"/>
      <c r="E3146" s="22"/>
      <c r="G3146" s="23"/>
      <c r="H3146" s="24"/>
      <c r="Q3146" s="2"/>
      <c r="R3146" s="2"/>
    </row>
    <row r="3147" spans="1:18" ht="15.75" customHeight="1" x14ac:dyDescent="0.3">
      <c r="A3147" s="11"/>
      <c r="B3147" s="11"/>
      <c r="D3147" s="21"/>
      <c r="E3147" s="22"/>
      <c r="G3147" s="23"/>
      <c r="H3147" s="24"/>
      <c r="Q3147" s="2"/>
      <c r="R3147" s="2"/>
    </row>
    <row r="3148" spans="1:18" ht="15.75" customHeight="1" x14ac:dyDescent="0.3">
      <c r="A3148" s="11"/>
      <c r="B3148" s="11"/>
      <c r="D3148" s="21"/>
      <c r="E3148" s="22"/>
      <c r="G3148" s="23"/>
      <c r="H3148" s="24"/>
      <c r="Q3148" s="2"/>
      <c r="R3148" s="2"/>
    </row>
    <row r="3149" spans="1:18" ht="15.75" customHeight="1" x14ac:dyDescent="0.3">
      <c r="A3149" s="11"/>
      <c r="B3149" s="11"/>
      <c r="D3149" s="21"/>
      <c r="E3149" s="22"/>
      <c r="G3149" s="23"/>
      <c r="H3149" s="24"/>
      <c r="Q3149" s="2"/>
      <c r="R3149" s="2"/>
    </row>
    <row r="3150" spans="1:18" ht="15.75" customHeight="1" x14ac:dyDescent="0.3">
      <c r="A3150" s="11"/>
      <c r="B3150" s="11"/>
      <c r="D3150" s="21"/>
      <c r="E3150" s="22"/>
      <c r="G3150" s="23"/>
      <c r="H3150" s="24"/>
      <c r="Q3150" s="2"/>
      <c r="R3150" s="2"/>
    </row>
    <row r="3151" spans="1:18" ht="15.75" customHeight="1" x14ac:dyDescent="0.3">
      <c r="A3151" s="11"/>
      <c r="B3151" s="11"/>
      <c r="D3151" s="21"/>
      <c r="E3151" s="22"/>
      <c r="G3151" s="23"/>
      <c r="H3151" s="24"/>
      <c r="Q3151" s="2"/>
      <c r="R3151" s="2"/>
    </row>
    <row r="3152" spans="1:18" ht="15.75" customHeight="1" x14ac:dyDescent="0.3">
      <c r="A3152" s="11"/>
      <c r="B3152" s="11"/>
      <c r="D3152" s="21"/>
      <c r="E3152" s="22"/>
      <c r="G3152" s="23"/>
      <c r="H3152" s="24"/>
      <c r="Q3152" s="2"/>
      <c r="R3152" s="2"/>
    </row>
    <row r="3153" spans="1:18" ht="15.75" customHeight="1" x14ac:dyDescent="0.3">
      <c r="A3153" s="11"/>
      <c r="B3153" s="11"/>
      <c r="D3153" s="21"/>
      <c r="E3153" s="22"/>
      <c r="G3153" s="23"/>
      <c r="H3153" s="24"/>
      <c r="Q3153" s="2"/>
      <c r="R3153" s="2"/>
    </row>
    <row r="3154" spans="1:18" ht="15.75" customHeight="1" x14ac:dyDescent="0.3">
      <c r="A3154" s="11"/>
      <c r="B3154" s="11"/>
      <c r="D3154" s="21"/>
      <c r="E3154" s="22"/>
      <c r="G3154" s="23"/>
      <c r="H3154" s="24"/>
      <c r="Q3154" s="2"/>
      <c r="R3154" s="2"/>
    </row>
    <row r="3155" spans="1:18" ht="15.75" customHeight="1" x14ac:dyDescent="0.3">
      <c r="A3155" s="11"/>
      <c r="B3155" s="11"/>
      <c r="D3155" s="21"/>
      <c r="E3155" s="22"/>
      <c r="G3155" s="23"/>
      <c r="H3155" s="24"/>
      <c r="Q3155" s="2"/>
      <c r="R3155" s="2"/>
    </row>
    <row r="3156" spans="1:18" ht="15.75" customHeight="1" x14ac:dyDescent="0.3">
      <c r="A3156" s="11"/>
      <c r="B3156" s="11"/>
      <c r="D3156" s="21"/>
      <c r="E3156" s="22"/>
      <c r="G3156" s="23"/>
      <c r="H3156" s="24"/>
      <c r="Q3156" s="2"/>
      <c r="R3156" s="2"/>
    </row>
    <row r="3157" spans="1:18" ht="15.75" customHeight="1" x14ac:dyDescent="0.3">
      <c r="A3157" s="11"/>
      <c r="B3157" s="11"/>
      <c r="D3157" s="21"/>
      <c r="E3157" s="22"/>
      <c r="G3157" s="23"/>
      <c r="H3157" s="24"/>
      <c r="Q3157" s="2"/>
      <c r="R3157" s="2"/>
    </row>
    <row r="3158" spans="1:18" ht="15.75" customHeight="1" x14ac:dyDescent="0.3">
      <c r="A3158" s="11"/>
      <c r="B3158" s="11"/>
      <c r="D3158" s="21"/>
      <c r="E3158" s="22"/>
      <c r="G3158" s="23"/>
      <c r="H3158" s="24"/>
      <c r="Q3158" s="2"/>
      <c r="R3158" s="2"/>
    </row>
    <row r="3159" spans="1:18" ht="15.75" customHeight="1" x14ac:dyDescent="0.3">
      <c r="A3159" s="11"/>
      <c r="B3159" s="11"/>
      <c r="D3159" s="21"/>
      <c r="E3159" s="22"/>
      <c r="G3159" s="23"/>
      <c r="H3159" s="24"/>
      <c r="Q3159" s="2"/>
      <c r="R3159" s="2"/>
    </row>
    <row r="3160" spans="1:18" ht="15.75" customHeight="1" x14ac:dyDescent="0.3">
      <c r="A3160" s="11"/>
      <c r="B3160" s="11"/>
      <c r="D3160" s="21"/>
      <c r="E3160" s="22"/>
      <c r="G3160" s="23"/>
      <c r="H3160" s="24"/>
      <c r="Q3160" s="2"/>
      <c r="R3160" s="2"/>
    </row>
    <row r="3161" spans="1:18" ht="15.75" customHeight="1" x14ac:dyDescent="0.3">
      <c r="A3161" s="11"/>
      <c r="B3161" s="11"/>
      <c r="D3161" s="21"/>
      <c r="E3161" s="22"/>
      <c r="G3161" s="23"/>
      <c r="H3161" s="24"/>
      <c r="Q3161" s="2"/>
      <c r="R3161" s="2"/>
    </row>
    <row r="3162" spans="1:18" ht="15.75" customHeight="1" x14ac:dyDescent="0.3">
      <c r="A3162" s="11"/>
      <c r="B3162" s="11"/>
      <c r="D3162" s="21"/>
      <c r="E3162" s="22"/>
      <c r="G3162" s="23"/>
      <c r="H3162" s="24"/>
      <c r="Q3162" s="2"/>
      <c r="R3162" s="2"/>
    </row>
    <row r="3163" spans="1:18" ht="15.75" customHeight="1" x14ac:dyDescent="0.3">
      <c r="A3163" s="11"/>
      <c r="B3163" s="11"/>
      <c r="D3163" s="21"/>
      <c r="E3163" s="22"/>
      <c r="G3163" s="23"/>
      <c r="H3163" s="24"/>
      <c r="Q3163" s="2"/>
      <c r="R3163" s="2"/>
    </row>
    <row r="3164" spans="1:18" ht="15.75" customHeight="1" x14ac:dyDescent="0.3">
      <c r="A3164" s="11"/>
      <c r="B3164" s="11"/>
      <c r="D3164" s="21"/>
      <c r="E3164" s="22"/>
      <c r="G3164" s="23"/>
      <c r="H3164" s="24"/>
      <c r="Q3164" s="2"/>
      <c r="R3164" s="2"/>
    </row>
    <row r="3165" spans="1:18" ht="15.75" customHeight="1" x14ac:dyDescent="0.3">
      <c r="A3165" s="11"/>
      <c r="B3165" s="11"/>
      <c r="D3165" s="21"/>
      <c r="E3165" s="22"/>
      <c r="G3165" s="23"/>
      <c r="H3165" s="24"/>
      <c r="Q3165" s="2"/>
      <c r="R3165" s="2"/>
    </row>
    <row r="3166" spans="1:18" ht="15.75" customHeight="1" x14ac:dyDescent="0.3">
      <c r="A3166" s="11"/>
      <c r="B3166" s="11"/>
      <c r="D3166" s="21"/>
      <c r="E3166" s="22"/>
      <c r="G3166" s="23"/>
      <c r="H3166" s="24"/>
      <c r="Q3166" s="2"/>
      <c r="R3166" s="2"/>
    </row>
    <row r="3167" spans="1:18" ht="15.75" customHeight="1" x14ac:dyDescent="0.3">
      <c r="A3167" s="11"/>
      <c r="B3167" s="11"/>
      <c r="D3167" s="21"/>
      <c r="E3167" s="22"/>
      <c r="G3167" s="23"/>
      <c r="H3167" s="24"/>
      <c r="Q3167" s="2"/>
      <c r="R3167" s="2"/>
    </row>
    <row r="3168" spans="1:18" ht="15.75" customHeight="1" x14ac:dyDescent="0.3">
      <c r="A3168" s="11"/>
      <c r="B3168" s="11"/>
      <c r="D3168" s="21"/>
      <c r="E3168" s="22"/>
      <c r="G3168" s="23"/>
      <c r="H3168" s="24"/>
      <c r="Q3168" s="2"/>
      <c r="R3168" s="2"/>
    </row>
    <row r="3169" spans="1:18" ht="15.75" customHeight="1" x14ac:dyDescent="0.3">
      <c r="A3169" s="11"/>
      <c r="B3169" s="11"/>
      <c r="D3169" s="21"/>
      <c r="E3169" s="22"/>
      <c r="G3169" s="23"/>
      <c r="H3169" s="24"/>
      <c r="Q3169" s="2"/>
      <c r="R3169" s="2"/>
    </row>
    <row r="3170" spans="1:18" ht="15.75" customHeight="1" x14ac:dyDescent="0.3">
      <c r="A3170" s="11"/>
      <c r="B3170" s="11"/>
      <c r="D3170" s="21"/>
      <c r="E3170" s="22"/>
      <c r="G3170" s="23"/>
      <c r="H3170" s="24"/>
      <c r="Q3170" s="2"/>
      <c r="R3170" s="2"/>
    </row>
    <row r="3171" spans="1:18" ht="15.75" customHeight="1" x14ac:dyDescent="0.3">
      <c r="A3171" s="11"/>
      <c r="B3171" s="11"/>
      <c r="D3171" s="21"/>
      <c r="E3171" s="22"/>
      <c r="G3171" s="23"/>
      <c r="H3171" s="24"/>
      <c r="Q3171" s="2"/>
      <c r="R3171" s="2"/>
    </row>
    <row r="3172" spans="1:18" ht="15.75" customHeight="1" x14ac:dyDescent="0.3">
      <c r="A3172" s="11"/>
      <c r="B3172" s="11"/>
      <c r="D3172" s="21"/>
      <c r="E3172" s="22"/>
      <c r="G3172" s="23"/>
      <c r="H3172" s="24"/>
      <c r="Q3172" s="2"/>
      <c r="R3172" s="2"/>
    </row>
    <row r="3173" spans="1:18" ht="15.75" customHeight="1" x14ac:dyDescent="0.3">
      <c r="A3173" s="11"/>
      <c r="B3173" s="11"/>
      <c r="D3173" s="21"/>
      <c r="E3173" s="22"/>
      <c r="G3173" s="23"/>
      <c r="H3173" s="24"/>
      <c r="Q3173" s="2"/>
      <c r="R3173" s="2"/>
    </row>
    <row r="3174" spans="1:18" ht="15.75" customHeight="1" x14ac:dyDescent="0.3">
      <c r="A3174" s="11"/>
      <c r="B3174" s="11"/>
      <c r="D3174" s="21"/>
      <c r="E3174" s="22"/>
      <c r="G3174" s="23"/>
      <c r="H3174" s="24"/>
      <c r="Q3174" s="2"/>
      <c r="R3174" s="2"/>
    </row>
    <row r="3175" spans="1:18" ht="15.75" customHeight="1" x14ac:dyDescent="0.3">
      <c r="A3175" s="11"/>
      <c r="B3175" s="11"/>
      <c r="D3175" s="21"/>
      <c r="E3175" s="22"/>
      <c r="G3175" s="23"/>
      <c r="H3175" s="24"/>
      <c r="Q3175" s="2"/>
      <c r="R3175" s="2"/>
    </row>
    <row r="3176" spans="1:18" ht="15.75" customHeight="1" x14ac:dyDescent="0.3">
      <c r="A3176" s="11"/>
      <c r="B3176" s="11"/>
      <c r="D3176" s="21"/>
      <c r="E3176" s="22"/>
      <c r="G3176" s="23"/>
      <c r="H3176" s="24"/>
      <c r="Q3176" s="2"/>
      <c r="R3176" s="2"/>
    </row>
    <row r="3177" spans="1:18" ht="15.75" customHeight="1" x14ac:dyDescent="0.3">
      <c r="A3177" s="11"/>
      <c r="B3177" s="11"/>
      <c r="D3177" s="21"/>
      <c r="E3177" s="22"/>
      <c r="G3177" s="23"/>
      <c r="H3177" s="24"/>
      <c r="Q3177" s="2"/>
      <c r="R3177" s="2"/>
    </row>
    <row r="3178" spans="1:18" ht="15.75" customHeight="1" x14ac:dyDescent="0.3">
      <c r="A3178" s="11"/>
      <c r="B3178" s="11"/>
      <c r="D3178" s="21"/>
      <c r="E3178" s="22"/>
      <c r="G3178" s="23"/>
      <c r="H3178" s="24"/>
      <c r="Q3178" s="2"/>
      <c r="R3178" s="2"/>
    </row>
    <row r="3179" spans="1:18" ht="15.75" customHeight="1" x14ac:dyDescent="0.3">
      <c r="A3179" s="11"/>
      <c r="B3179" s="11"/>
      <c r="D3179" s="21"/>
      <c r="E3179" s="22"/>
      <c r="G3179" s="23"/>
      <c r="H3179" s="24"/>
      <c r="Q3179" s="2"/>
      <c r="R3179" s="2"/>
    </row>
    <row r="3180" spans="1:18" ht="15.75" customHeight="1" x14ac:dyDescent="0.3">
      <c r="A3180" s="11"/>
      <c r="B3180" s="11"/>
      <c r="D3180" s="21"/>
      <c r="E3180" s="22"/>
      <c r="G3180" s="23"/>
      <c r="H3180" s="24"/>
      <c r="Q3180" s="2"/>
      <c r="R3180" s="2"/>
    </row>
    <row r="3181" spans="1:18" ht="15.75" customHeight="1" x14ac:dyDescent="0.3">
      <c r="A3181" s="11"/>
      <c r="B3181" s="11"/>
      <c r="D3181" s="21"/>
      <c r="E3181" s="22"/>
      <c r="G3181" s="23"/>
      <c r="H3181" s="24"/>
      <c r="Q3181" s="2"/>
      <c r="R3181" s="2"/>
    </row>
    <row r="3182" spans="1:18" ht="15.75" customHeight="1" x14ac:dyDescent="0.3">
      <c r="A3182" s="11"/>
      <c r="B3182" s="11"/>
      <c r="D3182" s="21"/>
      <c r="E3182" s="22"/>
      <c r="G3182" s="23"/>
      <c r="H3182" s="24"/>
      <c r="Q3182" s="2"/>
      <c r="R3182" s="2"/>
    </row>
    <row r="3183" spans="1:18" ht="15.75" customHeight="1" x14ac:dyDescent="0.3">
      <c r="A3183" s="11"/>
      <c r="B3183" s="11"/>
      <c r="D3183" s="21"/>
      <c r="E3183" s="22"/>
      <c r="G3183" s="23"/>
      <c r="H3183" s="24"/>
      <c r="Q3183" s="2"/>
      <c r="R3183" s="2"/>
    </row>
    <row r="3184" spans="1:18" ht="15.75" customHeight="1" x14ac:dyDescent="0.3">
      <c r="A3184" s="11"/>
      <c r="B3184" s="11"/>
      <c r="D3184" s="21"/>
      <c r="E3184" s="22"/>
      <c r="G3184" s="23"/>
      <c r="H3184" s="24"/>
      <c r="Q3184" s="2"/>
      <c r="R3184" s="2"/>
    </row>
    <row r="3185" spans="1:18" ht="15.75" customHeight="1" x14ac:dyDescent="0.3">
      <c r="A3185" s="11"/>
      <c r="B3185" s="11"/>
      <c r="D3185" s="21"/>
      <c r="E3185" s="22"/>
      <c r="G3185" s="23"/>
      <c r="H3185" s="24"/>
      <c r="Q3185" s="2"/>
      <c r="R3185" s="2"/>
    </row>
    <row r="3186" spans="1:18" ht="15.75" customHeight="1" x14ac:dyDescent="0.3">
      <c r="A3186" s="11"/>
      <c r="B3186" s="11"/>
      <c r="D3186" s="21"/>
      <c r="E3186" s="22"/>
      <c r="G3186" s="23"/>
      <c r="H3186" s="24"/>
      <c r="Q3186" s="2"/>
      <c r="R3186" s="2"/>
    </row>
    <row r="3187" spans="1:18" ht="15.75" customHeight="1" x14ac:dyDescent="0.3">
      <c r="A3187" s="11"/>
      <c r="B3187" s="11"/>
      <c r="D3187" s="21"/>
      <c r="E3187" s="22"/>
      <c r="G3187" s="23"/>
      <c r="H3187" s="24"/>
      <c r="Q3187" s="2"/>
      <c r="R3187" s="2"/>
    </row>
    <row r="3188" spans="1:18" ht="15.75" customHeight="1" x14ac:dyDescent="0.3">
      <c r="A3188" s="11"/>
      <c r="B3188" s="11"/>
      <c r="D3188" s="21"/>
      <c r="E3188" s="22"/>
      <c r="G3188" s="23"/>
      <c r="H3188" s="24"/>
      <c r="Q3188" s="2"/>
      <c r="R3188" s="2"/>
    </row>
    <row r="3189" spans="1:18" ht="15.75" customHeight="1" x14ac:dyDescent="0.3">
      <c r="A3189" s="11"/>
      <c r="B3189" s="11"/>
      <c r="D3189" s="21"/>
      <c r="E3189" s="22"/>
      <c r="G3189" s="23"/>
      <c r="H3189" s="24"/>
      <c r="Q3189" s="2"/>
      <c r="R3189" s="2"/>
    </row>
    <row r="3190" spans="1:18" ht="15.75" customHeight="1" x14ac:dyDescent="0.3">
      <c r="A3190" s="11"/>
      <c r="B3190" s="11"/>
      <c r="D3190" s="21"/>
      <c r="E3190" s="22"/>
      <c r="G3190" s="23"/>
      <c r="H3190" s="24"/>
      <c r="Q3190" s="2"/>
      <c r="R3190" s="2"/>
    </row>
    <row r="3191" spans="1:18" ht="15.75" customHeight="1" x14ac:dyDescent="0.3">
      <c r="A3191" s="11"/>
      <c r="B3191" s="11"/>
      <c r="D3191" s="21"/>
      <c r="E3191" s="22"/>
      <c r="G3191" s="23"/>
      <c r="H3191" s="24"/>
      <c r="Q3191" s="2"/>
      <c r="R3191" s="2"/>
    </row>
    <row r="3192" spans="1:18" ht="15.75" customHeight="1" x14ac:dyDescent="0.3">
      <c r="A3192" s="11"/>
      <c r="B3192" s="11"/>
      <c r="D3192" s="21"/>
      <c r="E3192" s="22"/>
      <c r="G3192" s="23"/>
      <c r="H3192" s="24"/>
      <c r="Q3192" s="2"/>
      <c r="R3192" s="2"/>
    </row>
    <row r="3193" spans="1:18" ht="15.75" customHeight="1" x14ac:dyDescent="0.3">
      <c r="A3193" s="11"/>
      <c r="B3193" s="11"/>
      <c r="D3193" s="21"/>
      <c r="E3193" s="22"/>
      <c r="G3193" s="23"/>
      <c r="H3193" s="24"/>
      <c r="Q3193" s="2"/>
      <c r="R3193" s="2"/>
    </row>
    <row r="3194" spans="1:18" ht="15.75" customHeight="1" x14ac:dyDescent="0.3">
      <c r="A3194" s="11"/>
      <c r="B3194" s="11"/>
      <c r="D3194" s="21"/>
      <c r="E3194" s="22"/>
      <c r="G3194" s="23"/>
      <c r="H3194" s="24"/>
      <c r="Q3194" s="2"/>
      <c r="R3194" s="2"/>
    </row>
    <row r="3195" spans="1:18" ht="15.75" customHeight="1" x14ac:dyDescent="0.3">
      <c r="A3195" s="11"/>
      <c r="B3195" s="11"/>
      <c r="D3195" s="21"/>
      <c r="E3195" s="22"/>
      <c r="G3195" s="23"/>
      <c r="H3195" s="24"/>
      <c r="Q3195" s="2"/>
      <c r="R3195" s="2"/>
    </row>
    <row r="3196" spans="1:18" ht="15.75" customHeight="1" x14ac:dyDescent="0.3">
      <c r="A3196" s="11"/>
      <c r="B3196" s="11"/>
      <c r="D3196" s="21"/>
      <c r="E3196" s="22"/>
      <c r="G3196" s="23"/>
      <c r="H3196" s="24"/>
      <c r="Q3196" s="2"/>
      <c r="R3196" s="2"/>
    </row>
    <row r="3197" spans="1:18" ht="15.75" customHeight="1" x14ac:dyDescent="0.3">
      <c r="A3197" s="11"/>
      <c r="B3197" s="11"/>
      <c r="D3197" s="21"/>
      <c r="E3197" s="22"/>
      <c r="G3197" s="23"/>
      <c r="H3197" s="24"/>
      <c r="Q3197" s="2"/>
      <c r="R3197" s="2"/>
    </row>
    <row r="3198" spans="1:18" ht="15.75" customHeight="1" x14ac:dyDescent="0.3">
      <c r="A3198" s="11"/>
      <c r="B3198" s="11"/>
      <c r="D3198" s="21"/>
      <c r="E3198" s="22"/>
      <c r="G3198" s="23"/>
      <c r="H3198" s="24"/>
      <c r="Q3198" s="2"/>
      <c r="R3198" s="2"/>
    </row>
    <row r="3199" spans="1:18" ht="15.75" customHeight="1" x14ac:dyDescent="0.3">
      <c r="A3199" s="11"/>
      <c r="B3199" s="11"/>
      <c r="D3199" s="21"/>
      <c r="E3199" s="22"/>
      <c r="G3199" s="23"/>
      <c r="H3199" s="24"/>
      <c r="Q3199" s="2"/>
      <c r="R3199" s="2"/>
    </row>
    <row r="3200" spans="1:18" ht="15.75" customHeight="1" x14ac:dyDescent="0.3">
      <c r="A3200" s="11"/>
      <c r="B3200" s="11"/>
      <c r="D3200" s="21"/>
      <c r="E3200" s="22"/>
      <c r="G3200" s="23"/>
      <c r="H3200" s="24"/>
      <c r="Q3200" s="2"/>
      <c r="R3200" s="2"/>
    </row>
    <row r="3201" spans="1:18" ht="15.75" customHeight="1" x14ac:dyDescent="0.3">
      <c r="A3201" s="11"/>
      <c r="B3201" s="11"/>
      <c r="D3201" s="21"/>
      <c r="E3201" s="22"/>
      <c r="G3201" s="23"/>
      <c r="H3201" s="24"/>
      <c r="Q3201" s="2"/>
      <c r="R3201" s="2"/>
    </row>
    <row r="3202" spans="1:18" ht="15.75" customHeight="1" x14ac:dyDescent="0.3">
      <c r="A3202" s="11"/>
      <c r="B3202" s="11"/>
      <c r="D3202" s="21"/>
      <c r="E3202" s="22"/>
      <c r="G3202" s="23"/>
      <c r="H3202" s="24"/>
      <c r="Q3202" s="2"/>
      <c r="R3202" s="2"/>
    </row>
    <row r="3203" spans="1:18" ht="15.75" customHeight="1" x14ac:dyDescent="0.3">
      <c r="A3203" s="11"/>
      <c r="B3203" s="11"/>
      <c r="D3203" s="21"/>
      <c r="E3203" s="22"/>
      <c r="G3203" s="23"/>
      <c r="H3203" s="24"/>
      <c r="Q3203" s="2"/>
      <c r="R3203" s="2"/>
    </row>
    <row r="3204" spans="1:18" ht="15.75" customHeight="1" x14ac:dyDescent="0.3">
      <c r="A3204" s="11"/>
      <c r="B3204" s="11"/>
      <c r="D3204" s="21"/>
      <c r="E3204" s="22"/>
      <c r="G3204" s="23"/>
      <c r="H3204" s="24"/>
      <c r="Q3204" s="2"/>
      <c r="R3204" s="2"/>
    </row>
    <row r="3205" spans="1:18" ht="15.75" customHeight="1" x14ac:dyDescent="0.3">
      <c r="A3205" s="11"/>
      <c r="B3205" s="11"/>
      <c r="D3205" s="21"/>
      <c r="E3205" s="22"/>
      <c r="G3205" s="23"/>
      <c r="H3205" s="24"/>
      <c r="Q3205" s="2"/>
      <c r="R3205" s="2"/>
    </row>
    <row r="3206" spans="1:18" ht="15.75" customHeight="1" x14ac:dyDescent="0.3">
      <c r="A3206" s="11"/>
      <c r="B3206" s="11"/>
      <c r="D3206" s="21"/>
      <c r="E3206" s="22"/>
      <c r="G3206" s="23"/>
      <c r="H3206" s="24"/>
      <c r="Q3206" s="2"/>
      <c r="R3206" s="2"/>
    </row>
    <row r="3207" spans="1:18" ht="15.75" customHeight="1" x14ac:dyDescent="0.3">
      <c r="A3207" s="11"/>
      <c r="B3207" s="11"/>
      <c r="D3207" s="21"/>
      <c r="E3207" s="22"/>
      <c r="G3207" s="23"/>
      <c r="H3207" s="24"/>
      <c r="Q3207" s="2"/>
      <c r="R3207" s="2"/>
    </row>
    <row r="3208" spans="1:18" ht="15.75" customHeight="1" x14ac:dyDescent="0.3">
      <c r="A3208" s="11"/>
      <c r="B3208" s="11"/>
      <c r="D3208" s="21"/>
      <c r="E3208" s="22"/>
      <c r="G3208" s="23"/>
      <c r="H3208" s="24"/>
      <c r="Q3208" s="2"/>
      <c r="R3208" s="2"/>
    </row>
    <row r="3209" spans="1:18" ht="15.75" customHeight="1" x14ac:dyDescent="0.3">
      <c r="A3209" s="11"/>
      <c r="B3209" s="11"/>
      <c r="D3209" s="21"/>
      <c r="E3209" s="22"/>
      <c r="G3209" s="23"/>
      <c r="H3209" s="24"/>
      <c r="Q3209" s="2"/>
      <c r="R3209" s="2"/>
    </row>
    <row r="3210" spans="1:18" ht="15.75" customHeight="1" x14ac:dyDescent="0.3">
      <c r="A3210" s="11"/>
      <c r="B3210" s="11"/>
      <c r="D3210" s="21"/>
      <c r="E3210" s="22"/>
      <c r="G3210" s="23"/>
      <c r="H3210" s="24"/>
      <c r="Q3210" s="2"/>
      <c r="R3210" s="2"/>
    </row>
    <row r="3211" spans="1:18" ht="15.75" customHeight="1" x14ac:dyDescent="0.3">
      <c r="A3211" s="11"/>
      <c r="B3211" s="11"/>
      <c r="D3211" s="21"/>
      <c r="E3211" s="22"/>
      <c r="G3211" s="23"/>
      <c r="H3211" s="24"/>
      <c r="Q3211" s="2"/>
      <c r="R3211" s="2"/>
    </row>
    <row r="3212" spans="1:18" ht="15.75" customHeight="1" x14ac:dyDescent="0.3">
      <c r="A3212" s="11"/>
      <c r="B3212" s="11"/>
      <c r="D3212" s="21"/>
      <c r="E3212" s="22"/>
      <c r="G3212" s="23"/>
      <c r="H3212" s="24"/>
      <c r="Q3212" s="2"/>
      <c r="R3212" s="2"/>
    </row>
    <row r="3213" spans="1:18" ht="15.75" customHeight="1" x14ac:dyDescent="0.3">
      <c r="A3213" s="11"/>
      <c r="B3213" s="11"/>
      <c r="D3213" s="21"/>
      <c r="E3213" s="22"/>
      <c r="G3213" s="23"/>
      <c r="H3213" s="24"/>
      <c r="Q3213" s="2"/>
      <c r="R3213" s="2"/>
    </row>
    <row r="3214" spans="1:18" ht="15.75" customHeight="1" x14ac:dyDescent="0.3">
      <c r="A3214" s="11"/>
      <c r="B3214" s="11"/>
      <c r="D3214" s="21"/>
      <c r="E3214" s="22"/>
      <c r="G3214" s="23"/>
      <c r="H3214" s="24"/>
      <c r="Q3214" s="2"/>
      <c r="R3214" s="2"/>
    </row>
    <row r="3215" spans="1:18" ht="15.75" customHeight="1" x14ac:dyDescent="0.3">
      <c r="A3215" s="11"/>
      <c r="B3215" s="11"/>
      <c r="D3215" s="21"/>
      <c r="E3215" s="22"/>
      <c r="G3215" s="23"/>
      <c r="H3215" s="24"/>
      <c r="Q3215" s="2"/>
      <c r="R3215" s="2"/>
    </row>
    <row r="3216" spans="1:18" ht="15.75" customHeight="1" x14ac:dyDescent="0.3">
      <c r="A3216" s="11"/>
      <c r="B3216" s="11"/>
      <c r="D3216" s="21"/>
      <c r="E3216" s="22"/>
      <c r="G3216" s="23"/>
      <c r="H3216" s="24"/>
      <c r="Q3216" s="2"/>
      <c r="R3216" s="2"/>
    </row>
    <row r="3217" spans="1:18" ht="15.75" customHeight="1" x14ac:dyDescent="0.3">
      <c r="A3217" s="11"/>
      <c r="B3217" s="11"/>
      <c r="D3217" s="21"/>
      <c r="E3217" s="22"/>
      <c r="G3217" s="23"/>
      <c r="H3217" s="24"/>
      <c r="Q3217" s="2"/>
      <c r="R3217" s="2"/>
    </row>
    <row r="3218" spans="1:18" ht="15.75" customHeight="1" x14ac:dyDescent="0.3">
      <c r="A3218" s="11"/>
      <c r="B3218" s="11"/>
      <c r="D3218" s="21"/>
      <c r="E3218" s="22"/>
      <c r="G3218" s="23"/>
      <c r="H3218" s="24"/>
      <c r="Q3218" s="2"/>
      <c r="R3218" s="2"/>
    </row>
    <row r="3219" spans="1:18" ht="15.75" customHeight="1" x14ac:dyDescent="0.3">
      <c r="A3219" s="11"/>
      <c r="B3219" s="11"/>
      <c r="D3219" s="21"/>
      <c r="E3219" s="22"/>
      <c r="G3219" s="23"/>
      <c r="H3219" s="24"/>
      <c r="Q3219" s="2"/>
      <c r="R3219" s="2"/>
    </row>
    <row r="3220" spans="1:18" ht="15.75" customHeight="1" x14ac:dyDescent="0.3">
      <c r="A3220" s="11"/>
      <c r="B3220" s="11"/>
      <c r="D3220" s="21"/>
      <c r="E3220" s="22"/>
      <c r="G3220" s="23"/>
      <c r="H3220" s="24"/>
      <c r="Q3220" s="2"/>
      <c r="R3220" s="2"/>
    </row>
    <row r="3221" spans="1:18" ht="15.75" customHeight="1" x14ac:dyDescent="0.3">
      <c r="A3221" s="11"/>
      <c r="B3221" s="11"/>
      <c r="D3221" s="21"/>
      <c r="E3221" s="22"/>
      <c r="G3221" s="23"/>
      <c r="H3221" s="24"/>
      <c r="Q3221" s="2"/>
      <c r="R3221" s="2"/>
    </row>
    <row r="3222" spans="1:18" ht="15.75" customHeight="1" x14ac:dyDescent="0.3">
      <c r="A3222" s="11"/>
      <c r="B3222" s="11"/>
      <c r="D3222" s="21"/>
      <c r="E3222" s="22"/>
      <c r="G3222" s="23"/>
      <c r="H3222" s="24"/>
      <c r="Q3222" s="2"/>
      <c r="R3222" s="2"/>
    </row>
    <row r="3223" spans="1:18" ht="15.75" customHeight="1" x14ac:dyDescent="0.3">
      <c r="A3223" s="11"/>
      <c r="B3223" s="11"/>
      <c r="D3223" s="21"/>
      <c r="E3223" s="22"/>
      <c r="G3223" s="23"/>
      <c r="H3223" s="24"/>
      <c r="Q3223" s="2"/>
      <c r="R3223" s="2"/>
    </row>
    <row r="3224" spans="1:18" ht="15.75" customHeight="1" x14ac:dyDescent="0.3">
      <c r="A3224" s="11"/>
      <c r="B3224" s="11"/>
      <c r="D3224" s="21"/>
      <c r="E3224" s="22"/>
      <c r="G3224" s="23"/>
      <c r="H3224" s="24"/>
      <c r="Q3224" s="2"/>
      <c r="R3224" s="2"/>
    </row>
    <row r="3225" spans="1:18" ht="15.75" customHeight="1" x14ac:dyDescent="0.3">
      <c r="A3225" s="11"/>
      <c r="B3225" s="11"/>
      <c r="D3225" s="21"/>
      <c r="E3225" s="22"/>
      <c r="G3225" s="23"/>
      <c r="H3225" s="24"/>
      <c r="Q3225" s="2"/>
      <c r="R3225" s="2"/>
    </row>
    <row r="3226" spans="1:18" ht="15.75" customHeight="1" x14ac:dyDescent="0.3">
      <c r="A3226" s="11"/>
      <c r="B3226" s="11"/>
      <c r="D3226" s="21"/>
      <c r="E3226" s="22"/>
      <c r="G3226" s="23"/>
      <c r="H3226" s="24"/>
      <c r="Q3226" s="2"/>
      <c r="R3226" s="2"/>
    </row>
    <row r="3227" spans="1:18" ht="15.75" customHeight="1" x14ac:dyDescent="0.3">
      <c r="A3227" s="11"/>
      <c r="B3227" s="11"/>
      <c r="D3227" s="21"/>
      <c r="E3227" s="22"/>
      <c r="G3227" s="23"/>
      <c r="H3227" s="24"/>
      <c r="Q3227" s="2"/>
      <c r="R3227" s="2"/>
    </row>
    <row r="3228" spans="1:18" ht="15.75" customHeight="1" x14ac:dyDescent="0.3">
      <c r="A3228" s="11"/>
      <c r="B3228" s="11"/>
      <c r="D3228" s="21"/>
      <c r="E3228" s="22"/>
      <c r="G3228" s="23"/>
      <c r="H3228" s="24"/>
      <c r="Q3228" s="2"/>
      <c r="R3228" s="2"/>
    </row>
    <row r="3229" spans="1:18" ht="15.75" customHeight="1" x14ac:dyDescent="0.3">
      <c r="A3229" s="11"/>
      <c r="B3229" s="11"/>
      <c r="D3229" s="21"/>
      <c r="E3229" s="22"/>
      <c r="G3229" s="23"/>
      <c r="H3229" s="24"/>
      <c r="Q3229" s="2"/>
      <c r="R3229" s="2"/>
    </row>
    <row r="3230" spans="1:18" ht="15.75" customHeight="1" x14ac:dyDescent="0.3">
      <c r="A3230" s="11"/>
      <c r="B3230" s="11"/>
      <c r="D3230" s="21"/>
      <c r="E3230" s="22"/>
      <c r="G3230" s="23"/>
      <c r="H3230" s="24"/>
      <c r="Q3230" s="2"/>
      <c r="R3230" s="2"/>
    </row>
    <row r="3231" spans="1:18" ht="15.75" customHeight="1" x14ac:dyDescent="0.3">
      <c r="A3231" s="11"/>
      <c r="B3231" s="11"/>
      <c r="D3231" s="21"/>
      <c r="E3231" s="22"/>
      <c r="G3231" s="23"/>
      <c r="H3231" s="24"/>
      <c r="Q3231" s="2"/>
      <c r="R3231" s="2"/>
    </row>
    <row r="3232" spans="1:18" ht="15.75" customHeight="1" x14ac:dyDescent="0.3">
      <c r="A3232" s="11"/>
      <c r="B3232" s="11"/>
      <c r="D3232" s="21"/>
      <c r="E3232" s="22"/>
      <c r="G3232" s="23"/>
      <c r="H3232" s="24"/>
      <c r="Q3232" s="2"/>
      <c r="R3232" s="2"/>
    </row>
    <row r="3233" spans="1:18" ht="15.75" customHeight="1" x14ac:dyDescent="0.3">
      <c r="A3233" s="11"/>
      <c r="B3233" s="11"/>
      <c r="D3233" s="21"/>
      <c r="E3233" s="22"/>
      <c r="G3233" s="23"/>
      <c r="H3233" s="24"/>
      <c r="Q3233" s="2"/>
      <c r="R3233" s="2"/>
    </row>
    <row r="3234" spans="1:18" ht="15.75" customHeight="1" x14ac:dyDescent="0.3">
      <c r="A3234" s="11"/>
      <c r="B3234" s="11"/>
      <c r="D3234" s="21"/>
      <c r="E3234" s="22"/>
      <c r="G3234" s="23"/>
      <c r="H3234" s="24"/>
      <c r="Q3234" s="2"/>
      <c r="R3234" s="2"/>
    </row>
    <row r="3235" spans="1:18" ht="15.75" customHeight="1" x14ac:dyDescent="0.3">
      <c r="A3235" s="11"/>
      <c r="B3235" s="11"/>
      <c r="D3235" s="21"/>
      <c r="E3235" s="22"/>
      <c r="G3235" s="23"/>
      <c r="H3235" s="24"/>
      <c r="Q3235" s="2"/>
      <c r="R3235" s="2"/>
    </row>
    <row r="3236" spans="1:18" ht="15.75" customHeight="1" x14ac:dyDescent="0.3">
      <c r="A3236" s="11"/>
      <c r="B3236" s="11"/>
      <c r="D3236" s="21"/>
      <c r="E3236" s="22"/>
      <c r="G3236" s="23"/>
      <c r="H3236" s="24"/>
      <c r="Q3236" s="2"/>
      <c r="R3236" s="2"/>
    </row>
    <row r="3237" spans="1:18" ht="15.75" customHeight="1" x14ac:dyDescent="0.3">
      <c r="A3237" s="11"/>
      <c r="B3237" s="11"/>
      <c r="D3237" s="21"/>
      <c r="E3237" s="22"/>
      <c r="G3237" s="23"/>
      <c r="H3237" s="24"/>
      <c r="Q3237" s="2"/>
      <c r="R3237" s="2"/>
    </row>
    <row r="3238" spans="1:18" ht="15.75" customHeight="1" x14ac:dyDescent="0.3">
      <c r="A3238" s="11"/>
      <c r="B3238" s="11"/>
      <c r="D3238" s="21"/>
      <c r="E3238" s="22"/>
      <c r="G3238" s="23"/>
      <c r="H3238" s="24"/>
      <c r="Q3238" s="2"/>
      <c r="R3238" s="2"/>
    </row>
    <row r="3239" spans="1:18" ht="15.75" customHeight="1" x14ac:dyDescent="0.3">
      <c r="A3239" s="11"/>
      <c r="B3239" s="11"/>
      <c r="D3239" s="21"/>
      <c r="E3239" s="22"/>
      <c r="G3239" s="23"/>
      <c r="H3239" s="24"/>
      <c r="Q3239" s="2"/>
      <c r="R3239" s="2"/>
    </row>
    <row r="3240" spans="1:18" ht="15.75" customHeight="1" x14ac:dyDescent="0.3">
      <c r="A3240" s="11"/>
      <c r="B3240" s="11"/>
      <c r="D3240" s="21"/>
      <c r="E3240" s="22"/>
      <c r="G3240" s="23"/>
      <c r="H3240" s="24"/>
      <c r="Q3240" s="2"/>
      <c r="R3240" s="2"/>
    </row>
    <row r="3241" spans="1:18" ht="15.75" customHeight="1" x14ac:dyDescent="0.3">
      <c r="A3241" s="11"/>
      <c r="B3241" s="11"/>
      <c r="D3241" s="21"/>
      <c r="E3241" s="22"/>
      <c r="G3241" s="23"/>
      <c r="H3241" s="24"/>
      <c r="Q3241" s="2"/>
      <c r="R3241" s="2"/>
    </row>
    <row r="3242" spans="1:18" ht="15.75" customHeight="1" x14ac:dyDescent="0.3">
      <c r="A3242" s="11"/>
      <c r="B3242" s="11"/>
      <c r="D3242" s="21"/>
      <c r="E3242" s="22"/>
      <c r="G3242" s="23"/>
      <c r="H3242" s="24"/>
      <c r="Q3242" s="2"/>
      <c r="R3242" s="2"/>
    </row>
    <row r="3243" spans="1:18" ht="15.75" customHeight="1" x14ac:dyDescent="0.3">
      <c r="A3243" s="11"/>
      <c r="B3243" s="11"/>
      <c r="D3243" s="21"/>
      <c r="E3243" s="22"/>
      <c r="G3243" s="23"/>
      <c r="H3243" s="24"/>
      <c r="Q3243" s="2"/>
      <c r="R3243" s="2"/>
    </row>
    <row r="3244" spans="1:18" ht="15.75" customHeight="1" x14ac:dyDescent="0.3">
      <c r="A3244" s="11"/>
      <c r="B3244" s="11"/>
      <c r="D3244" s="21"/>
      <c r="E3244" s="22"/>
      <c r="G3244" s="23"/>
      <c r="H3244" s="24"/>
      <c r="Q3244" s="2"/>
      <c r="R3244" s="2"/>
    </row>
    <row r="3245" spans="1:18" ht="15.75" customHeight="1" x14ac:dyDescent="0.3">
      <c r="A3245" s="11"/>
      <c r="B3245" s="11"/>
      <c r="D3245" s="21"/>
      <c r="E3245" s="22"/>
      <c r="G3245" s="23"/>
      <c r="H3245" s="24"/>
      <c r="Q3245" s="2"/>
      <c r="R3245" s="2"/>
    </row>
    <row r="3246" spans="1:18" ht="15.75" customHeight="1" x14ac:dyDescent="0.3">
      <c r="A3246" s="11"/>
      <c r="B3246" s="11"/>
      <c r="D3246" s="21"/>
      <c r="E3246" s="22"/>
      <c r="G3246" s="23"/>
      <c r="H3246" s="24"/>
      <c r="Q3246" s="2"/>
      <c r="R3246" s="2"/>
    </row>
    <row r="3247" spans="1:18" ht="15.75" customHeight="1" x14ac:dyDescent="0.3">
      <c r="A3247" s="11"/>
      <c r="B3247" s="11"/>
      <c r="D3247" s="21"/>
      <c r="E3247" s="22"/>
      <c r="G3247" s="23"/>
      <c r="H3247" s="24"/>
      <c r="Q3247" s="2"/>
      <c r="R3247" s="2"/>
    </row>
    <row r="3248" spans="1:18" ht="15.75" customHeight="1" x14ac:dyDescent="0.3">
      <c r="A3248" s="11"/>
      <c r="B3248" s="11"/>
      <c r="D3248" s="21"/>
      <c r="E3248" s="22"/>
      <c r="G3248" s="23"/>
      <c r="H3248" s="24"/>
      <c r="Q3248" s="2"/>
      <c r="R3248" s="2"/>
    </row>
    <row r="3249" spans="1:18" ht="15.75" customHeight="1" x14ac:dyDescent="0.3">
      <c r="A3249" s="11"/>
      <c r="B3249" s="11"/>
      <c r="D3249" s="21"/>
      <c r="E3249" s="22"/>
      <c r="G3249" s="23"/>
      <c r="H3249" s="24"/>
      <c r="Q3249" s="2"/>
      <c r="R3249" s="2"/>
    </row>
    <row r="3250" spans="1:18" ht="15.75" customHeight="1" x14ac:dyDescent="0.3">
      <c r="A3250" s="11"/>
      <c r="B3250" s="11"/>
      <c r="D3250" s="21"/>
      <c r="E3250" s="22"/>
      <c r="G3250" s="23"/>
      <c r="H3250" s="24"/>
      <c r="Q3250" s="2"/>
      <c r="R3250" s="2"/>
    </row>
    <row r="3251" spans="1:18" ht="15.75" customHeight="1" x14ac:dyDescent="0.3">
      <c r="A3251" s="11"/>
      <c r="B3251" s="11"/>
      <c r="D3251" s="21"/>
      <c r="E3251" s="22"/>
      <c r="G3251" s="23"/>
      <c r="H3251" s="24"/>
      <c r="Q3251" s="2"/>
      <c r="R3251" s="2"/>
    </row>
    <row r="3252" spans="1:18" ht="15.75" customHeight="1" x14ac:dyDescent="0.3">
      <c r="A3252" s="11"/>
      <c r="B3252" s="11"/>
      <c r="D3252" s="21"/>
      <c r="E3252" s="22"/>
      <c r="G3252" s="23"/>
      <c r="H3252" s="24"/>
      <c r="Q3252" s="2"/>
      <c r="R3252" s="2"/>
    </row>
    <row r="3253" spans="1:18" ht="15.75" customHeight="1" x14ac:dyDescent="0.3">
      <c r="A3253" s="11"/>
      <c r="B3253" s="11"/>
      <c r="D3253" s="21"/>
      <c r="E3253" s="22"/>
      <c r="G3253" s="23"/>
      <c r="H3253" s="24"/>
      <c r="Q3253" s="2"/>
      <c r="R3253" s="2"/>
    </row>
    <row r="3254" spans="1:18" ht="15.75" customHeight="1" x14ac:dyDescent="0.3">
      <c r="A3254" s="11"/>
      <c r="B3254" s="11"/>
      <c r="D3254" s="21"/>
      <c r="E3254" s="22"/>
      <c r="G3254" s="23"/>
      <c r="H3254" s="24"/>
      <c r="Q3254" s="2"/>
      <c r="R3254" s="2"/>
    </row>
    <row r="3255" spans="1:18" ht="15.75" customHeight="1" x14ac:dyDescent="0.3">
      <c r="A3255" s="11"/>
      <c r="B3255" s="11"/>
      <c r="D3255" s="21"/>
      <c r="E3255" s="22"/>
      <c r="G3255" s="23"/>
      <c r="H3255" s="24"/>
      <c r="Q3255" s="2"/>
      <c r="R3255" s="2"/>
    </row>
    <row r="3256" spans="1:18" ht="15.75" customHeight="1" x14ac:dyDescent="0.3">
      <c r="A3256" s="11"/>
      <c r="B3256" s="11"/>
      <c r="D3256" s="21"/>
      <c r="E3256" s="22"/>
      <c r="G3256" s="23"/>
      <c r="H3256" s="24"/>
      <c r="Q3256" s="2"/>
      <c r="R3256" s="2"/>
    </row>
    <row r="3257" spans="1:18" ht="15.75" customHeight="1" x14ac:dyDescent="0.3">
      <c r="A3257" s="11"/>
      <c r="B3257" s="11"/>
      <c r="D3257" s="21"/>
      <c r="E3257" s="22"/>
      <c r="G3257" s="23"/>
      <c r="H3257" s="24"/>
      <c r="Q3257" s="2"/>
      <c r="R3257" s="2"/>
    </row>
    <row r="3258" spans="1:18" ht="15.75" customHeight="1" x14ac:dyDescent="0.3">
      <c r="A3258" s="11"/>
      <c r="B3258" s="11"/>
      <c r="D3258" s="21"/>
      <c r="E3258" s="22"/>
      <c r="G3258" s="23"/>
      <c r="H3258" s="24"/>
      <c r="Q3258" s="2"/>
      <c r="R3258" s="2"/>
    </row>
    <row r="3259" spans="1:18" ht="15.75" customHeight="1" x14ac:dyDescent="0.3">
      <c r="A3259" s="11"/>
      <c r="B3259" s="11"/>
      <c r="D3259" s="21"/>
      <c r="E3259" s="22"/>
      <c r="G3259" s="23"/>
      <c r="H3259" s="24"/>
      <c r="Q3259" s="2"/>
      <c r="R3259" s="2"/>
    </row>
    <row r="3260" spans="1:18" ht="15.75" customHeight="1" x14ac:dyDescent="0.3">
      <c r="A3260" s="11"/>
      <c r="B3260" s="11"/>
      <c r="D3260" s="21"/>
      <c r="E3260" s="22"/>
      <c r="G3260" s="23"/>
      <c r="H3260" s="24"/>
      <c r="Q3260" s="2"/>
      <c r="R3260" s="2"/>
    </row>
    <row r="3261" spans="1:18" ht="15.75" customHeight="1" x14ac:dyDescent="0.3">
      <c r="A3261" s="11"/>
      <c r="B3261" s="11"/>
      <c r="D3261" s="21"/>
      <c r="E3261" s="22"/>
      <c r="G3261" s="23"/>
      <c r="H3261" s="24"/>
      <c r="Q3261" s="2"/>
      <c r="R3261" s="2"/>
    </row>
    <row r="3262" spans="1:18" ht="15.75" customHeight="1" x14ac:dyDescent="0.3">
      <c r="A3262" s="11"/>
      <c r="B3262" s="11"/>
      <c r="D3262" s="21"/>
      <c r="E3262" s="22"/>
      <c r="G3262" s="23"/>
      <c r="H3262" s="24"/>
      <c r="Q3262" s="2"/>
      <c r="R3262" s="2"/>
    </row>
    <row r="3263" spans="1:18" ht="15.75" customHeight="1" x14ac:dyDescent="0.3">
      <c r="A3263" s="11"/>
      <c r="B3263" s="11"/>
      <c r="D3263" s="21"/>
      <c r="E3263" s="22"/>
      <c r="G3263" s="23"/>
      <c r="H3263" s="24"/>
      <c r="Q3263" s="2"/>
      <c r="R3263" s="2"/>
    </row>
    <row r="3264" spans="1:18" ht="15.75" customHeight="1" x14ac:dyDescent="0.3">
      <c r="A3264" s="11"/>
      <c r="B3264" s="11"/>
      <c r="D3264" s="21"/>
      <c r="E3264" s="22"/>
      <c r="G3264" s="23"/>
      <c r="H3264" s="24"/>
      <c r="Q3264" s="2"/>
      <c r="R3264" s="2"/>
    </row>
    <row r="3265" spans="1:18" ht="15.75" customHeight="1" x14ac:dyDescent="0.3">
      <c r="A3265" s="11"/>
      <c r="B3265" s="11"/>
      <c r="D3265" s="21"/>
      <c r="E3265" s="22"/>
      <c r="G3265" s="23"/>
      <c r="H3265" s="24"/>
      <c r="Q3265" s="2"/>
      <c r="R3265" s="2"/>
    </row>
    <row r="3266" spans="1:18" ht="15.75" customHeight="1" x14ac:dyDescent="0.3">
      <c r="A3266" s="11"/>
      <c r="B3266" s="11"/>
      <c r="D3266" s="21"/>
      <c r="E3266" s="22"/>
      <c r="G3266" s="23"/>
      <c r="H3266" s="24"/>
      <c r="Q3266" s="2"/>
      <c r="R3266" s="2"/>
    </row>
    <row r="3267" spans="1:18" ht="15.75" customHeight="1" x14ac:dyDescent="0.3">
      <c r="A3267" s="11"/>
      <c r="B3267" s="11"/>
      <c r="D3267" s="21"/>
      <c r="E3267" s="22"/>
      <c r="G3267" s="23"/>
      <c r="H3267" s="24"/>
      <c r="Q3267" s="2"/>
      <c r="R3267" s="2"/>
    </row>
    <row r="3268" spans="1:18" ht="15.75" customHeight="1" x14ac:dyDescent="0.3">
      <c r="A3268" s="11"/>
      <c r="B3268" s="11"/>
      <c r="D3268" s="21"/>
      <c r="E3268" s="22"/>
      <c r="G3268" s="23"/>
      <c r="H3268" s="24"/>
      <c r="Q3268" s="2"/>
      <c r="R3268" s="2"/>
    </row>
    <row r="3269" spans="1:18" ht="15.75" customHeight="1" x14ac:dyDescent="0.3">
      <c r="A3269" s="11"/>
      <c r="B3269" s="11"/>
      <c r="D3269" s="21"/>
      <c r="E3269" s="22"/>
      <c r="G3269" s="23"/>
      <c r="H3269" s="24"/>
      <c r="Q3269" s="2"/>
      <c r="R3269" s="2"/>
    </row>
    <row r="3270" spans="1:18" ht="15.75" customHeight="1" x14ac:dyDescent="0.3">
      <c r="A3270" s="11"/>
      <c r="B3270" s="11"/>
      <c r="D3270" s="21"/>
      <c r="E3270" s="22"/>
      <c r="G3270" s="23"/>
      <c r="H3270" s="24"/>
      <c r="Q3270" s="2"/>
      <c r="R3270" s="2"/>
    </row>
    <row r="3271" spans="1:18" ht="15.75" customHeight="1" x14ac:dyDescent="0.3">
      <c r="A3271" s="11"/>
      <c r="B3271" s="11"/>
      <c r="D3271" s="21"/>
      <c r="E3271" s="22"/>
      <c r="G3271" s="23"/>
      <c r="H3271" s="24"/>
      <c r="Q3271" s="2"/>
      <c r="R3271" s="2"/>
    </row>
    <row r="3272" spans="1:18" ht="15.75" customHeight="1" x14ac:dyDescent="0.3">
      <c r="A3272" s="11"/>
      <c r="B3272" s="11"/>
      <c r="D3272" s="21"/>
      <c r="E3272" s="22"/>
      <c r="G3272" s="23"/>
      <c r="H3272" s="24"/>
      <c r="Q3272" s="2"/>
      <c r="R3272" s="2"/>
    </row>
    <row r="3273" spans="1:18" ht="15.75" customHeight="1" x14ac:dyDescent="0.3">
      <c r="A3273" s="11"/>
      <c r="B3273" s="11"/>
      <c r="D3273" s="21"/>
      <c r="E3273" s="22"/>
      <c r="G3273" s="23"/>
      <c r="H3273" s="24"/>
      <c r="Q3273" s="2"/>
      <c r="R3273" s="2"/>
    </row>
    <row r="3274" spans="1:18" ht="15.75" customHeight="1" x14ac:dyDescent="0.3">
      <c r="A3274" s="11"/>
      <c r="B3274" s="11"/>
      <c r="D3274" s="21"/>
      <c r="E3274" s="22"/>
      <c r="G3274" s="23"/>
      <c r="H3274" s="24"/>
      <c r="Q3274" s="2"/>
      <c r="R3274" s="2"/>
    </row>
    <row r="3275" spans="1:18" ht="15.75" customHeight="1" x14ac:dyDescent="0.3">
      <c r="A3275" s="11"/>
      <c r="B3275" s="11"/>
      <c r="D3275" s="21"/>
      <c r="E3275" s="22"/>
      <c r="G3275" s="23"/>
      <c r="H3275" s="24"/>
      <c r="Q3275" s="2"/>
      <c r="R3275" s="2"/>
    </row>
    <row r="3276" spans="1:18" ht="15.75" customHeight="1" x14ac:dyDescent="0.3">
      <c r="A3276" s="11"/>
      <c r="B3276" s="11"/>
      <c r="D3276" s="21"/>
      <c r="E3276" s="22"/>
      <c r="G3276" s="23"/>
      <c r="H3276" s="24"/>
      <c r="Q3276" s="2"/>
      <c r="R3276" s="2"/>
    </row>
    <row r="3277" spans="1:18" ht="15.75" customHeight="1" x14ac:dyDescent="0.3">
      <c r="A3277" s="11"/>
      <c r="B3277" s="11"/>
      <c r="D3277" s="21"/>
      <c r="E3277" s="22"/>
      <c r="G3277" s="23"/>
      <c r="H3277" s="24"/>
      <c r="Q3277" s="2"/>
      <c r="R3277" s="2"/>
    </row>
    <row r="3278" spans="1:18" ht="15.75" customHeight="1" x14ac:dyDescent="0.3">
      <c r="A3278" s="11"/>
      <c r="B3278" s="11"/>
      <c r="D3278" s="21"/>
      <c r="E3278" s="22"/>
      <c r="G3278" s="23"/>
      <c r="H3278" s="24"/>
      <c r="Q3278" s="2"/>
      <c r="R3278" s="2"/>
    </row>
    <row r="3279" spans="1:18" ht="15.75" customHeight="1" x14ac:dyDescent="0.3">
      <c r="A3279" s="11"/>
      <c r="B3279" s="11"/>
      <c r="D3279" s="21"/>
      <c r="E3279" s="22"/>
      <c r="G3279" s="23"/>
      <c r="H3279" s="24"/>
      <c r="Q3279" s="2"/>
      <c r="R3279" s="2"/>
    </row>
    <row r="3280" spans="1:18" ht="15.75" customHeight="1" x14ac:dyDescent="0.3">
      <c r="A3280" s="11"/>
      <c r="B3280" s="11"/>
      <c r="D3280" s="21"/>
      <c r="E3280" s="22"/>
      <c r="G3280" s="23"/>
      <c r="H3280" s="24"/>
      <c r="Q3280" s="2"/>
      <c r="R3280" s="2"/>
    </row>
    <row r="3281" spans="1:18" ht="15.75" customHeight="1" x14ac:dyDescent="0.3">
      <c r="A3281" s="11"/>
      <c r="B3281" s="11"/>
      <c r="D3281" s="21"/>
      <c r="E3281" s="22"/>
      <c r="G3281" s="23"/>
      <c r="H3281" s="24"/>
      <c r="Q3281" s="2"/>
      <c r="R3281" s="2"/>
    </row>
    <row r="3282" spans="1:18" ht="15.75" customHeight="1" x14ac:dyDescent="0.3">
      <c r="A3282" s="11"/>
      <c r="B3282" s="11"/>
      <c r="D3282" s="21"/>
      <c r="E3282" s="22"/>
      <c r="G3282" s="23"/>
      <c r="H3282" s="24"/>
      <c r="Q3282" s="2"/>
      <c r="R3282" s="2"/>
    </row>
    <row r="3283" spans="1:18" ht="15.75" customHeight="1" x14ac:dyDescent="0.3">
      <c r="A3283" s="11"/>
      <c r="B3283" s="11"/>
      <c r="D3283" s="21"/>
      <c r="E3283" s="22"/>
      <c r="G3283" s="23"/>
      <c r="H3283" s="24"/>
      <c r="Q3283" s="2"/>
      <c r="R3283" s="2"/>
    </row>
    <row r="3284" spans="1:18" ht="15.75" customHeight="1" x14ac:dyDescent="0.3">
      <c r="A3284" s="11"/>
      <c r="B3284" s="11"/>
      <c r="D3284" s="21"/>
      <c r="E3284" s="22"/>
      <c r="G3284" s="23"/>
      <c r="H3284" s="24"/>
      <c r="Q3284" s="2"/>
      <c r="R3284" s="2"/>
    </row>
    <row r="3285" spans="1:18" ht="15.75" customHeight="1" x14ac:dyDescent="0.3">
      <c r="A3285" s="11"/>
      <c r="B3285" s="11"/>
      <c r="D3285" s="21"/>
      <c r="E3285" s="22"/>
      <c r="G3285" s="23"/>
      <c r="H3285" s="24"/>
      <c r="Q3285" s="2"/>
      <c r="R3285" s="2"/>
    </row>
    <row r="3286" spans="1:18" ht="15.75" customHeight="1" x14ac:dyDescent="0.3">
      <c r="A3286" s="11"/>
      <c r="B3286" s="11"/>
      <c r="D3286" s="21"/>
      <c r="E3286" s="22"/>
      <c r="G3286" s="23"/>
      <c r="H3286" s="24"/>
      <c r="Q3286" s="2"/>
      <c r="R3286" s="2"/>
    </row>
    <row r="3287" spans="1:18" ht="15.75" customHeight="1" x14ac:dyDescent="0.3">
      <c r="A3287" s="11"/>
      <c r="B3287" s="11"/>
      <c r="D3287" s="21"/>
      <c r="E3287" s="22"/>
      <c r="G3287" s="23"/>
      <c r="H3287" s="24"/>
      <c r="Q3287" s="2"/>
      <c r="R3287" s="2"/>
    </row>
    <row r="3288" spans="1:18" ht="15.75" customHeight="1" x14ac:dyDescent="0.3">
      <c r="A3288" s="11"/>
      <c r="B3288" s="11"/>
      <c r="D3288" s="21"/>
      <c r="E3288" s="22"/>
      <c r="G3288" s="23"/>
      <c r="H3288" s="24"/>
      <c r="Q3288" s="2"/>
      <c r="R3288" s="2"/>
    </row>
    <row r="3289" spans="1:18" ht="15.75" customHeight="1" x14ac:dyDescent="0.3">
      <c r="A3289" s="11"/>
      <c r="B3289" s="11"/>
      <c r="D3289" s="21"/>
      <c r="E3289" s="22"/>
      <c r="G3289" s="23"/>
      <c r="H3289" s="24"/>
      <c r="Q3289" s="2"/>
      <c r="R3289" s="2"/>
    </row>
    <row r="3290" spans="1:18" ht="15.75" customHeight="1" x14ac:dyDescent="0.3">
      <c r="A3290" s="11"/>
      <c r="B3290" s="11"/>
      <c r="D3290" s="21"/>
      <c r="E3290" s="22"/>
      <c r="G3290" s="23"/>
      <c r="H3290" s="24"/>
      <c r="Q3290" s="2"/>
      <c r="R3290" s="2"/>
    </row>
    <row r="3291" spans="1:18" ht="15.75" customHeight="1" x14ac:dyDescent="0.3">
      <c r="A3291" s="11"/>
      <c r="B3291" s="11"/>
      <c r="D3291" s="21"/>
      <c r="E3291" s="22"/>
      <c r="G3291" s="23"/>
      <c r="H3291" s="24"/>
      <c r="Q3291" s="2"/>
      <c r="R3291" s="2"/>
    </row>
    <row r="3292" spans="1:18" ht="15.75" customHeight="1" x14ac:dyDescent="0.3">
      <c r="A3292" s="11"/>
      <c r="B3292" s="11"/>
      <c r="D3292" s="21"/>
      <c r="E3292" s="22"/>
      <c r="G3292" s="23"/>
      <c r="H3292" s="24"/>
      <c r="Q3292" s="2"/>
      <c r="R3292" s="2"/>
    </row>
    <row r="3293" spans="1:18" ht="15.75" customHeight="1" x14ac:dyDescent="0.3">
      <c r="A3293" s="11"/>
      <c r="B3293" s="11"/>
      <c r="D3293" s="21"/>
      <c r="E3293" s="22"/>
      <c r="G3293" s="23"/>
      <c r="H3293" s="24"/>
      <c r="Q3293" s="2"/>
      <c r="R3293" s="2"/>
    </row>
    <row r="3294" spans="1:18" ht="15.75" customHeight="1" x14ac:dyDescent="0.3">
      <c r="A3294" s="11"/>
      <c r="B3294" s="11"/>
      <c r="D3294" s="21"/>
      <c r="E3294" s="22"/>
      <c r="G3294" s="23"/>
      <c r="H3294" s="24"/>
      <c r="Q3294" s="2"/>
      <c r="R3294" s="2"/>
    </row>
    <row r="3295" spans="1:18" ht="15.75" customHeight="1" x14ac:dyDescent="0.3">
      <c r="A3295" s="11"/>
      <c r="B3295" s="11"/>
      <c r="D3295" s="21"/>
      <c r="E3295" s="22"/>
      <c r="G3295" s="23"/>
      <c r="H3295" s="24"/>
      <c r="Q3295" s="2"/>
      <c r="R3295" s="2"/>
    </row>
    <row r="3296" spans="1:18" ht="15.75" customHeight="1" x14ac:dyDescent="0.3">
      <c r="A3296" s="11"/>
      <c r="B3296" s="11"/>
      <c r="D3296" s="21"/>
      <c r="E3296" s="22"/>
      <c r="G3296" s="23"/>
      <c r="H3296" s="24"/>
      <c r="Q3296" s="2"/>
      <c r="R3296" s="2"/>
    </row>
    <row r="3297" spans="1:18" ht="15.75" customHeight="1" x14ac:dyDescent="0.3">
      <c r="A3297" s="11"/>
      <c r="B3297" s="11"/>
      <c r="D3297" s="21"/>
      <c r="E3297" s="22"/>
      <c r="G3297" s="23"/>
      <c r="H3297" s="24"/>
      <c r="Q3297" s="2"/>
      <c r="R3297" s="2"/>
    </row>
    <row r="3298" spans="1:18" ht="15.75" customHeight="1" x14ac:dyDescent="0.3">
      <c r="A3298" s="11"/>
      <c r="B3298" s="11"/>
      <c r="D3298" s="21"/>
      <c r="E3298" s="22"/>
      <c r="G3298" s="23"/>
      <c r="H3298" s="24"/>
      <c r="Q3298" s="2"/>
      <c r="R3298" s="2"/>
    </row>
    <row r="3299" spans="1:18" ht="15.75" customHeight="1" x14ac:dyDescent="0.3">
      <c r="A3299" s="11"/>
      <c r="B3299" s="11"/>
      <c r="D3299" s="21"/>
      <c r="E3299" s="22"/>
      <c r="G3299" s="23"/>
      <c r="H3299" s="24"/>
      <c r="Q3299" s="2"/>
      <c r="R3299" s="2"/>
    </row>
    <row r="3300" spans="1:18" ht="15.75" customHeight="1" x14ac:dyDescent="0.3">
      <c r="A3300" s="11"/>
      <c r="B3300" s="11"/>
      <c r="D3300" s="21"/>
      <c r="E3300" s="22"/>
      <c r="G3300" s="23"/>
      <c r="H3300" s="24"/>
      <c r="Q3300" s="2"/>
      <c r="R3300" s="2"/>
    </row>
    <row r="3301" spans="1:18" ht="15.75" customHeight="1" x14ac:dyDescent="0.3">
      <c r="A3301" s="11"/>
      <c r="B3301" s="11"/>
      <c r="D3301" s="21"/>
      <c r="E3301" s="22"/>
      <c r="G3301" s="23"/>
      <c r="H3301" s="24"/>
      <c r="Q3301" s="2"/>
      <c r="R3301" s="2"/>
    </row>
    <row r="3302" spans="1:18" ht="15.75" customHeight="1" x14ac:dyDescent="0.3">
      <c r="A3302" s="11"/>
      <c r="B3302" s="11"/>
      <c r="D3302" s="21"/>
      <c r="E3302" s="22"/>
      <c r="G3302" s="23"/>
      <c r="H3302" s="24"/>
      <c r="Q3302" s="2"/>
      <c r="R3302" s="2"/>
    </row>
    <row r="3303" spans="1:18" ht="15.75" customHeight="1" x14ac:dyDescent="0.3">
      <c r="A3303" s="11"/>
      <c r="B3303" s="11"/>
      <c r="D3303" s="21"/>
      <c r="E3303" s="22"/>
      <c r="G3303" s="23"/>
      <c r="H3303" s="24"/>
      <c r="Q3303" s="2"/>
      <c r="R3303" s="2"/>
    </row>
    <row r="3304" spans="1:18" ht="15.75" customHeight="1" x14ac:dyDescent="0.3">
      <c r="A3304" s="11"/>
      <c r="B3304" s="11"/>
      <c r="D3304" s="21"/>
      <c r="E3304" s="22"/>
      <c r="G3304" s="23"/>
      <c r="H3304" s="24"/>
      <c r="Q3304" s="2"/>
      <c r="R3304" s="2"/>
    </row>
    <row r="3305" spans="1:18" ht="15.75" customHeight="1" x14ac:dyDescent="0.3">
      <c r="A3305" s="11"/>
      <c r="B3305" s="11"/>
      <c r="D3305" s="21"/>
      <c r="E3305" s="22"/>
      <c r="G3305" s="23"/>
      <c r="H3305" s="24"/>
      <c r="Q3305" s="2"/>
      <c r="R3305" s="2"/>
    </row>
    <row r="3306" spans="1:18" ht="15.75" customHeight="1" x14ac:dyDescent="0.3">
      <c r="A3306" s="11"/>
      <c r="B3306" s="11"/>
      <c r="D3306" s="21"/>
      <c r="E3306" s="22"/>
      <c r="G3306" s="23"/>
      <c r="H3306" s="24"/>
      <c r="Q3306" s="2"/>
      <c r="R3306" s="2"/>
    </row>
    <row r="3307" spans="1:18" ht="15.75" customHeight="1" x14ac:dyDescent="0.3">
      <c r="A3307" s="11"/>
      <c r="B3307" s="11"/>
      <c r="D3307" s="21"/>
      <c r="E3307" s="22"/>
      <c r="G3307" s="23"/>
      <c r="H3307" s="24"/>
      <c r="Q3307" s="2"/>
      <c r="R3307" s="2"/>
    </row>
    <row r="3308" spans="1:18" ht="15.75" customHeight="1" x14ac:dyDescent="0.3">
      <c r="A3308" s="11"/>
      <c r="B3308" s="11"/>
      <c r="D3308" s="21"/>
      <c r="E3308" s="22"/>
      <c r="G3308" s="23"/>
      <c r="H3308" s="24"/>
      <c r="Q3308" s="2"/>
      <c r="R3308" s="2"/>
    </row>
    <row r="3309" spans="1:18" ht="15.75" customHeight="1" x14ac:dyDescent="0.3">
      <c r="A3309" s="11"/>
      <c r="B3309" s="11"/>
      <c r="D3309" s="21"/>
      <c r="E3309" s="22"/>
      <c r="G3309" s="23"/>
      <c r="H3309" s="24"/>
      <c r="Q3309" s="2"/>
      <c r="R3309" s="2"/>
    </row>
    <row r="3310" spans="1:18" ht="15.75" customHeight="1" x14ac:dyDescent="0.3">
      <c r="A3310" s="11"/>
      <c r="B3310" s="11"/>
      <c r="D3310" s="21"/>
      <c r="E3310" s="22"/>
      <c r="G3310" s="23"/>
      <c r="H3310" s="24"/>
      <c r="Q3310" s="2"/>
      <c r="R3310" s="2"/>
    </row>
    <row r="3311" spans="1:18" ht="15.75" customHeight="1" x14ac:dyDescent="0.3">
      <c r="A3311" s="11"/>
      <c r="B3311" s="11"/>
      <c r="D3311" s="21"/>
      <c r="E3311" s="22"/>
      <c r="G3311" s="23"/>
      <c r="H3311" s="24"/>
      <c r="Q3311" s="2"/>
      <c r="R3311" s="2"/>
    </row>
    <row r="3312" spans="1:18" ht="15.75" customHeight="1" x14ac:dyDescent="0.3">
      <c r="A3312" s="11"/>
      <c r="B3312" s="11"/>
      <c r="D3312" s="21"/>
      <c r="E3312" s="22"/>
      <c r="G3312" s="23"/>
      <c r="H3312" s="24"/>
      <c r="Q3312" s="2"/>
      <c r="R3312" s="2"/>
    </row>
    <row r="3313" spans="1:18" ht="15.75" customHeight="1" x14ac:dyDescent="0.3">
      <c r="A3313" s="11"/>
      <c r="B3313" s="11"/>
      <c r="D3313" s="21"/>
      <c r="E3313" s="22"/>
      <c r="G3313" s="23"/>
      <c r="H3313" s="24"/>
      <c r="Q3313" s="2"/>
      <c r="R3313" s="2"/>
    </row>
    <row r="3314" spans="1:18" ht="15.75" customHeight="1" x14ac:dyDescent="0.3">
      <c r="A3314" s="11"/>
      <c r="B3314" s="11"/>
      <c r="D3314" s="21"/>
      <c r="E3314" s="22"/>
      <c r="G3314" s="23"/>
      <c r="H3314" s="24"/>
      <c r="Q3314" s="2"/>
      <c r="R3314" s="2"/>
    </row>
    <row r="3315" spans="1:18" ht="15.75" customHeight="1" x14ac:dyDescent="0.3">
      <c r="A3315" s="11"/>
      <c r="B3315" s="11"/>
      <c r="D3315" s="21"/>
      <c r="E3315" s="22"/>
      <c r="G3315" s="23"/>
      <c r="H3315" s="24"/>
      <c r="Q3315" s="2"/>
      <c r="R3315" s="2"/>
    </row>
    <row r="3316" spans="1:18" ht="15.75" customHeight="1" x14ac:dyDescent="0.3">
      <c r="A3316" s="11"/>
      <c r="B3316" s="11"/>
      <c r="D3316" s="21"/>
      <c r="E3316" s="22"/>
      <c r="G3316" s="23"/>
      <c r="H3316" s="24"/>
      <c r="Q3316" s="2"/>
      <c r="R3316" s="2"/>
    </row>
    <row r="3317" spans="1:18" ht="15.75" customHeight="1" x14ac:dyDescent="0.3">
      <c r="A3317" s="11"/>
      <c r="B3317" s="11"/>
      <c r="D3317" s="21"/>
      <c r="E3317" s="22"/>
      <c r="G3317" s="23"/>
      <c r="H3317" s="24"/>
      <c r="Q3317" s="2"/>
      <c r="R3317" s="2"/>
    </row>
    <row r="3318" spans="1:18" ht="15.75" customHeight="1" x14ac:dyDescent="0.3">
      <c r="A3318" s="11"/>
      <c r="B3318" s="11"/>
      <c r="D3318" s="21"/>
      <c r="E3318" s="22"/>
      <c r="G3318" s="23"/>
      <c r="H3318" s="24"/>
      <c r="Q3318" s="2"/>
      <c r="R3318" s="2"/>
    </row>
    <row r="3319" spans="1:18" ht="15.75" customHeight="1" x14ac:dyDescent="0.3">
      <c r="A3319" s="11"/>
      <c r="B3319" s="11"/>
      <c r="D3319" s="21"/>
      <c r="E3319" s="22"/>
      <c r="G3319" s="23"/>
      <c r="H3319" s="24"/>
      <c r="Q3319" s="2"/>
      <c r="R3319" s="2"/>
    </row>
    <row r="3320" spans="1:18" ht="15.75" customHeight="1" x14ac:dyDescent="0.3">
      <c r="A3320" s="11"/>
      <c r="B3320" s="11"/>
      <c r="D3320" s="21"/>
      <c r="E3320" s="22"/>
      <c r="G3320" s="23"/>
      <c r="H3320" s="24"/>
      <c r="Q3320" s="2"/>
      <c r="R3320" s="2"/>
    </row>
    <row r="3321" spans="1:18" ht="15.75" customHeight="1" x14ac:dyDescent="0.3">
      <c r="A3321" s="11"/>
      <c r="B3321" s="11"/>
      <c r="D3321" s="21"/>
      <c r="E3321" s="22"/>
      <c r="G3321" s="23"/>
      <c r="H3321" s="24"/>
      <c r="Q3321" s="2"/>
      <c r="R3321" s="2"/>
    </row>
    <row r="3322" spans="1:18" ht="15.75" customHeight="1" x14ac:dyDescent="0.3">
      <c r="A3322" s="11"/>
      <c r="B3322" s="11"/>
      <c r="D3322" s="21"/>
      <c r="E3322" s="22"/>
      <c r="G3322" s="23"/>
      <c r="H3322" s="24"/>
      <c r="Q3322" s="2"/>
      <c r="R3322" s="2"/>
    </row>
    <row r="3323" spans="1:18" ht="15.75" customHeight="1" x14ac:dyDescent="0.3">
      <c r="A3323" s="11"/>
      <c r="B3323" s="11"/>
      <c r="D3323" s="21"/>
      <c r="E3323" s="22"/>
      <c r="G3323" s="23"/>
      <c r="H3323" s="24"/>
      <c r="Q3323" s="2"/>
      <c r="R3323" s="2"/>
    </row>
    <row r="3324" spans="1:18" ht="15.75" customHeight="1" x14ac:dyDescent="0.3">
      <c r="A3324" s="11"/>
      <c r="B3324" s="11"/>
      <c r="D3324" s="21"/>
      <c r="E3324" s="22"/>
      <c r="G3324" s="23"/>
      <c r="H3324" s="24"/>
      <c r="Q3324" s="2"/>
      <c r="R3324" s="2"/>
    </row>
    <row r="3325" spans="1:18" ht="15.75" customHeight="1" x14ac:dyDescent="0.3">
      <c r="A3325" s="11"/>
      <c r="B3325" s="11"/>
      <c r="D3325" s="21"/>
      <c r="E3325" s="22"/>
      <c r="G3325" s="23"/>
      <c r="H3325" s="24"/>
      <c r="Q3325" s="2"/>
      <c r="R3325" s="2"/>
    </row>
    <row r="3326" spans="1:18" ht="15.75" customHeight="1" x14ac:dyDescent="0.3">
      <c r="A3326" s="11"/>
      <c r="B3326" s="11"/>
      <c r="D3326" s="21"/>
      <c r="E3326" s="22"/>
      <c r="G3326" s="23"/>
      <c r="H3326" s="24"/>
      <c r="Q3326" s="2"/>
      <c r="R3326" s="2"/>
    </row>
    <row r="3327" spans="1:18" ht="15.75" customHeight="1" x14ac:dyDescent="0.3">
      <c r="A3327" s="11"/>
      <c r="B3327" s="11"/>
      <c r="D3327" s="21"/>
      <c r="E3327" s="22"/>
      <c r="G3327" s="23"/>
      <c r="H3327" s="24"/>
      <c r="Q3327" s="2"/>
      <c r="R3327" s="2"/>
    </row>
    <row r="3328" spans="1:18" ht="15.75" customHeight="1" x14ac:dyDescent="0.3">
      <c r="A3328" s="11"/>
      <c r="B3328" s="11"/>
      <c r="D3328" s="21"/>
      <c r="E3328" s="22"/>
      <c r="G3328" s="23"/>
      <c r="H3328" s="24"/>
      <c r="Q3328" s="2"/>
      <c r="R3328" s="2"/>
    </row>
    <row r="3329" spans="1:18" ht="15.75" customHeight="1" x14ac:dyDescent="0.3">
      <c r="A3329" s="11"/>
      <c r="B3329" s="11"/>
      <c r="D3329" s="21"/>
      <c r="E3329" s="22"/>
      <c r="G3329" s="23"/>
      <c r="H3329" s="24"/>
      <c r="Q3329" s="2"/>
      <c r="R3329" s="2"/>
    </row>
    <row r="3330" spans="1:18" ht="15.75" customHeight="1" x14ac:dyDescent="0.3">
      <c r="A3330" s="11"/>
      <c r="B3330" s="11"/>
      <c r="D3330" s="21"/>
      <c r="E3330" s="22"/>
      <c r="G3330" s="23"/>
      <c r="H3330" s="24"/>
      <c r="Q3330" s="2"/>
      <c r="R3330" s="2"/>
    </row>
    <row r="3331" spans="1:18" ht="15.75" customHeight="1" x14ac:dyDescent="0.3">
      <c r="A3331" s="11"/>
      <c r="B3331" s="11"/>
      <c r="D3331" s="21"/>
      <c r="E3331" s="22"/>
      <c r="G3331" s="23"/>
      <c r="H3331" s="24"/>
      <c r="Q3331" s="2"/>
      <c r="R3331" s="2"/>
    </row>
    <row r="3332" spans="1:18" ht="15.75" customHeight="1" x14ac:dyDescent="0.3">
      <c r="A3332" s="11"/>
      <c r="B3332" s="11"/>
      <c r="D3332" s="21"/>
      <c r="E3332" s="22"/>
      <c r="G3332" s="23"/>
      <c r="H3332" s="24"/>
      <c r="Q3332" s="2"/>
      <c r="R3332" s="2"/>
    </row>
    <row r="3333" spans="1:18" ht="15.75" customHeight="1" x14ac:dyDescent="0.3">
      <c r="A3333" s="11"/>
      <c r="B3333" s="11"/>
      <c r="D3333" s="21"/>
      <c r="E3333" s="22"/>
      <c r="G3333" s="23"/>
      <c r="H3333" s="24"/>
      <c r="Q3333" s="2"/>
      <c r="R3333" s="2"/>
    </row>
    <row r="3334" spans="1:18" ht="15.75" customHeight="1" x14ac:dyDescent="0.3">
      <c r="A3334" s="11"/>
      <c r="B3334" s="11"/>
      <c r="D3334" s="21"/>
      <c r="E3334" s="22"/>
      <c r="G3334" s="23"/>
      <c r="H3334" s="24"/>
      <c r="Q3334" s="2"/>
      <c r="R3334" s="2"/>
    </row>
    <row r="3335" spans="1:18" ht="15.75" customHeight="1" x14ac:dyDescent="0.3">
      <c r="A3335" s="11"/>
      <c r="B3335" s="11"/>
      <c r="D3335" s="21"/>
      <c r="E3335" s="22"/>
      <c r="G3335" s="23"/>
      <c r="H3335" s="24"/>
      <c r="Q3335" s="2"/>
      <c r="R3335" s="2"/>
    </row>
    <row r="3336" spans="1:18" ht="15.75" customHeight="1" x14ac:dyDescent="0.3">
      <c r="A3336" s="11"/>
      <c r="B3336" s="11"/>
      <c r="D3336" s="21"/>
      <c r="E3336" s="22"/>
      <c r="G3336" s="23"/>
      <c r="H3336" s="24"/>
      <c r="Q3336" s="2"/>
      <c r="R3336" s="2"/>
    </row>
    <row r="3337" spans="1:18" ht="15.75" customHeight="1" x14ac:dyDescent="0.3">
      <c r="A3337" s="11"/>
      <c r="B3337" s="11"/>
      <c r="D3337" s="21"/>
      <c r="E3337" s="22"/>
      <c r="G3337" s="23"/>
      <c r="H3337" s="24"/>
      <c r="Q3337" s="2"/>
      <c r="R3337" s="2"/>
    </row>
    <row r="3338" spans="1:18" ht="15.75" customHeight="1" x14ac:dyDescent="0.3">
      <c r="A3338" s="11"/>
      <c r="B3338" s="11"/>
      <c r="D3338" s="21"/>
      <c r="E3338" s="22"/>
      <c r="G3338" s="23"/>
      <c r="H3338" s="24"/>
      <c r="Q3338" s="2"/>
      <c r="R3338" s="2"/>
    </row>
    <row r="3339" spans="1:18" ht="15.75" customHeight="1" x14ac:dyDescent="0.3">
      <c r="A3339" s="11"/>
      <c r="B3339" s="11"/>
      <c r="D3339" s="21"/>
      <c r="E3339" s="22"/>
      <c r="G3339" s="23"/>
      <c r="H3339" s="24"/>
      <c r="Q3339" s="2"/>
      <c r="R3339" s="2"/>
    </row>
    <row r="3340" spans="1:18" ht="15.75" customHeight="1" x14ac:dyDescent="0.3">
      <c r="A3340" s="11"/>
      <c r="B3340" s="11"/>
      <c r="D3340" s="21"/>
      <c r="E3340" s="22"/>
      <c r="G3340" s="23"/>
      <c r="H3340" s="24"/>
      <c r="Q3340" s="2"/>
      <c r="R3340" s="2"/>
    </row>
    <row r="3341" spans="1:18" ht="15.75" customHeight="1" x14ac:dyDescent="0.3">
      <c r="A3341" s="11"/>
      <c r="B3341" s="11"/>
      <c r="D3341" s="21"/>
      <c r="E3341" s="22"/>
      <c r="G3341" s="23"/>
      <c r="H3341" s="24"/>
      <c r="Q3341" s="2"/>
      <c r="R3341" s="2"/>
    </row>
    <row r="3342" spans="1:18" ht="15.75" customHeight="1" x14ac:dyDescent="0.3">
      <c r="A3342" s="11"/>
      <c r="B3342" s="11"/>
      <c r="D3342" s="21"/>
      <c r="E3342" s="22"/>
      <c r="G3342" s="23"/>
      <c r="H3342" s="24"/>
      <c r="Q3342" s="2"/>
      <c r="R3342" s="2"/>
    </row>
    <row r="3343" spans="1:18" ht="15.75" customHeight="1" x14ac:dyDescent="0.3">
      <c r="A3343" s="11"/>
      <c r="B3343" s="11"/>
      <c r="D3343" s="21"/>
      <c r="E3343" s="22"/>
      <c r="G3343" s="23"/>
      <c r="H3343" s="24"/>
      <c r="Q3343" s="2"/>
      <c r="R3343" s="2"/>
    </row>
    <row r="3344" spans="1:18" ht="15.75" customHeight="1" x14ac:dyDescent="0.3">
      <c r="A3344" s="11"/>
      <c r="B3344" s="11"/>
      <c r="D3344" s="21"/>
      <c r="E3344" s="22"/>
      <c r="G3344" s="23"/>
      <c r="H3344" s="24"/>
      <c r="Q3344" s="2"/>
      <c r="R3344" s="2"/>
    </row>
    <row r="3345" spans="1:18" ht="15.75" customHeight="1" x14ac:dyDescent="0.3">
      <c r="A3345" s="11"/>
      <c r="B3345" s="11"/>
      <c r="D3345" s="21"/>
      <c r="E3345" s="22"/>
      <c r="G3345" s="23"/>
      <c r="H3345" s="24"/>
      <c r="Q3345" s="2"/>
      <c r="R3345" s="2"/>
    </row>
    <row r="3346" spans="1:18" ht="15.75" customHeight="1" x14ac:dyDescent="0.3">
      <c r="A3346" s="11"/>
      <c r="B3346" s="11"/>
      <c r="D3346" s="21"/>
      <c r="E3346" s="22"/>
      <c r="G3346" s="23"/>
      <c r="H3346" s="24"/>
      <c r="Q3346" s="2"/>
      <c r="R3346" s="2"/>
    </row>
    <row r="3347" spans="1:18" ht="15.75" customHeight="1" x14ac:dyDescent="0.3">
      <c r="A3347" s="11"/>
      <c r="B3347" s="11"/>
      <c r="D3347" s="21"/>
      <c r="E3347" s="22"/>
      <c r="G3347" s="23"/>
      <c r="H3347" s="24"/>
      <c r="Q3347" s="2"/>
      <c r="R3347" s="2"/>
    </row>
    <row r="3348" spans="1:18" ht="15.75" customHeight="1" x14ac:dyDescent="0.3">
      <c r="A3348" s="11"/>
      <c r="B3348" s="11"/>
      <c r="D3348" s="21"/>
      <c r="E3348" s="22"/>
      <c r="G3348" s="23"/>
      <c r="H3348" s="24"/>
      <c r="Q3348" s="2"/>
      <c r="R3348" s="2"/>
    </row>
    <row r="3349" spans="1:18" ht="15.75" customHeight="1" x14ac:dyDescent="0.3">
      <c r="A3349" s="11"/>
      <c r="B3349" s="11"/>
      <c r="D3349" s="21"/>
      <c r="E3349" s="22"/>
      <c r="G3349" s="23"/>
      <c r="H3349" s="24"/>
      <c r="Q3349" s="2"/>
      <c r="R3349" s="2"/>
    </row>
    <row r="3350" spans="1:18" ht="15.75" customHeight="1" x14ac:dyDescent="0.3">
      <c r="A3350" s="11"/>
      <c r="B3350" s="11"/>
      <c r="D3350" s="21"/>
      <c r="E3350" s="22"/>
      <c r="G3350" s="23"/>
      <c r="H3350" s="24"/>
      <c r="Q3350" s="2"/>
      <c r="R3350" s="2"/>
    </row>
    <row r="3351" spans="1:18" ht="15.75" customHeight="1" x14ac:dyDescent="0.3">
      <c r="A3351" s="11"/>
      <c r="B3351" s="11"/>
      <c r="D3351" s="21"/>
      <c r="E3351" s="22"/>
      <c r="G3351" s="23"/>
      <c r="H3351" s="24"/>
      <c r="Q3351" s="2"/>
      <c r="R3351" s="2"/>
    </row>
    <row r="3352" spans="1:18" ht="15.75" customHeight="1" x14ac:dyDescent="0.3">
      <c r="A3352" s="11"/>
      <c r="B3352" s="11"/>
      <c r="D3352" s="21"/>
      <c r="E3352" s="22"/>
      <c r="G3352" s="23"/>
      <c r="H3352" s="24"/>
      <c r="Q3352" s="2"/>
      <c r="R3352" s="2"/>
    </row>
    <row r="3353" spans="1:18" ht="15.75" customHeight="1" x14ac:dyDescent="0.3">
      <c r="A3353" s="11"/>
      <c r="B3353" s="11"/>
      <c r="D3353" s="21"/>
      <c r="E3353" s="22"/>
      <c r="G3353" s="23"/>
      <c r="H3353" s="24"/>
      <c r="Q3353" s="2"/>
      <c r="R3353" s="2"/>
    </row>
    <row r="3354" spans="1:18" ht="15.75" customHeight="1" x14ac:dyDescent="0.3">
      <c r="A3354" s="11"/>
      <c r="B3354" s="11"/>
      <c r="D3354" s="21"/>
      <c r="E3354" s="22"/>
      <c r="G3354" s="23"/>
      <c r="H3354" s="24"/>
      <c r="Q3354" s="2"/>
      <c r="R3354" s="2"/>
    </row>
    <row r="3355" spans="1:18" ht="15.75" customHeight="1" x14ac:dyDescent="0.3">
      <c r="A3355" s="11"/>
      <c r="B3355" s="11"/>
      <c r="D3355" s="21"/>
      <c r="E3355" s="22"/>
      <c r="G3355" s="23"/>
      <c r="H3355" s="24"/>
      <c r="Q3355" s="2"/>
      <c r="R3355" s="2"/>
    </row>
    <row r="3356" spans="1:18" ht="15.75" customHeight="1" x14ac:dyDescent="0.3">
      <c r="A3356" s="11"/>
      <c r="B3356" s="11"/>
      <c r="D3356" s="21"/>
      <c r="E3356" s="22"/>
      <c r="G3356" s="23"/>
      <c r="H3356" s="24"/>
      <c r="Q3356" s="2"/>
      <c r="R3356" s="2"/>
    </row>
    <row r="3357" spans="1:18" ht="15.75" customHeight="1" x14ac:dyDescent="0.3">
      <c r="A3357" s="11"/>
      <c r="B3357" s="11"/>
      <c r="D3357" s="21"/>
      <c r="E3357" s="22"/>
      <c r="G3357" s="23"/>
      <c r="H3357" s="24"/>
      <c r="Q3357" s="2"/>
      <c r="R3357" s="2"/>
    </row>
    <row r="3358" spans="1:18" ht="15.75" customHeight="1" x14ac:dyDescent="0.3">
      <c r="A3358" s="11"/>
      <c r="B3358" s="11"/>
      <c r="D3358" s="21"/>
      <c r="E3358" s="22"/>
      <c r="G3358" s="23"/>
      <c r="H3358" s="24"/>
      <c r="Q3358" s="2"/>
      <c r="R3358" s="2"/>
    </row>
    <row r="3359" spans="1:18" ht="15.75" customHeight="1" x14ac:dyDescent="0.3">
      <c r="A3359" s="11"/>
      <c r="B3359" s="11"/>
      <c r="D3359" s="21"/>
      <c r="E3359" s="22"/>
      <c r="G3359" s="23"/>
      <c r="H3359" s="24"/>
      <c r="Q3359" s="2"/>
      <c r="R3359" s="2"/>
    </row>
    <row r="3360" spans="1:18" ht="15.75" customHeight="1" x14ac:dyDescent="0.3">
      <c r="A3360" s="11"/>
      <c r="B3360" s="11"/>
      <c r="D3360" s="21"/>
      <c r="E3360" s="22"/>
      <c r="G3360" s="23"/>
      <c r="H3360" s="24"/>
      <c r="Q3360" s="2"/>
      <c r="R3360" s="2"/>
    </row>
    <row r="3361" spans="1:18" ht="15.75" customHeight="1" x14ac:dyDescent="0.3">
      <c r="A3361" s="11"/>
      <c r="B3361" s="11"/>
      <c r="D3361" s="21"/>
      <c r="E3361" s="22"/>
      <c r="G3361" s="23"/>
      <c r="H3361" s="24"/>
      <c r="Q3361" s="2"/>
      <c r="R3361" s="2"/>
    </row>
    <row r="3362" spans="1:18" ht="15.75" customHeight="1" x14ac:dyDescent="0.3">
      <c r="A3362" s="11"/>
      <c r="B3362" s="11"/>
      <c r="D3362" s="21"/>
      <c r="E3362" s="22"/>
      <c r="G3362" s="23"/>
      <c r="H3362" s="24"/>
      <c r="Q3362" s="2"/>
      <c r="R3362" s="2"/>
    </row>
    <row r="3363" spans="1:18" ht="15.75" customHeight="1" x14ac:dyDescent="0.3">
      <c r="A3363" s="11"/>
      <c r="B3363" s="11"/>
      <c r="D3363" s="21"/>
      <c r="E3363" s="22"/>
      <c r="G3363" s="23"/>
      <c r="H3363" s="24"/>
      <c r="Q3363" s="2"/>
      <c r="R3363" s="2"/>
    </row>
    <row r="3364" spans="1:18" ht="15.75" customHeight="1" x14ac:dyDescent="0.3">
      <c r="A3364" s="11"/>
      <c r="B3364" s="11"/>
      <c r="D3364" s="21"/>
      <c r="E3364" s="22"/>
      <c r="G3364" s="23"/>
      <c r="H3364" s="24"/>
      <c r="Q3364" s="2"/>
      <c r="R3364" s="2"/>
    </row>
    <row r="3365" spans="1:18" ht="15.75" customHeight="1" x14ac:dyDescent="0.3">
      <c r="A3365" s="11"/>
      <c r="B3365" s="11"/>
      <c r="D3365" s="21"/>
      <c r="E3365" s="22"/>
      <c r="G3365" s="23"/>
      <c r="H3365" s="24"/>
      <c r="Q3365" s="2"/>
      <c r="R3365" s="2"/>
    </row>
    <row r="3366" spans="1:18" ht="15.75" customHeight="1" x14ac:dyDescent="0.3">
      <c r="A3366" s="11"/>
      <c r="B3366" s="11"/>
      <c r="D3366" s="21"/>
      <c r="E3366" s="22"/>
      <c r="G3366" s="23"/>
      <c r="H3366" s="24"/>
      <c r="Q3366" s="2"/>
      <c r="R3366" s="2"/>
    </row>
    <row r="3367" spans="1:18" ht="15.75" customHeight="1" x14ac:dyDescent="0.3">
      <c r="A3367" s="11"/>
      <c r="B3367" s="11"/>
      <c r="D3367" s="21"/>
      <c r="E3367" s="22"/>
      <c r="G3367" s="23"/>
      <c r="H3367" s="24"/>
      <c r="Q3367" s="2"/>
      <c r="R3367" s="2"/>
    </row>
    <row r="3368" spans="1:18" ht="15.75" customHeight="1" x14ac:dyDescent="0.3">
      <c r="A3368" s="11"/>
      <c r="B3368" s="11"/>
      <c r="D3368" s="21"/>
      <c r="E3368" s="22"/>
      <c r="G3368" s="23"/>
      <c r="H3368" s="24"/>
      <c r="Q3368" s="2"/>
      <c r="R3368" s="2"/>
    </row>
    <row r="3369" spans="1:18" ht="15.75" customHeight="1" x14ac:dyDescent="0.3">
      <c r="A3369" s="11"/>
      <c r="B3369" s="11"/>
      <c r="D3369" s="21"/>
      <c r="E3369" s="22"/>
      <c r="G3369" s="23"/>
      <c r="H3369" s="24"/>
      <c r="Q3369" s="2"/>
      <c r="R3369" s="2"/>
    </row>
    <row r="3370" spans="1:18" ht="15.75" customHeight="1" x14ac:dyDescent="0.3">
      <c r="A3370" s="11"/>
      <c r="B3370" s="11"/>
      <c r="D3370" s="21"/>
      <c r="E3370" s="22"/>
      <c r="G3370" s="23"/>
      <c r="H3370" s="24"/>
      <c r="Q3370" s="2"/>
      <c r="R3370" s="2"/>
    </row>
    <row r="3371" spans="1:18" ht="15.75" customHeight="1" x14ac:dyDescent="0.3">
      <c r="A3371" s="11"/>
      <c r="B3371" s="11"/>
      <c r="D3371" s="21"/>
      <c r="E3371" s="22"/>
      <c r="G3371" s="23"/>
      <c r="H3371" s="24"/>
      <c r="Q3371" s="2"/>
      <c r="R3371" s="2"/>
    </row>
    <row r="3372" spans="1:18" ht="15.75" customHeight="1" x14ac:dyDescent="0.3">
      <c r="A3372" s="11"/>
      <c r="B3372" s="11"/>
      <c r="D3372" s="21"/>
      <c r="E3372" s="22"/>
      <c r="G3372" s="23"/>
      <c r="H3372" s="24"/>
      <c r="Q3372" s="2"/>
      <c r="R3372" s="2"/>
    </row>
    <row r="3373" spans="1:18" ht="15.75" customHeight="1" x14ac:dyDescent="0.3">
      <c r="A3373" s="11"/>
      <c r="B3373" s="11"/>
      <c r="D3373" s="21"/>
      <c r="E3373" s="22"/>
      <c r="G3373" s="23"/>
      <c r="H3373" s="24"/>
      <c r="Q3373" s="2"/>
      <c r="R3373" s="2"/>
    </row>
    <row r="3374" spans="1:18" ht="15.75" customHeight="1" x14ac:dyDescent="0.3">
      <c r="A3374" s="11"/>
      <c r="B3374" s="11"/>
      <c r="D3374" s="21"/>
      <c r="E3374" s="22"/>
      <c r="G3374" s="23"/>
      <c r="H3374" s="24"/>
      <c r="Q3374" s="2"/>
      <c r="R3374" s="2"/>
    </row>
    <row r="3375" spans="1:18" ht="15.75" customHeight="1" x14ac:dyDescent="0.3">
      <c r="A3375" s="11"/>
      <c r="B3375" s="11"/>
      <c r="D3375" s="21"/>
      <c r="E3375" s="22"/>
      <c r="G3375" s="23"/>
      <c r="H3375" s="24"/>
      <c r="Q3375" s="2"/>
      <c r="R3375" s="2"/>
    </row>
    <row r="3376" spans="1:18" ht="15.75" customHeight="1" x14ac:dyDescent="0.3">
      <c r="A3376" s="11"/>
      <c r="B3376" s="11"/>
      <c r="D3376" s="21"/>
      <c r="E3376" s="22"/>
      <c r="G3376" s="23"/>
      <c r="H3376" s="24"/>
      <c r="Q3376" s="2"/>
      <c r="R3376" s="2"/>
    </row>
    <row r="3377" spans="1:18" ht="15.75" customHeight="1" x14ac:dyDescent="0.3">
      <c r="A3377" s="11"/>
      <c r="B3377" s="11"/>
      <c r="D3377" s="21"/>
      <c r="E3377" s="22"/>
      <c r="G3377" s="23"/>
      <c r="H3377" s="24"/>
      <c r="Q3377" s="2"/>
      <c r="R3377" s="2"/>
    </row>
    <row r="3378" spans="1:18" ht="15.75" customHeight="1" x14ac:dyDescent="0.3">
      <c r="A3378" s="11"/>
      <c r="B3378" s="11"/>
      <c r="D3378" s="21"/>
      <c r="E3378" s="22"/>
      <c r="G3378" s="23"/>
      <c r="H3378" s="24"/>
      <c r="Q3378" s="2"/>
      <c r="R3378" s="2"/>
    </row>
    <row r="3379" spans="1:18" ht="15.75" customHeight="1" x14ac:dyDescent="0.3">
      <c r="A3379" s="11"/>
      <c r="B3379" s="11"/>
      <c r="D3379" s="21"/>
      <c r="E3379" s="22"/>
      <c r="G3379" s="23"/>
      <c r="H3379" s="24"/>
      <c r="Q3379" s="2"/>
      <c r="R3379" s="2"/>
    </row>
    <row r="3380" spans="1:18" ht="15.75" customHeight="1" x14ac:dyDescent="0.3">
      <c r="A3380" s="11"/>
      <c r="B3380" s="11"/>
      <c r="D3380" s="21"/>
      <c r="E3380" s="22"/>
      <c r="G3380" s="23"/>
      <c r="H3380" s="24"/>
      <c r="Q3380" s="2"/>
      <c r="R3380" s="2"/>
    </row>
    <row r="3381" spans="1:18" ht="15.75" customHeight="1" x14ac:dyDescent="0.3">
      <c r="A3381" s="11"/>
      <c r="B3381" s="11"/>
      <c r="D3381" s="21"/>
      <c r="E3381" s="22"/>
      <c r="G3381" s="23"/>
      <c r="H3381" s="24"/>
      <c r="Q3381" s="2"/>
      <c r="R3381" s="2"/>
    </row>
    <row r="3382" spans="1:18" ht="15.75" customHeight="1" x14ac:dyDescent="0.3">
      <c r="A3382" s="11"/>
      <c r="B3382" s="11"/>
      <c r="D3382" s="21"/>
      <c r="E3382" s="22"/>
      <c r="G3382" s="23"/>
      <c r="H3382" s="24"/>
      <c r="Q3382" s="2"/>
      <c r="R3382" s="2"/>
    </row>
    <row r="3383" spans="1:18" ht="15.75" customHeight="1" x14ac:dyDescent="0.3">
      <c r="A3383" s="11"/>
      <c r="B3383" s="11"/>
      <c r="D3383" s="21"/>
      <c r="E3383" s="22"/>
      <c r="G3383" s="23"/>
      <c r="H3383" s="24"/>
      <c r="Q3383" s="2"/>
      <c r="R3383" s="2"/>
    </row>
    <row r="3384" spans="1:18" ht="15.75" customHeight="1" x14ac:dyDescent="0.3">
      <c r="A3384" s="11"/>
      <c r="B3384" s="11"/>
      <c r="D3384" s="21"/>
      <c r="E3384" s="22"/>
      <c r="G3384" s="23"/>
      <c r="H3384" s="24"/>
      <c r="Q3384" s="2"/>
      <c r="R3384" s="2"/>
    </row>
    <row r="3385" spans="1:18" ht="15.75" customHeight="1" x14ac:dyDescent="0.3">
      <c r="A3385" s="11"/>
      <c r="B3385" s="11"/>
      <c r="D3385" s="21"/>
      <c r="E3385" s="22"/>
      <c r="G3385" s="23"/>
      <c r="H3385" s="24"/>
      <c r="Q3385" s="2"/>
      <c r="R3385" s="2"/>
    </row>
    <row r="3386" spans="1:18" ht="15.75" customHeight="1" x14ac:dyDescent="0.3">
      <c r="A3386" s="11"/>
      <c r="B3386" s="11"/>
      <c r="D3386" s="21"/>
      <c r="E3386" s="22"/>
      <c r="G3386" s="23"/>
      <c r="H3386" s="24"/>
      <c r="Q3386" s="2"/>
      <c r="R3386" s="2"/>
    </row>
    <row r="3387" spans="1:18" ht="15.75" customHeight="1" x14ac:dyDescent="0.3">
      <c r="A3387" s="11"/>
      <c r="B3387" s="11"/>
      <c r="D3387" s="21"/>
      <c r="E3387" s="22"/>
      <c r="G3387" s="23"/>
      <c r="H3387" s="24"/>
      <c r="Q3387" s="2"/>
      <c r="R3387" s="2"/>
    </row>
    <row r="3388" spans="1:18" ht="15.75" customHeight="1" x14ac:dyDescent="0.3">
      <c r="A3388" s="11"/>
      <c r="B3388" s="11"/>
      <c r="D3388" s="21"/>
      <c r="E3388" s="22"/>
      <c r="G3388" s="23"/>
      <c r="H3388" s="24"/>
      <c r="Q3388" s="2"/>
      <c r="R3388" s="2"/>
    </row>
    <row r="3389" spans="1:18" ht="15.75" customHeight="1" x14ac:dyDescent="0.3">
      <c r="A3389" s="11"/>
      <c r="B3389" s="11"/>
      <c r="D3389" s="21"/>
      <c r="E3389" s="22"/>
      <c r="G3389" s="23"/>
      <c r="H3389" s="24"/>
      <c r="Q3389" s="2"/>
      <c r="R3389" s="2"/>
    </row>
    <row r="3390" spans="1:18" ht="15.75" customHeight="1" x14ac:dyDescent="0.3">
      <c r="A3390" s="11"/>
      <c r="B3390" s="11"/>
      <c r="D3390" s="21"/>
      <c r="E3390" s="22"/>
      <c r="G3390" s="23"/>
      <c r="H3390" s="24"/>
      <c r="Q3390" s="2"/>
      <c r="R3390" s="2"/>
    </row>
    <row r="3391" spans="1:18" ht="15.75" customHeight="1" x14ac:dyDescent="0.3">
      <c r="A3391" s="11"/>
      <c r="B3391" s="11"/>
      <c r="D3391" s="21"/>
      <c r="E3391" s="22"/>
      <c r="G3391" s="23"/>
      <c r="H3391" s="24"/>
      <c r="Q3391" s="2"/>
      <c r="R3391" s="2"/>
    </row>
    <row r="3392" spans="1:18" ht="15.75" customHeight="1" x14ac:dyDescent="0.3">
      <c r="A3392" s="11"/>
      <c r="B3392" s="11"/>
      <c r="D3392" s="21"/>
      <c r="E3392" s="22"/>
      <c r="G3392" s="23"/>
      <c r="H3392" s="24"/>
      <c r="Q3392" s="2"/>
      <c r="R3392" s="2"/>
    </row>
    <row r="3393" spans="1:18" ht="15.75" customHeight="1" x14ac:dyDescent="0.3">
      <c r="A3393" s="11"/>
      <c r="B3393" s="11"/>
      <c r="D3393" s="21"/>
      <c r="E3393" s="22"/>
      <c r="G3393" s="23"/>
      <c r="H3393" s="24"/>
      <c r="Q3393" s="2"/>
      <c r="R3393" s="2"/>
    </row>
    <row r="3394" spans="1:18" ht="15.75" customHeight="1" x14ac:dyDescent="0.3">
      <c r="A3394" s="11"/>
      <c r="B3394" s="11"/>
      <c r="D3394" s="21"/>
      <c r="E3394" s="22"/>
      <c r="G3394" s="23"/>
      <c r="H3394" s="24"/>
      <c r="Q3394" s="2"/>
      <c r="R3394" s="2"/>
    </row>
    <row r="3395" spans="1:18" ht="15.75" customHeight="1" x14ac:dyDescent="0.3">
      <c r="A3395" s="11"/>
      <c r="B3395" s="11"/>
      <c r="D3395" s="21"/>
      <c r="E3395" s="22"/>
      <c r="G3395" s="23"/>
      <c r="H3395" s="24"/>
      <c r="Q3395" s="2"/>
      <c r="R3395" s="2"/>
    </row>
    <row r="3396" spans="1:18" ht="15.75" customHeight="1" x14ac:dyDescent="0.3">
      <c r="A3396" s="11"/>
      <c r="B3396" s="11"/>
      <c r="D3396" s="21"/>
      <c r="E3396" s="22"/>
      <c r="G3396" s="23"/>
      <c r="H3396" s="24"/>
      <c r="Q3396" s="2"/>
      <c r="R3396" s="2"/>
    </row>
    <row r="3397" spans="1:18" ht="15.75" customHeight="1" x14ac:dyDescent="0.3">
      <c r="A3397" s="11"/>
      <c r="B3397" s="11"/>
      <c r="D3397" s="21"/>
      <c r="E3397" s="22"/>
      <c r="G3397" s="23"/>
      <c r="H3397" s="24"/>
      <c r="Q3397" s="2"/>
      <c r="R3397" s="2"/>
    </row>
    <row r="3398" spans="1:18" ht="15.75" customHeight="1" x14ac:dyDescent="0.3">
      <c r="A3398" s="11"/>
      <c r="B3398" s="11"/>
      <c r="D3398" s="21"/>
      <c r="E3398" s="22"/>
      <c r="G3398" s="23"/>
      <c r="H3398" s="24"/>
      <c r="Q3398" s="2"/>
      <c r="R3398" s="2"/>
    </row>
    <row r="3399" spans="1:18" ht="15.75" customHeight="1" x14ac:dyDescent="0.3">
      <c r="A3399" s="11"/>
      <c r="B3399" s="11"/>
      <c r="D3399" s="21"/>
      <c r="E3399" s="22"/>
      <c r="G3399" s="23"/>
      <c r="H3399" s="24"/>
      <c r="Q3399" s="2"/>
      <c r="R3399" s="2"/>
    </row>
    <row r="3400" spans="1:18" ht="15.75" customHeight="1" x14ac:dyDescent="0.3">
      <c r="A3400" s="11"/>
      <c r="B3400" s="11"/>
      <c r="D3400" s="21"/>
      <c r="E3400" s="22"/>
      <c r="G3400" s="23"/>
      <c r="H3400" s="24"/>
      <c r="Q3400" s="2"/>
      <c r="R3400" s="2"/>
    </row>
    <row r="3401" spans="1:18" ht="15.75" customHeight="1" x14ac:dyDescent="0.3">
      <c r="A3401" s="11"/>
      <c r="B3401" s="11"/>
      <c r="D3401" s="21"/>
      <c r="E3401" s="22"/>
      <c r="G3401" s="23"/>
      <c r="H3401" s="24"/>
      <c r="Q3401" s="2"/>
      <c r="R3401" s="2"/>
    </row>
    <row r="3402" spans="1:18" ht="15.75" customHeight="1" x14ac:dyDescent="0.3">
      <c r="A3402" s="11"/>
      <c r="B3402" s="11"/>
      <c r="D3402" s="21"/>
      <c r="E3402" s="22"/>
      <c r="G3402" s="23"/>
      <c r="H3402" s="24"/>
      <c r="Q3402" s="2"/>
      <c r="R3402" s="2"/>
    </row>
    <row r="3403" spans="1:18" ht="15.75" customHeight="1" x14ac:dyDescent="0.3">
      <c r="A3403" s="11"/>
      <c r="B3403" s="11"/>
      <c r="D3403" s="21"/>
      <c r="E3403" s="22"/>
      <c r="G3403" s="23"/>
      <c r="H3403" s="24"/>
      <c r="Q3403" s="2"/>
      <c r="R3403" s="2"/>
    </row>
    <row r="3404" spans="1:18" ht="15.75" customHeight="1" x14ac:dyDescent="0.3">
      <c r="A3404" s="11"/>
      <c r="B3404" s="11"/>
      <c r="D3404" s="21"/>
      <c r="E3404" s="22"/>
      <c r="G3404" s="23"/>
      <c r="H3404" s="24"/>
      <c r="Q3404" s="2"/>
      <c r="R3404" s="2"/>
    </row>
    <row r="3405" spans="1:18" ht="15.75" customHeight="1" x14ac:dyDescent="0.3">
      <c r="A3405" s="11"/>
      <c r="B3405" s="11"/>
      <c r="D3405" s="21"/>
      <c r="E3405" s="22"/>
      <c r="G3405" s="23"/>
      <c r="H3405" s="24"/>
      <c r="Q3405" s="2"/>
      <c r="R3405" s="2"/>
    </row>
    <row r="3406" spans="1:18" ht="15.75" customHeight="1" x14ac:dyDescent="0.3">
      <c r="A3406" s="11"/>
      <c r="B3406" s="11"/>
      <c r="D3406" s="21"/>
      <c r="E3406" s="22"/>
      <c r="G3406" s="23"/>
      <c r="H3406" s="24"/>
      <c r="Q3406" s="2"/>
      <c r="R3406" s="2"/>
    </row>
    <row r="3407" spans="1:18" ht="15.75" customHeight="1" x14ac:dyDescent="0.3">
      <c r="A3407" s="11"/>
      <c r="B3407" s="11"/>
      <c r="D3407" s="21"/>
      <c r="E3407" s="22"/>
      <c r="G3407" s="23"/>
      <c r="H3407" s="24"/>
      <c r="Q3407" s="2"/>
      <c r="R3407" s="2"/>
    </row>
    <row r="3408" spans="1:18" ht="15.75" customHeight="1" x14ac:dyDescent="0.3">
      <c r="A3408" s="11"/>
      <c r="B3408" s="11"/>
      <c r="D3408" s="21"/>
      <c r="E3408" s="22"/>
      <c r="G3408" s="23"/>
      <c r="H3408" s="24"/>
      <c r="Q3408" s="2"/>
      <c r="R3408" s="2"/>
    </row>
    <row r="3409" spans="1:18" ht="15.75" customHeight="1" x14ac:dyDescent="0.3">
      <c r="A3409" s="11"/>
      <c r="B3409" s="11"/>
      <c r="D3409" s="21"/>
      <c r="E3409" s="22"/>
      <c r="G3409" s="23"/>
      <c r="H3409" s="24"/>
      <c r="Q3409" s="2"/>
      <c r="R3409" s="2"/>
    </row>
    <row r="3410" spans="1:18" ht="15.75" customHeight="1" x14ac:dyDescent="0.3">
      <c r="A3410" s="11"/>
      <c r="B3410" s="11"/>
      <c r="D3410" s="21"/>
      <c r="E3410" s="22"/>
      <c r="G3410" s="23"/>
      <c r="H3410" s="24"/>
      <c r="Q3410" s="2"/>
      <c r="R3410" s="2"/>
    </row>
    <row r="3411" spans="1:18" ht="15.75" customHeight="1" x14ac:dyDescent="0.3">
      <c r="A3411" s="11"/>
      <c r="B3411" s="11"/>
      <c r="D3411" s="21"/>
      <c r="E3411" s="22"/>
      <c r="G3411" s="23"/>
      <c r="H3411" s="24"/>
      <c r="Q3411" s="2"/>
      <c r="R3411" s="2"/>
    </row>
    <row r="3412" spans="1:18" ht="15.75" customHeight="1" x14ac:dyDescent="0.3">
      <c r="A3412" s="11"/>
      <c r="B3412" s="11"/>
      <c r="D3412" s="21"/>
      <c r="E3412" s="22"/>
      <c r="G3412" s="23"/>
      <c r="H3412" s="24"/>
      <c r="Q3412" s="2"/>
      <c r="R3412" s="2"/>
    </row>
    <row r="3413" spans="1:18" ht="15.75" customHeight="1" x14ac:dyDescent="0.3">
      <c r="A3413" s="11"/>
      <c r="B3413" s="11"/>
      <c r="D3413" s="21"/>
      <c r="E3413" s="22"/>
      <c r="G3413" s="23"/>
      <c r="H3413" s="24"/>
      <c r="Q3413" s="2"/>
      <c r="R3413" s="2"/>
    </row>
    <row r="3414" spans="1:18" ht="15.75" customHeight="1" x14ac:dyDescent="0.3">
      <c r="A3414" s="11"/>
      <c r="B3414" s="11"/>
      <c r="D3414" s="21"/>
      <c r="E3414" s="22"/>
      <c r="G3414" s="23"/>
      <c r="H3414" s="24"/>
      <c r="Q3414" s="2"/>
      <c r="R3414" s="2"/>
    </row>
    <row r="3415" spans="1:18" ht="15.75" customHeight="1" x14ac:dyDescent="0.3">
      <c r="A3415" s="11"/>
      <c r="B3415" s="11"/>
      <c r="D3415" s="21"/>
      <c r="E3415" s="22"/>
      <c r="G3415" s="23"/>
      <c r="H3415" s="24"/>
      <c r="Q3415" s="2"/>
      <c r="R3415" s="2"/>
    </row>
    <row r="3416" spans="1:18" ht="15.75" customHeight="1" x14ac:dyDescent="0.3">
      <c r="A3416" s="11"/>
      <c r="B3416" s="11"/>
      <c r="D3416" s="21"/>
      <c r="E3416" s="22"/>
      <c r="G3416" s="23"/>
      <c r="H3416" s="24"/>
      <c r="Q3416" s="2"/>
      <c r="R3416" s="2"/>
    </row>
    <row r="3417" spans="1:18" ht="15.75" customHeight="1" x14ac:dyDescent="0.3">
      <c r="A3417" s="11"/>
      <c r="B3417" s="11"/>
      <c r="D3417" s="21"/>
      <c r="E3417" s="22"/>
      <c r="G3417" s="23"/>
      <c r="H3417" s="24"/>
      <c r="Q3417" s="2"/>
      <c r="R3417" s="2"/>
    </row>
    <row r="3418" spans="1:18" ht="15.75" customHeight="1" x14ac:dyDescent="0.3">
      <c r="A3418" s="11"/>
      <c r="B3418" s="11"/>
      <c r="D3418" s="21"/>
      <c r="E3418" s="22"/>
      <c r="G3418" s="23"/>
      <c r="H3418" s="24"/>
      <c r="Q3418" s="2"/>
      <c r="R3418" s="2"/>
    </row>
    <row r="3419" spans="1:18" ht="15.75" customHeight="1" x14ac:dyDescent="0.3">
      <c r="A3419" s="11"/>
      <c r="B3419" s="11"/>
      <c r="D3419" s="21"/>
      <c r="E3419" s="22"/>
      <c r="G3419" s="23"/>
      <c r="H3419" s="24"/>
      <c r="Q3419" s="2"/>
      <c r="R3419" s="2"/>
    </row>
    <row r="3420" spans="1:18" ht="15.75" customHeight="1" x14ac:dyDescent="0.3">
      <c r="A3420" s="11"/>
      <c r="B3420" s="11"/>
      <c r="D3420" s="21"/>
      <c r="E3420" s="22"/>
      <c r="G3420" s="23"/>
      <c r="H3420" s="24"/>
      <c r="Q3420" s="2"/>
      <c r="R3420" s="2"/>
    </row>
    <row r="3421" spans="1:18" ht="15.75" customHeight="1" x14ac:dyDescent="0.3">
      <c r="A3421" s="11"/>
      <c r="B3421" s="11"/>
      <c r="D3421" s="21"/>
      <c r="E3421" s="22"/>
      <c r="G3421" s="23"/>
      <c r="H3421" s="24"/>
      <c r="Q3421" s="2"/>
      <c r="R3421" s="2"/>
    </row>
    <row r="3422" spans="1:18" ht="15.75" customHeight="1" x14ac:dyDescent="0.3">
      <c r="A3422" s="11"/>
      <c r="B3422" s="11"/>
      <c r="D3422" s="21"/>
      <c r="E3422" s="22"/>
      <c r="G3422" s="23"/>
      <c r="H3422" s="24"/>
      <c r="Q3422" s="2"/>
      <c r="R3422" s="2"/>
    </row>
    <row r="3423" spans="1:18" ht="15.75" customHeight="1" x14ac:dyDescent="0.3">
      <c r="A3423" s="11"/>
      <c r="B3423" s="11"/>
      <c r="D3423" s="21"/>
      <c r="E3423" s="22"/>
      <c r="G3423" s="23"/>
      <c r="H3423" s="24"/>
      <c r="Q3423" s="2"/>
      <c r="R3423" s="2"/>
    </row>
    <row r="3424" spans="1:18" ht="15.75" customHeight="1" x14ac:dyDescent="0.3">
      <c r="A3424" s="11"/>
      <c r="B3424" s="11"/>
      <c r="D3424" s="21"/>
      <c r="E3424" s="22"/>
      <c r="G3424" s="23"/>
      <c r="H3424" s="24"/>
      <c r="Q3424" s="2"/>
      <c r="R3424" s="2"/>
    </row>
    <row r="3425" spans="1:18" ht="15.75" customHeight="1" x14ac:dyDescent="0.3">
      <c r="A3425" s="11"/>
      <c r="B3425" s="11"/>
      <c r="D3425" s="21"/>
      <c r="E3425" s="22"/>
      <c r="G3425" s="23"/>
      <c r="H3425" s="24"/>
      <c r="Q3425" s="2"/>
      <c r="R3425" s="2"/>
    </row>
    <row r="3426" spans="1:18" ht="15.75" customHeight="1" x14ac:dyDescent="0.3">
      <c r="A3426" s="11"/>
      <c r="B3426" s="11"/>
      <c r="D3426" s="21"/>
      <c r="E3426" s="22"/>
      <c r="G3426" s="23"/>
      <c r="H3426" s="24"/>
      <c r="Q3426" s="2"/>
      <c r="R3426" s="2"/>
    </row>
    <row r="3427" spans="1:18" ht="15.75" customHeight="1" x14ac:dyDescent="0.3">
      <c r="A3427" s="11"/>
      <c r="B3427" s="11"/>
      <c r="D3427" s="21"/>
      <c r="E3427" s="22"/>
      <c r="G3427" s="23"/>
      <c r="H3427" s="24"/>
      <c r="Q3427" s="2"/>
      <c r="R3427" s="2"/>
    </row>
    <row r="3428" spans="1:18" ht="15.75" customHeight="1" x14ac:dyDescent="0.3">
      <c r="A3428" s="11"/>
      <c r="B3428" s="11"/>
      <c r="D3428" s="21"/>
      <c r="E3428" s="22"/>
      <c r="G3428" s="23"/>
      <c r="H3428" s="24"/>
      <c r="Q3428" s="2"/>
      <c r="R3428" s="2"/>
    </row>
    <row r="3429" spans="1:18" ht="15.75" customHeight="1" x14ac:dyDescent="0.3">
      <c r="A3429" s="11"/>
      <c r="B3429" s="11"/>
      <c r="D3429" s="21"/>
      <c r="E3429" s="22"/>
      <c r="G3429" s="23"/>
      <c r="H3429" s="24"/>
      <c r="Q3429" s="2"/>
      <c r="R3429" s="2"/>
    </row>
    <row r="3430" spans="1:18" ht="15.75" customHeight="1" x14ac:dyDescent="0.3">
      <c r="A3430" s="11"/>
      <c r="B3430" s="11"/>
      <c r="D3430" s="21"/>
      <c r="E3430" s="22"/>
      <c r="G3430" s="23"/>
      <c r="H3430" s="24"/>
      <c r="Q3430" s="2"/>
      <c r="R3430" s="2"/>
    </row>
    <row r="3431" spans="1:18" ht="15.75" customHeight="1" x14ac:dyDescent="0.3">
      <c r="A3431" s="11"/>
      <c r="B3431" s="11"/>
      <c r="D3431" s="21"/>
      <c r="E3431" s="22"/>
      <c r="G3431" s="23"/>
      <c r="H3431" s="24"/>
      <c r="Q3431" s="2"/>
      <c r="R3431" s="2"/>
    </row>
    <row r="3432" spans="1:18" ht="15.75" customHeight="1" x14ac:dyDescent="0.3">
      <c r="A3432" s="11"/>
      <c r="B3432" s="11"/>
      <c r="D3432" s="21"/>
      <c r="E3432" s="22"/>
      <c r="G3432" s="23"/>
      <c r="H3432" s="24"/>
      <c r="Q3432" s="2"/>
      <c r="R3432" s="2"/>
    </row>
    <row r="3433" spans="1:18" ht="15.75" customHeight="1" x14ac:dyDescent="0.3">
      <c r="A3433" s="11"/>
      <c r="B3433" s="11"/>
      <c r="D3433" s="21"/>
      <c r="E3433" s="22"/>
      <c r="G3433" s="23"/>
      <c r="H3433" s="24"/>
      <c r="Q3433" s="2"/>
      <c r="R3433" s="2"/>
    </row>
    <row r="3434" spans="1:18" ht="15.75" customHeight="1" x14ac:dyDescent="0.3">
      <c r="A3434" s="11"/>
      <c r="B3434" s="11"/>
      <c r="D3434" s="21"/>
      <c r="E3434" s="22"/>
      <c r="G3434" s="23"/>
      <c r="H3434" s="24"/>
      <c r="Q3434" s="2"/>
      <c r="R3434" s="2"/>
    </row>
    <row r="3435" spans="1:18" ht="15.75" customHeight="1" x14ac:dyDescent="0.3">
      <c r="A3435" s="11"/>
      <c r="B3435" s="11"/>
      <c r="D3435" s="21"/>
      <c r="E3435" s="22"/>
      <c r="G3435" s="23"/>
      <c r="H3435" s="24"/>
      <c r="Q3435" s="2"/>
      <c r="R3435" s="2"/>
    </row>
    <row r="3436" spans="1:18" ht="15.75" customHeight="1" x14ac:dyDescent="0.3">
      <c r="A3436" s="11"/>
      <c r="B3436" s="11"/>
      <c r="D3436" s="21"/>
      <c r="E3436" s="22"/>
      <c r="G3436" s="23"/>
      <c r="H3436" s="24"/>
      <c r="Q3436" s="2"/>
      <c r="R3436" s="2"/>
    </row>
    <row r="3437" spans="1:18" ht="15.75" customHeight="1" x14ac:dyDescent="0.3">
      <c r="A3437" s="11"/>
      <c r="B3437" s="11"/>
      <c r="D3437" s="21"/>
      <c r="E3437" s="22"/>
      <c r="G3437" s="23"/>
      <c r="H3437" s="24"/>
      <c r="Q3437" s="2"/>
      <c r="R3437" s="2"/>
    </row>
    <row r="3438" spans="1:18" ht="15.75" customHeight="1" x14ac:dyDescent="0.3">
      <c r="A3438" s="11"/>
      <c r="B3438" s="11"/>
      <c r="D3438" s="21"/>
      <c r="E3438" s="22"/>
      <c r="G3438" s="23"/>
      <c r="H3438" s="24"/>
      <c r="Q3438" s="2"/>
      <c r="R3438" s="2"/>
    </row>
    <row r="3439" spans="1:18" ht="15.75" customHeight="1" x14ac:dyDescent="0.3">
      <c r="A3439" s="11"/>
      <c r="B3439" s="11"/>
      <c r="D3439" s="21"/>
      <c r="E3439" s="22"/>
      <c r="G3439" s="23"/>
      <c r="H3439" s="24"/>
      <c r="Q3439" s="2"/>
      <c r="R3439" s="2"/>
    </row>
    <row r="3440" spans="1:18" ht="15.75" customHeight="1" x14ac:dyDescent="0.3">
      <c r="A3440" s="11"/>
      <c r="B3440" s="11"/>
      <c r="D3440" s="21"/>
      <c r="E3440" s="22"/>
      <c r="G3440" s="23"/>
      <c r="H3440" s="24"/>
      <c r="Q3440" s="2"/>
      <c r="R3440" s="2"/>
    </row>
    <row r="3441" spans="1:18" ht="15.75" customHeight="1" x14ac:dyDescent="0.3">
      <c r="A3441" s="11"/>
      <c r="B3441" s="11"/>
      <c r="D3441" s="21"/>
      <c r="E3441" s="22"/>
      <c r="G3441" s="23"/>
      <c r="H3441" s="24"/>
      <c r="Q3441" s="2"/>
      <c r="R3441" s="2"/>
    </row>
    <row r="3442" spans="1:18" ht="15.75" customHeight="1" x14ac:dyDescent="0.3">
      <c r="A3442" s="11"/>
      <c r="B3442" s="11"/>
      <c r="D3442" s="21"/>
      <c r="E3442" s="22"/>
      <c r="G3442" s="23"/>
      <c r="H3442" s="24"/>
      <c r="Q3442" s="2"/>
      <c r="R3442" s="2"/>
    </row>
    <row r="3443" spans="1:18" ht="15.75" customHeight="1" x14ac:dyDescent="0.3">
      <c r="A3443" s="11"/>
      <c r="B3443" s="11"/>
      <c r="D3443" s="21"/>
      <c r="E3443" s="22"/>
      <c r="G3443" s="23"/>
      <c r="H3443" s="24"/>
      <c r="Q3443" s="2"/>
      <c r="R3443" s="2"/>
    </row>
    <row r="3444" spans="1:18" ht="15.75" customHeight="1" x14ac:dyDescent="0.3">
      <c r="A3444" s="11"/>
      <c r="B3444" s="11"/>
      <c r="D3444" s="21"/>
      <c r="E3444" s="22"/>
      <c r="G3444" s="23"/>
      <c r="H3444" s="24"/>
      <c r="Q3444" s="2"/>
      <c r="R3444" s="2"/>
    </row>
    <row r="3445" spans="1:18" ht="15.75" customHeight="1" x14ac:dyDescent="0.3">
      <c r="A3445" s="11"/>
      <c r="B3445" s="11"/>
      <c r="D3445" s="21"/>
      <c r="E3445" s="22"/>
      <c r="G3445" s="23"/>
      <c r="H3445" s="24"/>
      <c r="Q3445" s="2"/>
      <c r="R3445" s="2"/>
    </row>
    <row r="3446" spans="1:18" ht="15.75" customHeight="1" x14ac:dyDescent="0.3">
      <c r="A3446" s="11"/>
      <c r="B3446" s="11"/>
      <c r="D3446" s="21"/>
      <c r="E3446" s="22"/>
      <c r="G3446" s="23"/>
      <c r="H3446" s="24"/>
      <c r="Q3446" s="2"/>
      <c r="R3446" s="2"/>
    </row>
    <row r="3447" spans="1:18" ht="15.75" customHeight="1" x14ac:dyDescent="0.3">
      <c r="A3447" s="11"/>
      <c r="B3447" s="11"/>
      <c r="D3447" s="21"/>
      <c r="E3447" s="22"/>
      <c r="G3447" s="23"/>
      <c r="H3447" s="24"/>
      <c r="Q3447" s="2"/>
      <c r="R3447" s="2"/>
    </row>
    <row r="3448" spans="1:18" ht="15.75" customHeight="1" x14ac:dyDescent="0.3">
      <c r="A3448" s="11"/>
      <c r="B3448" s="11"/>
      <c r="D3448" s="21"/>
      <c r="E3448" s="22"/>
      <c r="G3448" s="23"/>
      <c r="H3448" s="24"/>
      <c r="Q3448" s="2"/>
      <c r="R3448" s="2"/>
    </row>
    <row r="3449" spans="1:18" ht="15.75" customHeight="1" x14ac:dyDescent="0.3">
      <c r="A3449" s="11"/>
      <c r="B3449" s="11"/>
      <c r="D3449" s="21"/>
      <c r="E3449" s="22"/>
      <c r="G3449" s="23"/>
      <c r="H3449" s="24"/>
      <c r="Q3449" s="2"/>
      <c r="R3449" s="2"/>
    </row>
    <row r="3450" spans="1:18" ht="15.75" customHeight="1" x14ac:dyDescent="0.3">
      <c r="A3450" s="11"/>
      <c r="B3450" s="11"/>
      <c r="D3450" s="21"/>
      <c r="E3450" s="22"/>
      <c r="G3450" s="23"/>
      <c r="H3450" s="24"/>
      <c r="Q3450" s="2"/>
      <c r="R3450" s="2"/>
    </row>
    <row r="3451" spans="1:18" ht="15.75" customHeight="1" x14ac:dyDescent="0.3">
      <c r="A3451" s="11"/>
      <c r="B3451" s="11"/>
      <c r="D3451" s="21"/>
      <c r="E3451" s="22"/>
      <c r="G3451" s="23"/>
      <c r="H3451" s="24"/>
      <c r="Q3451" s="2"/>
      <c r="R3451" s="2"/>
    </row>
    <row r="3452" spans="1:18" ht="15.75" customHeight="1" x14ac:dyDescent="0.3">
      <c r="A3452" s="11"/>
      <c r="B3452" s="11"/>
      <c r="D3452" s="21"/>
      <c r="E3452" s="22"/>
      <c r="G3452" s="23"/>
      <c r="H3452" s="24"/>
      <c r="Q3452" s="2"/>
      <c r="R3452" s="2"/>
    </row>
    <row r="3453" spans="1:18" ht="15.75" customHeight="1" x14ac:dyDescent="0.3">
      <c r="A3453" s="11"/>
      <c r="B3453" s="11"/>
      <c r="D3453" s="21"/>
      <c r="E3453" s="22"/>
      <c r="G3453" s="23"/>
      <c r="H3453" s="24"/>
      <c r="Q3453" s="2"/>
      <c r="R3453" s="2"/>
    </row>
    <row r="3454" spans="1:18" ht="15.75" customHeight="1" x14ac:dyDescent="0.3">
      <c r="A3454" s="11"/>
      <c r="B3454" s="11"/>
      <c r="D3454" s="21"/>
      <c r="E3454" s="22"/>
      <c r="G3454" s="23"/>
      <c r="H3454" s="24"/>
      <c r="Q3454" s="2"/>
      <c r="R3454" s="2"/>
    </row>
    <row r="3455" spans="1:18" ht="15.75" customHeight="1" x14ac:dyDescent="0.3">
      <c r="A3455" s="11"/>
      <c r="B3455" s="11"/>
      <c r="D3455" s="21"/>
      <c r="E3455" s="22"/>
      <c r="G3455" s="23"/>
      <c r="H3455" s="24"/>
      <c r="Q3455" s="2"/>
      <c r="R3455" s="2"/>
    </row>
    <row r="3456" spans="1:18" ht="15.75" customHeight="1" x14ac:dyDescent="0.3">
      <c r="A3456" s="11"/>
      <c r="B3456" s="11"/>
      <c r="D3456" s="21"/>
      <c r="E3456" s="22"/>
      <c r="G3456" s="23"/>
      <c r="H3456" s="24"/>
      <c r="Q3456" s="2"/>
      <c r="R3456" s="2"/>
    </row>
    <row r="3457" spans="1:18" ht="15.75" customHeight="1" x14ac:dyDescent="0.3">
      <c r="A3457" s="11"/>
      <c r="B3457" s="11"/>
      <c r="D3457" s="21"/>
      <c r="E3457" s="22"/>
      <c r="G3457" s="23"/>
      <c r="H3457" s="24"/>
      <c r="Q3457" s="2"/>
      <c r="R3457" s="2"/>
    </row>
    <row r="3458" spans="1:18" ht="15.75" customHeight="1" x14ac:dyDescent="0.3">
      <c r="A3458" s="11"/>
      <c r="B3458" s="11"/>
      <c r="D3458" s="21"/>
      <c r="E3458" s="22"/>
      <c r="G3458" s="23"/>
      <c r="H3458" s="24"/>
      <c r="Q3458" s="2"/>
      <c r="R3458" s="2"/>
    </row>
    <row r="3459" spans="1:18" ht="15.75" customHeight="1" x14ac:dyDescent="0.3">
      <c r="A3459" s="11"/>
      <c r="B3459" s="11"/>
      <c r="D3459" s="21"/>
      <c r="E3459" s="22"/>
      <c r="G3459" s="23"/>
      <c r="H3459" s="24"/>
      <c r="Q3459" s="2"/>
      <c r="R3459" s="2"/>
    </row>
    <row r="3460" spans="1:18" ht="15.75" customHeight="1" x14ac:dyDescent="0.3">
      <c r="A3460" s="11"/>
      <c r="B3460" s="11"/>
      <c r="D3460" s="21"/>
      <c r="E3460" s="22"/>
      <c r="G3460" s="23"/>
      <c r="H3460" s="24"/>
      <c r="Q3460" s="2"/>
      <c r="R3460" s="2"/>
    </row>
    <row r="3461" spans="1:18" ht="15.75" customHeight="1" x14ac:dyDescent="0.3">
      <c r="A3461" s="11"/>
      <c r="B3461" s="11"/>
      <c r="D3461" s="21"/>
      <c r="E3461" s="22"/>
      <c r="G3461" s="23"/>
      <c r="H3461" s="24"/>
      <c r="Q3461" s="2"/>
      <c r="R3461" s="2"/>
    </row>
    <row r="3462" spans="1:18" ht="15.75" customHeight="1" x14ac:dyDescent="0.3">
      <c r="A3462" s="11"/>
      <c r="B3462" s="11"/>
      <c r="D3462" s="21"/>
      <c r="E3462" s="22"/>
      <c r="G3462" s="23"/>
      <c r="H3462" s="24"/>
      <c r="Q3462" s="2"/>
      <c r="R3462" s="2"/>
    </row>
    <row r="3463" spans="1:18" ht="15.75" customHeight="1" x14ac:dyDescent="0.3">
      <c r="A3463" s="11"/>
      <c r="B3463" s="11"/>
      <c r="D3463" s="21"/>
      <c r="E3463" s="22"/>
      <c r="G3463" s="23"/>
      <c r="H3463" s="24"/>
      <c r="Q3463" s="2"/>
      <c r="R3463" s="2"/>
    </row>
    <row r="3464" spans="1:18" ht="15.75" customHeight="1" x14ac:dyDescent="0.3">
      <c r="A3464" s="11"/>
      <c r="B3464" s="11"/>
      <c r="D3464" s="21"/>
      <c r="E3464" s="22"/>
      <c r="G3464" s="23"/>
      <c r="H3464" s="24"/>
      <c r="Q3464" s="2"/>
      <c r="R3464" s="2"/>
    </row>
    <row r="3465" spans="1:18" ht="15.75" customHeight="1" x14ac:dyDescent="0.3">
      <c r="A3465" s="11"/>
      <c r="B3465" s="11"/>
      <c r="D3465" s="21"/>
      <c r="E3465" s="22"/>
      <c r="G3465" s="23"/>
      <c r="H3465" s="24"/>
      <c r="Q3465" s="2"/>
      <c r="R3465" s="2"/>
    </row>
    <row r="3466" spans="1:18" ht="15.75" customHeight="1" x14ac:dyDescent="0.3">
      <c r="A3466" s="11"/>
      <c r="B3466" s="11"/>
      <c r="D3466" s="21"/>
      <c r="E3466" s="22"/>
      <c r="G3466" s="23"/>
      <c r="H3466" s="24"/>
      <c r="Q3466" s="2"/>
      <c r="R3466" s="2"/>
    </row>
    <row r="3467" spans="1:18" ht="15.75" customHeight="1" x14ac:dyDescent="0.3">
      <c r="A3467" s="11"/>
      <c r="B3467" s="11"/>
      <c r="D3467" s="21"/>
      <c r="E3467" s="22"/>
      <c r="G3467" s="23"/>
      <c r="H3467" s="24"/>
      <c r="Q3467" s="2"/>
      <c r="R3467" s="2"/>
    </row>
    <row r="3468" spans="1:18" ht="15.75" customHeight="1" x14ac:dyDescent="0.3">
      <c r="A3468" s="11"/>
      <c r="B3468" s="11"/>
      <c r="D3468" s="21"/>
      <c r="E3468" s="22"/>
      <c r="G3468" s="23"/>
      <c r="H3468" s="24"/>
      <c r="Q3468" s="2"/>
      <c r="R3468" s="2"/>
    </row>
    <row r="3469" spans="1:18" ht="15.75" customHeight="1" x14ac:dyDescent="0.3">
      <c r="A3469" s="11"/>
      <c r="B3469" s="11"/>
      <c r="D3469" s="21"/>
      <c r="E3469" s="22"/>
      <c r="G3469" s="23"/>
      <c r="H3469" s="24"/>
      <c r="Q3469" s="2"/>
      <c r="R3469" s="2"/>
    </row>
    <row r="3470" spans="1:18" ht="15.75" customHeight="1" x14ac:dyDescent="0.3">
      <c r="A3470" s="11"/>
      <c r="B3470" s="11"/>
      <c r="D3470" s="21"/>
      <c r="E3470" s="22"/>
      <c r="G3470" s="23"/>
      <c r="H3470" s="24"/>
      <c r="Q3470" s="2"/>
      <c r="R3470" s="2"/>
    </row>
    <row r="3471" spans="1:18" ht="15.75" customHeight="1" x14ac:dyDescent="0.3">
      <c r="A3471" s="11"/>
      <c r="B3471" s="11"/>
      <c r="D3471" s="21"/>
      <c r="E3471" s="22"/>
      <c r="G3471" s="23"/>
      <c r="H3471" s="24"/>
      <c r="Q3471" s="2"/>
      <c r="R3471" s="2"/>
    </row>
    <row r="3472" spans="1:18" ht="15.75" customHeight="1" x14ac:dyDescent="0.3">
      <c r="A3472" s="11"/>
      <c r="B3472" s="11"/>
      <c r="D3472" s="21"/>
      <c r="E3472" s="22"/>
      <c r="G3472" s="23"/>
      <c r="H3472" s="24"/>
      <c r="Q3472" s="2"/>
      <c r="R3472" s="2"/>
    </row>
    <row r="3473" spans="1:18" ht="15.75" customHeight="1" x14ac:dyDescent="0.3">
      <c r="A3473" s="11"/>
      <c r="B3473" s="11"/>
      <c r="D3473" s="21"/>
      <c r="E3473" s="22"/>
      <c r="G3473" s="23"/>
      <c r="H3473" s="24"/>
      <c r="Q3473" s="2"/>
      <c r="R3473" s="2"/>
    </row>
    <row r="3474" spans="1:18" ht="15.75" customHeight="1" x14ac:dyDescent="0.3">
      <c r="A3474" s="11"/>
      <c r="B3474" s="11"/>
      <c r="D3474" s="21"/>
      <c r="E3474" s="22"/>
      <c r="G3474" s="23"/>
      <c r="H3474" s="24"/>
      <c r="Q3474" s="2"/>
      <c r="R3474" s="2"/>
    </row>
    <row r="3475" spans="1:18" ht="15.75" customHeight="1" x14ac:dyDescent="0.3">
      <c r="A3475" s="11"/>
      <c r="B3475" s="11"/>
      <c r="D3475" s="21"/>
      <c r="E3475" s="22"/>
      <c r="G3475" s="23"/>
      <c r="H3475" s="24"/>
      <c r="Q3475" s="2"/>
      <c r="R3475" s="2"/>
    </row>
    <row r="3476" spans="1:18" ht="15.75" customHeight="1" x14ac:dyDescent="0.3">
      <c r="A3476" s="11"/>
      <c r="B3476" s="11"/>
      <c r="D3476" s="21"/>
      <c r="E3476" s="22"/>
      <c r="G3476" s="23"/>
      <c r="H3476" s="24"/>
      <c r="Q3476" s="2"/>
      <c r="R3476" s="2"/>
    </row>
    <row r="3477" spans="1:18" ht="15.75" customHeight="1" x14ac:dyDescent="0.3">
      <c r="A3477" s="11"/>
      <c r="B3477" s="11"/>
      <c r="D3477" s="21"/>
      <c r="E3477" s="22"/>
      <c r="G3477" s="23"/>
      <c r="H3477" s="24"/>
      <c r="Q3477" s="2"/>
      <c r="R3477" s="2"/>
    </row>
    <row r="3478" spans="1:18" ht="15.75" customHeight="1" x14ac:dyDescent="0.3">
      <c r="A3478" s="11"/>
      <c r="B3478" s="11"/>
      <c r="D3478" s="21"/>
      <c r="E3478" s="22"/>
      <c r="G3478" s="23"/>
      <c r="H3478" s="24"/>
      <c r="Q3478" s="2"/>
      <c r="R3478" s="2"/>
    </row>
    <row r="3479" spans="1:18" ht="15.75" customHeight="1" x14ac:dyDescent="0.3">
      <c r="A3479" s="11"/>
      <c r="B3479" s="11"/>
      <c r="D3479" s="21"/>
      <c r="E3479" s="22"/>
      <c r="G3479" s="23"/>
      <c r="H3479" s="24"/>
      <c r="Q3479" s="2"/>
      <c r="R3479" s="2"/>
    </row>
    <row r="3480" spans="1:18" ht="15.75" customHeight="1" x14ac:dyDescent="0.3">
      <c r="A3480" s="11"/>
      <c r="B3480" s="11"/>
      <c r="D3480" s="21"/>
      <c r="E3480" s="22"/>
      <c r="G3480" s="23"/>
      <c r="H3480" s="24"/>
      <c r="Q3480" s="2"/>
      <c r="R3480" s="2"/>
    </row>
    <row r="3481" spans="1:18" ht="15.75" customHeight="1" x14ac:dyDescent="0.3">
      <c r="A3481" s="11"/>
      <c r="B3481" s="11"/>
      <c r="D3481" s="21"/>
      <c r="E3481" s="22"/>
      <c r="G3481" s="23"/>
      <c r="H3481" s="24"/>
      <c r="Q3481" s="2"/>
      <c r="R3481" s="2"/>
    </row>
    <row r="3482" spans="1:18" ht="15.75" customHeight="1" x14ac:dyDescent="0.3">
      <c r="A3482" s="11"/>
      <c r="B3482" s="11"/>
      <c r="D3482" s="21"/>
      <c r="E3482" s="22"/>
      <c r="G3482" s="23"/>
      <c r="H3482" s="24"/>
      <c r="Q3482" s="2"/>
      <c r="R3482" s="2"/>
    </row>
    <row r="3483" spans="1:18" ht="15.75" customHeight="1" x14ac:dyDescent="0.3">
      <c r="A3483" s="11"/>
      <c r="B3483" s="11"/>
      <c r="D3483" s="21"/>
      <c r="E3483" s="22"/>
      <c r="G3483" s="23"/>
      <c r="H3483" s="24"/>
      <c r="Q3483" s="2"/>
      <c r="R3483" s="2"/>
    </row>
    <row r="3484" spans="1:18" ht="15.75" customHeight="1" x14ac:dyDescent="0.3">
      <c r="A3484" s="11"/>
      <c r="B3484" s="11"/>
      <c r="D3484" s="21"/>
      <c r="E3484" s="22"/>
      <c r="G3484" s="23"/>
      <c r="H3484" s="24"/>
      <c r="Q3484" s="2"/>
      <c r="R3484" s="2"/>
    </row>
    <row r="3485" spans="1:18" ht="15.75" customHeight="1" x14ac:dyDescent="0.3">
      <c r="A3485" s="11"/>
      <c r="B3485" s="11"/>
      <c r="D3485" s="21"/>
      <c r="E3485" s="22"/>
      <c r="G3485" s="23"/>
      <c r="H3485" s="24"/>
      <c r="Q3485" s="2"/>
      <c r="R3485" s="2"/>
    </row>
    <row r="3486" spans="1:18" ht="15.75" customHeight="1" x14ac:dyDescent="0.3">
      <c r="A3486" s="11"/>
      <c r="B3486" s="11"/>
      <c r="D3486" s="21"/>
      <c r="E3486" s="22"/>
      <c r="G3486" s="23"/>
      <c r="H3486" s="24"/>
      <c r="Q3486" s="2"/>
      <c r="R3486" s="2"/>
    </row>
    <row r="3487" spans="1:18" ht="15.75" customHeight="1" x14ac:dyDescent="0.3">
      <c r="A3487" s="11"/>
      <c r="B3487" s="11"/>
      <c r="D3487" s="21"/>
      <c r="E3487" s="22"/>
      <c r="G3487" s="23"/>
      <c r="H3487" s="24"/>
      <c r="Q3487" s="2"/>
      <c r="R3487" s="2"/>
    </row>
    <row r="3488" spans="1:18" ht="15.75" customHeight="1" x14ac:dyDescent="0.3">
      <c r="A3488" s="11"/>
      <c r="B3488" s="11"/>
      <c r="D3488" s="21"/>
      <c r="E3488" s="22"/>
      <c r="G3488" s="23"/>
      <c r="H3488" s="24"/>
      <c r="Q3488" s="2"/>
      <c r="R3488" s="2"/>
    </row>
    <row r="3489" spans="1:18" ht="15.75" customHeight="1" x14ac:dyDescent="0.3">
      <c r="A3489" s="11"/>
      <c r="B3489" s="11"/>
      <c r="D3489" s="21"/>
      <c r="E3489" s="22"/>
      <c r="G3489" s="23"/>
      <c r="H3489" s="24"/>
      <c r="Q3489" s="2"/>
      <c r="R3489" s="2"/>
    </row>
    <row r="3490" spans="1:18" ht="15.75" customHeight="1" x14ac:dyDescent="0.3">
      <c r="A3490" s="11"/>
      <c r="B3490" s="11"/>
      <c r="D3490" s="21"/>
      <c r="E3490" s="22"/>
      <c r="G3490" s="23"/>
      <c r="H3490" s="24"/>
      <c r="Q3490" s="2"/>
      <c r="R3490" s="2"/>
    </row>
    <row r="3491" spans="1:18" ht="15.75" customHeight="1" x14ac:dyDescent="0.3">
      <c r="A3491" s="11"/>
      <c r="B3491" s="11"/>
      <c r="D3491" s="21"/>
      <c r="E3491" s="22"/>
      <c r="G3491" s="23"/>
      <c r="H3491" s="24"/>
      <c r="Q3491" s="2"/>
      <c r="R3491" s="2"/>
    </row>
    <row r="3492" spans="1:18" ht="15.75" customHeight="1" x14ac:dyDescent="0.3">
      <c r="A3492" s="11"/>
      <c r="B3492" s="11"/>
      <c r="D3492" s="21"/>
      <c r="E3492" s="22"/>
      <c r="G3492" s="23"/>
      <c r="H3492" s="24"/>
      <c r="Q3492" s="2"/>
      <c r="R3492" s="2"/>
    </row>
    <row r="3493" spans="1:18" ht="15.75" customHeight="1" x14ac:dyDescent="0.3">
      <c r="A3493" s="11"/>
      <c r="B3493" s="11"/>
      <c r="D3493" s="21"/>
      <c r="E3493" s="22"/>
      <c r="G3493" s="23"/>
      <c r="H3493" s="24"/>
      <c r="Q3493" s="2"/>
      <c r="R3493" s="2"/>
    </row>
    <row r="3494" spans="1:18" ht="15.75" customHeight="1" x14ac:dyDescent="0.3">
      <c r="A3494" s="11"/>
      <c r="B3494" s="11"/>
      <c r="D3494" s="21"/>
      <c r="E3494" s="22"/>
      <c r="G3494" s="23"/>
      <c r="H3494" s="24"/>
      <c r="Q3494" s="2"/>
      <c r="R3494" s="2"/>
    </row>
    <row r="3495" spans="1:18" ht="15.75" customHeight="1" x14ac:dyDescent="0.3">
      <c r="A3495" s="11"/>
      <c r="B3495" s="11"/>
      <c r="D3495" s="21"/>
      <c r="E3495" s="22"/>
      <c r="G3495" s="23"/>
      <c r="H3495" s="24"/>
      <c r="Q3495" s="2"/>
      <c r="R3495" s="2"/>
    </row>
    <row r="3496" spans="1:18" ht="15.75" customHeight="1" x14ac:dyDescent="0.3">
      <c r="A3496" s="11"/>
      <c r="B3496" s="11"/>
      <c r="D3496" s="21"/>
      <c r="E3496" s="22"/>
      <c r="G3496" s="23"/>
      <c r="H3496" s="24"/>
      <c r="Q3496" s="2"/>
      <c r="R3496" s="2"/>
    </row>
    <row r="3497" spans="1:18" ht="15.75" customHeight="1" x14ac:dyDescent="0.3">
      <c r="A3497" s="11"/>
      <c r="B3497" s="11"/>
      <c r="D3497" s="21"/>
      <c r="E3497" s="22"/>
      <c r="G3497" s="23"/>
      <c r="H3497" s="24"/>
      <c r="Q3497" s="2"/>
      <c r="R3497" s="2"/>
    </row>
    <row r="3498" spans="1:18" ht="15.75" customHeight="1" x14ac:dyDescent="0.3">
      <c r="A3498" s="11"/>
      <c r="B3498" s="11"/>
      <c r="D3498" s="21"/>
      <c r="E3498" s="22"/>
      <c r="G3498" s="23"/>
      <c r="H3498" s="24"/>
      <c r="Q3498" s="2"/>
      <c r="R3498" s="2"/>
    </row>
    <row r="3499" spans="1:18" ht="15.75" customHeight="1" x14ac:dyDescent="0.3">
      <c r="A3499" s="11"/>
      <c r="B3499" s="11"/>
      <c r="D3499" s="21"/>
      <c r="E3499" s="22"/>
      <c r="G3499" s="23"/>
      <c r="H3499" s="24"/>
      <c r="Q3499" s="2"/>
      <c r="R3499" s="2"/>
    </row>
    <row r="3500" spans="1:18" ht="15.75" customHeight="1" x14ac:dyDescent="0.3">
      <c r="A3500" s="11"/>
      <c r="B3500" s="11"/>
      <c r="D3500" s="21"/>
      <c r="E3500" s="22"/>
      <c r="G3500" s="23"/>
      <c r="H3500" s="24"/>
      <c r="Q3500" s="2"/>
      <c r="R3500" s="2"/>
    </row>
    <row r="3501" spans="1:18" ht="15.75" customHeight="1" x14ac:dyDescent="0.3">
      <c r="A3501" s="11"/>
      <c r="B3501" s="11"/>
      <c r="D3501" s="21"/>
      <c r="E3501" s="22"/>
      <c r="G3501" s="23"/>
      <c r="H3501" s="24"/>
      <c r="Q3501" s="2"/>
      <c r="R3501" s="2"/>
    </row>
    <row r="3502" spans="1:18" ht="15.75" customHeight="1" x14ac:dyDescent="0.3">
      <c r="A3502" s="11"/>
      <c r="B3502" s="11"/>
      <c r="D3502" s="21"/>
      <c r="E3502" s="22"/>
      <c r="G3502" s="23"/>
      <c r="H3502" s="24"/>
      <c r="Q3502" s="2"/>
      <c r="R3502" s="2"/>
    </row>
    <row r="3503" spans="1:18" ht="15.75" customHeight="1" x14ac:dyDescent="0.3">
      <c r="A3503" s="11"/>
      <c r="B3503" s="11"/>
      <c r="D3503" s="21"/>
      <c r="E3503" s="22"/>
      <c r="G3503" s="23"/>
      <c r="H3503" s="24"/>
      <c r="Q3503" s="2"/>
      <c r="R3503" s="2"/>
    </row>
    <row r="3504" spans="1:18" ht="15.75" customHeight="1" x14ac:dyDescent="0.3">
      <c r="A3504" s="11"/>
      <c r="B3504" s="11"/>
      <c r="D3504" s="21"/>
      <c r="E3504" s="22"/>
      <c r="G3504" s="23"/>
      <c r="H3504" s="24"/>
      <c r="Q3504" s="2"/>
      <c r="R3504" s="2"/>
    </row>
    <row r="3505" spans="1:18" ht="15.75" customHeight="1" x14ac:dyDescent="0.3">
      <c r="A3505" s="11"/>
      <c r="B3505" s="11"/>
      <c r="D3505" s="21"/>
      <c r="E3505" s="22"/>
      <c r="G3505" s="23"/>
      <c r="H3505" s="24"/>
      <c r="Q3505" s="2"/>
      <c r="R3505" s="2"/>
    </row>
    <row r="3506" spans="1:18" ht="15.75" customHeight="1" x14ac:dyDescent="0.3">
      <c r="A3506" s="11"/>
      <c r="B3506" s="11"/>
      <c r="D3506" s="21"/>
      <c r="E3506" s="22"/>
      <c r="G3506" s="23"/>
      <c r="H3506" s="24"/>
      <c r="Q3506" s="2"/>
      <c r="R3506" s="2"/>
    </row>
    <row r="3507" spans="1:18" ht="15.75" customHeight="1" x14ac:dyDescent="0.3">
      <c r="A3507" s="11"/>
      <c r="B3507" s="11"/>
      <c r="D3507" s="21"/>
      <c r="E3507" s="22"/>
      <c r="G3507" s="23"/>
      <c r="H3507" s="24"/>
      <c r="Q3507" s="2"/>
      <c r="R3507" s="2"/>
    </row>
    <row r="3508" spans="1:18" ht="15.75" customHeight="1" x14ac:dyDescent="0.3">
      <c r="A3508" s="11"/>
      <c r="B3508" s="11"/>
      <c r="D3508" s="21"/>
      <c r="E3508" s="22"/>
      <c r="G3508" s="23"/>
      <c r="H3508" s="24"/>
      <c r="Q3508" s="2"/>
      <c r="R3508" s="2"/>
    </row>
    <row r="3509" spans="1:18" ht="15.75" customHeight="1" x14ac:dyDescent="0.3">
      <c r="A3509" s="11"/>
      <c r="B3509" s="11"/>
      <c r="D3509" s="21"/>
      <c r="E3509" s="22"/>
      <c r="G3509" s="23"/>
      <c r="H3509" s="24"/>
      <c r="Q3509" s="2"/>
      <c r="R3509" s="2"/>
    </row>
    <row r="3510" spans="1:18" ht="15.75" customHeight="1" x14ac:dyDescent="0.3">
      <c r="A3510" s="11"/>
      <c r="B3510" s="11"/>
      <c r="D3510" s="21"/>
      <c r="E3510" s="22"/>
      <c r="G3510" s="23"/>
      <c r="H3510" s="24"/>
      <c r="Q3510" s="2"/>
      <c r="R3510" s="2"/>
    </row>
    <row r="3511" spans="1:18" ht="15.75" customHeight="1" x14ac:dyDescent="0.3">
      <c r="A3511" s="11"/>
      <c r="B3511" s="11"/>
      <c r="D3511" s="21"/>
      <c r="E3511" s="22"/>
      <c r="G3511" s="23"/>
      <c r="H3511" s="24"/>
      <c r="Q3511" s="2"/>
      <c r="R3511" s="2"/>
    </row>
    <row r="3512" spans="1:18" ht="15.75" customHeight="1" x14ac:dyDescent="0.3">
      <c r="A3512" s="11"/>
      <c r="B3512" s="11"/>
      <c r="D3512" s="21"/>
      <c r="E3512" s="22"/>
      <c r="G3512" s="23"/>
      <c r="H3512" s="24"/>
      <c r="Q3512" s="2"/>
      <c r="R3512" s="2"/>
    </row>
    <row r="3513" spans="1:18" ht="15.75" customHeight="1" x14ac:dyDescent="0.3">
      <c r="A3513" s="11"/>
      <c r="B3513" s="11"/>
      <c r="D3513" s="21"/>
      <c r="E3513" s="22"/>
      <c r="G3513" s="23"/>
      <c r="H3513" s="24"/>
      <c r="Q3513" s="2"/>
      <c r="R3513" s="2"/>
    </row>
    <row r="3514" spans="1:18" ht="15.75" customHeight="1" x14ac:dyDescent="0.3">
      <c r="A3514" s="11"/>
      <c r="B3514" s="11"/>
      <c r="D3514" s="21"/>
      <c r="E3514" s="22"/>
      <c r="G3514" s="23"/>
      <c r="H3514" s="24"/>
      <c r="Q3514" s="2"/>
      <c r="R3514" s="2"/>
    </row>
    <row r="3515" spans="1:18" ht="15.75" customHeight="1" x14ac:dyDescent="0.3">
      <c r="A3515" s="11"/>
      <c r="B3515" s="11"/>
      <c r="D3515" s="21"/>
      <c r="E3515" s="22"/>
      <c r="G3515" s="23"/>
      <c r="H3515" s="24"/>
      <c r="Q3515" s="2"/>
      <c r="R3515" s="2"/>
    </row>
    <row r="3516" spans="1:18" ht="15.75" customHeight="1" x14ac:dyDescent="0.3">
      <c r="A3516" s="11"/>
      <c r="B3516" s="11"/>
      <c r="D3516" s="21"/>
      <c r="E3516" s="22"/>
      <c r="G3516" s="23"/>
      <c r="H3516" s="24"/>
      <c r="Q3516" s="2"/>
      <c r="R3516" s="2"/>
    </row>
    <row r="3517" spans="1:18" ht="15.75" customHeight="1" x14ac:dyDescent="0.3">
      <c r="A3517" s="11"/>
      <c r="B3517" s="11"/>
      <c r="D3517" s="21"/>
      <c r="E3517" s="22"/>
      <c r="G3517" s="23"/>
      <c r="H3517" s="24"/>
      <c r="Q3517" s="2"/>
      <c r="R3517" s="2"/>
    </row>
    <row r="3518" spans="1:18" ht="15.75" customHeight="1" x14ac:dyDescent="0.3">
      <c r="A3518" s="11"/>
      <c r="B3518" s="11"/>
      <c r="D3518" s="21"/>
      <c r="E3518" s="22"/>
      <c r="G3518" s="23"/>
      <c r="H3518" s="24"/>
      <c r="Q3518" s="2"/>
      <c r="R3518" s="2"/>
    </row>
    <row r="3519" spans="1:18" ht="15.75" customHeight="1" x14ac:dyDescent="0.3">
      <c r="A3519" s="11"/>
      <c r="B3519" s="11"/>
      <c r="D3519" s="21"/>
      <c r="E3519" s="22"/>
      <c r="G3519" s="23"/>
      <c r="H3519" s="24"/>
      <c r="Q3519" s="2"/>
      <c r="R3519" s="2"/>
    </row>
    <row r="3520" spans="1:18" ht="15.75" customHeight="1" x14ac:dyDescent="0.3">
      <c r="A3520" s="11"/>
      <c r="B3520" s="11"/>
      <c r="D3520" s="21"/>
      <c r="E3520" s="22"/>
      <c r="G3520" s="23"/>
      <c r="H3520" s="24"/>
      <c r="Q3520" s="2"/>
      <c r="R3520" s="2"/>
    </row>
    <row r="3521" spans="1:18" ht="15.75" customHeight="1" x14ac:dyDescent="0.3">
      <c r="A3521" s="11"/>
      <c r="B3521" s="11"/>
      <c r="D3521" s="21"/>
      <c r="E3521" s="22"/>
      <c r="G3521" s="23"/>
      <c r="H3521" s="24"/>
      <c r="Q3521" s="2"/>
      <c r="R3521" s="2"/>
    </row>
    <row r="3522" spans="1:18" ht="15.75" customHeight="1" x14ac:dyDescent="0.3">
      <c r="A3522" s="11"/>
      <c r="B3522" s="11"/>
      <c r="D3522" s="21"/>
      <c r="E3522" s="22"/>
      <c r="G3522" s="23"/>
      <c r="H3522" s="24"/>
      <c r="Q3522" s="2"/>
      <c r="R3522" s="2"/>
    </row>
    <row r="3523" spans="1:18" ht="15.75" customHeight="1" x14ac:dyDescent="0.3">
      <c r="A3523" s="11"/>
      <c r="B3523" s="11"/>
      <c r="D3523" s="21"/>
      <c r="E3523" s="22"/>
      <c r="G3523" s="23"/>
      <c r="H3523" s="24"/>
      <c r="Q3523" s="2"/>
      <c r="R3523" s="2"/>
    </row>
    <row r="3524" spans="1:18" ht="15.75" customHeight="1" x14ac:dyDescent="0.3">
      <c r="A3524" s="11"/>
      <c r="B3524" s="11"/>
      <c r="D3524" s="21"/>
      <c r="E3524" s="22"/>
      <c r="G3524" s="23"/>
      <c r="H3524" s="24"/>
      <c r="Q3524" s="2"/>
      <c r="R3524" s="2"/>
    </row>
    <row r="3525" spans="1:18" ht="15.75" customHeight="1" x14ac:dyDescent="0.3">
      <c r="A3525" s="11"/>
      <c r="B3525" s="11"/>
      <c r="D3525" s="21"/>
      <c r="E3525" s="22"/>
      <c r="G3525" s="23"/>
      <c r="H3525" s="24"/>
      <c r="Q3525" s="2"/>
      <c r="R3525" s="2"/>
    </row>
    <row r="3526" spans="1:18" ht="15.75" customHeight="1" x14ac:dyDescent="0.3">
      <c r="A3526" s="11"/>
      <c r="B3526" s="11"/>
      <c r="D3526" s="21"/>
      <c r="E3526" s="22"/>
      <c r="G3526" s="23"/>
      <c r="H3526" s="24"/>
      <c r="Q3526" s="2"/>
      <c r="R3526" s="2"/>
    </row>
    <row r="3527" spans="1:18" ht="15.75" customHeight="1" x14ac:dyDescent="0.3">
      <c r="A3527" s="11"/>
      <c r="B3527" s="11"/>
      <c r="D3527" s="21"/>
      <c r="E3527" s="22"/>
      <c r="G3527" s="23"/>
      <c r="H3527" s="24"/>
      <c r="Q3527" s="2"/>
      <c r="R3527" s="2"/>
    </row>
    <row r="3528" spans="1:18" ht="15.75" customHeight="1" x14ac:dyDescent="0.3">
      <c r="A3528" s="11"/>
      <c r="B3528" s="11"/>
      <c r="D3528" s="21"/>
      <c r="E3528" s="22"/>
      <c r="G3528" s="23"/>
      <c r="H3528" s="24"/>
      <c r="Q3528" s="2"/>
      <c r="R3528" s="2"/>
    </row>
    <row r="3529" spans="1:18" ht="15.75" customHeight="1" x14ac:dyDescent="0.3">
      <c r="A3529" s="11"/>
      <c r="B3529" s="11"/>
      <c r="D3529" s="21"/>
      <c r="E3529" s="22"/>
      <c r="G3529" s="23"/>
      <c r="H3529" s="24"/>
      <c r="Q3529" s="2"/>
      <c r="R3529" s="2"/>
    </row>
    <row r="3530" spans="1:18" ht="15.75" customHeight="1" x14ac:dyDescent="0.3">
      <c r="A3530" s="11"/>
      <c r="B3530" s="11"/>
      <c r="D3530" s="21"/>
      <c r="E3530" s="22"/>
      <c r="G3530" s="23"/>
      <c r="H3530" s="24"/>
      <c r="Q3530" s="2"/>
      <c r="R3530" s="2"/>
    </row>
    <row r="3531" spans="1:18" ht="15.75" customHeight="1" x14ac:dyDescent="0.3">
      <c r="A3531" s="11"/>
      <c r="B3531" s="11"/>
      <c r="D3531" s="21"/>
      <c r="E3531" s="22"/>
      <c r="G3531" s="23"/>
      <c r="H3531" s="24"/>
      <c r="Q3531" s="2"/>
      <c r="R3531" s="2"/>
    </row>
    <row r="3532" spans="1:18" ht="15.75" customHeight="1" x14ac:dyDescent="0.3">
      <c r="A3532" s="11"/>
      <c r="B3532" s="11"/>
      <c r="D3532" s="21"/>
      <c r="E3532" s="22"/>
      <c r="G3532" s="23"/>
      <c r="H3532" s="24"/>
      <c r="Q3532" s="2"/>
      <c r="R3532" s="2"/>
    </row>
    <row r="3533" spans="1:18" ht="15.75" customHeight="1" x14ac:dyDescent="0.3">
      <c r="A3533" s="11"/>
      <c r="B3533" s="11"/>
      <c r="D3533" s="21"/>
      <c r="E3533" s="22"/>
      <c r="G3533" s="23"/>
      <c r="H3533" s="24"/>
      <c r="Q3533" s="2"/>
      <c r="R3533" s="2"/>
    </row>
    <row r="3534" spans="1:18" ht="15.75" customHeight="1" x14ac:dyDescent="0.3">
      <c r="A3534" s="11"/>
      <c r="B3534" s="11"/>
      <c r="D3534" s="21"/>
      <c r="E3534" s="22"/>
      <c r="G3534" s="23"/>
      <c r="H3534" s="24"/>
      <c r="Q3534" s="2"/>
      <c r="R3534" s="2"/>
    </row>
    <row r="3535" spans="1:18" ht="15.75" customHeight="1" x14ac:dyDescent="0.3">
      <c r="A3535" s="11"/>
      <c r="B3535" s="11"/>
      <c r="D3535" s="21"/>
      <c r="E3535" s="22"/>
      <c r="G3535" s="23"/>
      <c r="H3535" s="24"/>
      <c r="Q3535" s="2"/>
      <c r="R3535" s="2"/>
    </row>
    <row r="3536" spans="1:18" ht="15.75" customHeight="1" x14ac:dyDescent="0.3">
      <c r="A3536" s="11"/>
      <c r="B3536" s="11"/>
      <c r="D3536" s="21"/>
      <c r="E3536" s="22"/>
      <c r="G3536" s="23"/>
      <c r="H3536" s="24"/>
      <c r="Q3536" s="2"/>
      <c r="R3536" s="2"/>
    </row>
    <row r="3537" spans="1:18" ht="15.75" customHeight="1" x14ac:dyDescent="0.3">
      <c r="A3537" s="11"/>
      <c r="B3537" s="11"/>
      <c r="D3537" s="21"/>
      <c r="E3537" s="22"/>
      <c r="G3537" s="23"/>
      <c r="H3537" s="24"/>
      <c r="Q3537" s="2"/>
      <c r="R3537" s="2"/>
    </row>
    <row r="3538" spans="1:18" ht="15.75" customHeight="1" x14ac:dyDescent="0.3">
      <c r="A3538" s="11"/>
      <c r="B3538" s="11"/>
      <c r="D3538" s="21"/>
      <c r="E3538" s="22"/>
      <c r="G3538" s="23"/>
      <c r="H3538" s="24"/>
      <c r="Q3538" s="2"/>
      <c r="R3538" s="2"/>
    </row>
    <row r="3539" spans="1:18" ht="15.75" customHeight="1" x14ac:dyDescent="0.3">
      <c r="A3539" s="11"/>
      <c r="B3539" s="11"/>
      <c r="D3539" s="21"/>
      <c r="E3539" s="22"/>
      <c r="G3539" s="23"/>
      <c r="H3539" s="24"/>
      <c r="Q3539" s="2"/>
      <c r="R3539" s="2"/>
    </row>
    <row r="3540" spans="1:18" ht="15.75" customHeight="1" x14ac:dyDescent="0.3">
      <c r="A3540" s="11"/>
      <c r="B3540" s="11"/>
      <c r="D3540" s="21"/>
      <c r="E3540" s="22"/>
      <c r="G3540" s="23"/>
      <c r="H3540" s="24"/>
      <c r="Q3540" s="2"/>
      <c r="R3540" s="2"/>
    </row>
    <row r="3541" spans="1:18" ht="15.75" customHeight="1" x14ac:dyDescent="0.3">
      <c r="A3541" s="11"/>
      <c r="B3541" s="11"/>
      <c r="D3541" s="21"/>
      <c r="E3541" s="22"/>
      <c r="G3541" s="23"/>
      <c r="H3541" s="24"/>
      <c r="Q3541" s="2"/>
      <c r="R3541" s="2"/>
    </row>
    <row r="3542" spans="1:18" ht="15.75" customHeight="1" x14ac:dyDescent="0.3">
      <c r="A3542" s="11"/>
      <c r="B3542" s="11"/>
      <c r="D3542" s="21"/>
      <c r="E3542" s="22"/>
      <c r="G3542" s="23"/>
      <c r="H3542" s="24"/>
      <c r="Q3542" s="2"/>
      <c r="R3542" s="2"/>
    </row>
    <row r="3543" spans="1:18" ht="15.75" customHeight="1" x14ac:dyDescent="0.3">
      <c r="A3543" s="11"/>
      <c r="B3543" s="11"/>
      <c r="D3543" s="21"/>
      <c r="E3543" s="22"/>
      <c r="G3543" s="23"/>
      <c r="H3543" s="24"/>
      <c r="Q3543" s="2"/>
      <c r="R3543" s="2"/>
    </row>
    <row r="3544" spans="1:18" ht="15.75" customHeight="1" x14ac:dyDescent="0.3">
      <c r="A3544" s="11"/>
      <c r="B3544" s="11"/>
      <c r="D3544" s="21"/>
      <c r="E3544" s="22"/>
      <c r="G3544" s="23"/>
      <c r="H3544" s="24"/>
      <c r="Q3544" s="2"/>
      <c r="R3544" s="2"/>
    </row>
    <row r="3545" spans="1:18" ht="15.75" customHeight="1" x14ac:dyDescent="0.3">
      <c r="A3545" s="11"/>
      <c r="B3545" s="11"/>
      <c r="D3545" s="21"/>
      <c r="E3545" s="22"/>
      <c r="G3545" s="23"/>
      <c r="H3545" s="24"/>
      <c r="Q3545" s="2"/>
      <c r="R3545" s="2"/>
    </row>
    <row r="3546" spans="1:18" ht="15.75" customHeight="1" x14ac:dyDescent="0.3">
      <c r="A3546" s="11"/>
      <c r="B3546" s="11"/>
      <c r="D3546" s="21"/>
      <c r="E3546" s="22"/>
      <c r="G3546" s="23"/>
      <c r="H3546" s="24"/>
      <c r="Q3546" s="2"/>
      <c r="R3546" s="2"/>
    </row>
    <row r="3547" spans="1:18" ht="15.75" customHeight="1" x14ac:dyDescent="0.3">
      <c r="A3547" s="11"/>
      <c r="B3547" s="11"/>
      <c r="D3547" s="21"/>
      <c r="E3547" s="22"/>
      <c r="G3547" s="23"/>
      <c r="H3547" s="24"/>
      <c r="Q3547" s="2"/>
      <c r="R3547" s="2"/>
    </row>
    <row r="3548" spans="1:18" ht="15.75" customHeight="1" x14ac:dyDescent="0.3">
      <c r="A3548" s="11"/>
      <c r="B3548" s="11"/>
      <c r="D3548" s="21"/>
      <c r="E3548" s="22"/>
      <c r="G3548" s="23"/>
      <c r="H3548" s="24"/>
      <c r="Q3548" s="2"/>
      <c r="R3548" s="2"/>
    </row>
    <row r="3549" spans="1:18" ht="15.75" customHeight="1" x14ac:dyDescent="0.3">
      <c r="A3549" s="11"/>
      <c r="B3549" s="11"/>
      <c r="D3549" s="21"/>
      <c r="E3549" s="22"/>
      <c r="G3549" s="23"/>
      <c r="H3549" s="24"/>
      <c r="Q3549" s="2"/>
      <c r="R3549" s="2"/>
    </row>
    <row r="3550" spans="1:18" ht="15.75" customHeight="1" x14ac:dyDescent="0.3">
      <c r="A3550" s="11"/>
      <c r="B3550" s="11"/>
      <c r="D3550" s="21"/>
      <c r="E3550" s="22"/>
      <c r="G3550" s="23"/>
      <c r="H3550" s="24"/>
      <c r="Q3550" s="2"/>
      <c r="R3550" s="2"/>
    </row>
    <row r="3551" spans="1:18" ht="15.75" customHeight="1" x14ac:dyDescent="0.3">
      <c r="A3551" s="11"/>
      <c r="B3551" s="11"/>
      <c r="D3551" s="21"/>
      <c r="E3551" s="22"/>
      <c r="G3551" s="23"/>
      <c r="H3551" s="24"/>
      <c r="Q3551" s="2"/>
      <c r="R3551" s="2"/>
    </row>
    <row r="3552" spans="1:18" ht="15.75" customHeight="1" x14ac:dyDescent="0.3">
      <c r="A3552" s="11"/>
      <c r="B3552" s="11"/>
      <c r="D3552" s="21"/>
      <c r="E3552" s="22"/>
      <c r="G3552" s="23"/>
      <c r="H3552" s="24"/>
      <c r="Q3552" s="2"/>
      <c r="R3552" s="2"/>
    </row>
    <row r="3553" spans="1:18" ht="15.75" customHeight="1" x14ac:dyDescent="0.3">
      <c r="A3553" s="11"/>
      <c r="B3553" s="11"/>
      <c r="D3553" s="21"/>
      <c r="E3553" s="22"/>
      <c r="G3553" s="23"/>
      <c r="H3553" s="24"/>
      <c r="Q3553" s="2"/>
      <c r="R3553" s="2"/>
    </row>
    <row r="3554" spans="1:18" ht="15.75" customHeight="1" x14ac:dyDescent="0.3">
      <c r="A3554" s="11"/>
      <c r="B3554" s="11"/>
      <c r="D3554" s="21"/>
      <c r="E3554" s="22"/>
      <c r="G3554" s="23"/>
      <c r="H3554" s="24"/>
      <c r="Q3554" s="2"/>
      <c r="R3554" s="2"/>
    </row>
    <row r="3555" spans="1:18" ht="15.75" customHeight="1" x14ac:dyDescent="0.3">
      <c r="A3555" s="11"/>
      <c r="B3555" s="11"/>
      <c r="D3555" s="21"/>
      <c r="E3555" s="22"/>
      <c r="G3555" s="23"/>
      <c r="H3555" s="24"/>
      <c r="Q3555" s="2"/>
      <c r="R3555" s="2"/>
    </row>
    <row r="3556" spans="1:18" ht="15.75" customHeight="1" x14ac:dyDescent="0.3">
      <c r="A3556" s="11"/>
      <c r="B3556" s="11"/>
      <c r="D3556" s="21"/>
      <c r="E3556" s="22"/>
      <c r="G3556" s="23"/>
      <c r="H3556" s="24"/>
      <c r="Q3556" s="2"/>
      <c r="R3556" s="2"/>
    </row>
    <row r="3557" spans="1:18" ht="15.75" customHeight="1" x14ac:dyDescent="0.3">
      <c r="A3557" s="11"/>
      <c r="B3557" s="11"/>
      <c r="D3557" s="21"/>
      <c r="E3557" s="22"/>
      <c r="G3557" s="23"/>
      <c r="H3557" s="24"/>
      <c r="Q3557" s="2"/>
      <c r="R3557" s="2"/>
    </row>
    <row r="3558" spans="1:18" ht="15.75" customHeight="1" x14ac:dyDescent="0.3">
      <c r="A3558" s="11"/>
      <c r="B3558" s="11"/>
      <c r="D3558" s="21"/>
      <c r="E3558" s="22"/>
      <c r="G3558" s="23"/>
      <c r="H3558" s="24"/>
      <c r="Q3558" s="2"/>
      <c r="R3558" s="2"/>
    </row>
    <row r="3559" spans="1:18" ht="15.75" customHeight="1" x14ac:dyDescent="0.3">
      <c r="A3559" s="11"/>
      <c r="B3559" s="11"/>
      <c r="D3559" s="21"/>
      <c r="E3559" s="22"/>
      <c r="G3559" s="23"/>
      <c r="H3559" s="24"/>
      <c r="Q3559" s="2"/>
      <c r="R3559" s="2"/>
    </row>
    <row r="3560" spans="1:18" ht="15.75" customHeight="1" x14ac:dyDescent="0.3">
      <c r="A3560" s="11"/>
      <c r="B3560" s="11"/>
      <c r="D3560" s="21"/>
      <c r="E3560" s="22"/>
      <c r="G3560" s="23"/>
      <c r="H3560" s="24"/>
      <c r="Q3560" s="2"/>
      <c r="R3560" s="2"/>
    </row>
    <row r="3561" spans="1:18" ht="15.75" customHeight="1" x14ac:dyDescent="0.3">
      <c r="A3561" s="11"/>
      <c r="B3561" s="11"/>
      <c r="D3561" s="21"/>
      <c r="E3561" s="22"/>
      <c r="G3561" s="23"/>
      <c r="H3561" s="24"/>
      <c r="Q3561" s="2"/>
      <c r="R3561" s="2"/>
    </row>
    <row r="3562" spans="1:18" ht="15.75" customHeight="1" x14ac:dyDescent="0.3">
      <c r="A3562" s="11"/>
      <c r="B3562" s="11"/>
      <c r="D3562" s="21"/>
      <c r="E3562" s="22"/>
      <c r="G3562" s="23"/>
      <c r="H3562" s="24"/>
      <c r="Q3562" s="2"/>
      <c r="R3562" s="2"/>
    </row>
    <row r="3563" spans="1:18" ht="15.75" customHeight="1" x14ac:dyDescent="0.3">
      <c r="A3563" s="11"/>
      <c r="B3563" s="11"/>
      <c r="D3563" s="21"/>
      <c r="E3563" s="22"/>
      <c r="G3563" s="23"/>
      <c r="H3563" s="24"/>
      <c r="Q3563" s="2"/>
      <c r="R3563" s="2"/>
    </row>
    <row r="3564" spans="1:18" ht="15.75" customHeight="1" x14ac:dyDescent="0.3">
      <c r="A3564" s="11"/>
      <c r="B3564" s="11"/>
      <c r="D3564" s="21"/>
      <c r="E3564" s="22"/>
      <c r="G3564" s="23"/>
      <c r="H3564" s="24"/>
      <c r="Q3564" s="2"/>
      <c r="R3564" s="2"/>
    </row>
    <row r="3565" spans="1:18" ht="15.75" customHeight="1" x14ac:dyDescent="0.3">
      <c r="A3565" s="11"/>
      <c r="B3565" s="11"/>
      <c r="D3565" s="21"/>
      <c r="E3565" s="22"/>
      <c r="G3565" s="23"/>
      <c r="H3565" s="24"/>
      <c r="Q3565" s="2"/>
      <c r="R3565" s="2"/>
    </row>
    <row r="3566" spans="1:18" ht="15.75" customHeight="1" x14ac:dyDescent="0.3">
      <c r="A3566" s="11"/>
      <c r="B3566" s="11"/>
      <c r="D3566" s="21"/>
      <c r="E3566" s="22"/>
      <c r="G3566" s="23"/>
      <c r="H3566" s="24"/>
      <c r="Q3566" s="2"/>
      <c r="R3566" s="2"/>
    </row>
    <row r="3567" spans="1:18" ht="15.75" customHeight="1" x14ac:dyDescent="0.3">
      <c r="A3567" s="11"/>
      <c r="B3567" s="11"/>
      <c r="D3567" s="21"/>
      <c r="E3567" s="22"/>
      <c r="G3567" s="23"/>
      <c r="H3567" s="24"/>
      <c r="Q3567" s="2"/>
      <c r="R3567" s="2"/>
    </row>
    <row r="3568" spans="1:18" ht="15.75" customHeight="1" x14ac:dyDescent="0.3">
      <c r="A3568" s="11"/>
      <c r="B3568" s="11"/>
      <c r="D3568" s="21"/>
      <c r="E3568" s="22"/>
      <c r="G3568" s="23"/>
      <c r="H3568" s="24"/>
      <c r="Q3568" s="2"/>
      <c r="R3568" s="2"/>
    </row>
    <row r="3569" spans="1:18" ht="15.75" customHeight="1" x14ac:dyDescent="0.3">
      <c r="A3569" s="11"/>
      <c r="B3569" s="11"/>
      <c r="D3569" s="21"/>
      <c r="E3569" s="22"/>
      <c r="G3569" s="23"/>
      <c r="H3569" s="24"/>
      <c r="Q3569" s="2"/>
      <c r="R3569" s="2"/>
    </row>
    <row r="3570" spans="1:18" ht="15.75" customHeight="1" x14ac:dyDescent="0.3">
      <c r="A3570" s="11"/>
      <c r="B3570" s="11"/>
      <c r="D3570" s="21"/>
      <c r="E3570" s="22"/>
      <c r="G3570" s="23"/>
      <c r="H3570" s="24"/>
      <c r="Q3570" s="2"/>
      <c r="R3570" s="2"/>
    </row>
    <row r="3571" spans="1:18" ht="15.75" customHeight="1" x14ac:dyDescent="0.3">
      <c r="A3571" s="11"/>
      <c r="B3571" s="11"/>
      <c r="D3571" s="21"/>
      <c r="E3571" s="22"/>
      <c r="G3571" s="23"/>
      <c r="H3571" s="24"/>
      <c r="Q3571" s="2"/>
      <c r="R3571" s="2"/>
    </row>
    <row r="3572" spans="1:18" ht="15.75" customHeight="1" x14ac:dyDescent="0.3">
      <c r="A3572" s="11"/>
      <c r="B3572" s="11"/>
      <c r="D3572" s="21"/>
      <c r="E3572" s="22"/>
      <c r="G3572" s="23"/>
      <c r="H3572" s="24"/>
      <c r="Q3572" s="2"/>
      <c r="R3572" s="2"/>
    </row>
    <row r="3573" spans="1:18" ht="15.75" customHeight="1" x14ac:dyDescent="0.3">
      <c r="A3573" s="11"/>
      <c r="B3573" s="11"/>
      <c r="D3573" s="21"/>
      <c r="E3573" s="22"/>
      <c r="G3573" s="23"/>
      <c r="H3573" s="24"/>
      <c r="Q3573" s="2"/>
      <c r="R3573" s="2"/>
    </row>
    <row r="3574" spans="1:18" ht="15.75" customHeight="1" x14ac:dyDescent="0.3">
      <c r="A3574" s="11"/>
      <c r="B3574" s="11"/>
      <c r="D3574" s="21"/>
      <c r="E3574" s="22"/>
      <c r="G3574" s="23"/>
      <c r="H3574" s="24"/>
      <c r="Q3574" s="2"/>
      <c r="R3574" s="2"/>
    </row>
    <row r="3575" spans="1:18" ht="15.75" customHeight="1" x14ac:dyDescent="0.3">
      <c r="A3575" s="11"/>
      <c r="B3575" s="11"/>
      <c r="D3575" s="21"/>
      <c r="E3575" s="22"/>
      <c r="G3575" s="23"/>
      <c r="H3575" s="24"/>
      <c r="Q3575" s="2"/>
      <c r="R3575" s="2"/>
    </row>
    <row r="3576" spans="1:18" ht="15.75" customHeight="1" x14ac:dyDescent="0.3">
      <c r="A3576" s="11"/>
      <c r="B3576" s="11"/>
      <c r="D3576" s="21"/>
      <c r="E3576" s="22"/>
      <c r="G3576" s="23"/>
      <c r="H3576" s="24"/>
      <c r="Q3576" s="2"/>
      <c r="R3576" s="2"/>
    </row>
    <row r="3577" spans="1:18" ht="15.75" customHeight="1" x14ac:dyDescent="0.3">
      <c r="A3577" s="11"/>
      <c r="B3577" s="11"/>
      <c r="D3577" s="21"/>
      <c r="E3577" s="22"/>
      <c r="G3577" s="23"/>
      <c r="H3577" s="24"/>
      <c r="Q3577" s="2"/>
      <c r="R3577" s="2"/>
    </row>
    <row r="3578" spans="1:18" ht="15.75" customHeight="1" x14ac:dyDescent="0.3">
      <c r="A3578" s="11"/>
      <c r="B3578" s="11"/>
      <c r="D3578" s="21"/>
      <c r="E3578" s="22"/>
      <c r="G3578" s="23"/>
      <c r="H3578" s="24"/>
      <c r="Q3578" s="2"/>
      <c r="R3578" s="2"/>
    </row>
    <row r="3579" spans="1:18" ht="15.75" customHeight="1" x14ac:dyDescent="0.3">
      <c r="A3579" s="11"/>
      <c r="B3579" s="11"/>
      <c r="D3579" s="21"/>
      <c r="E3579" s="22"/>
      <c r="G3579" s="23"/>
      <c r="H3579" s="24"/>
      <c r="Q3579" s="2"/>
      <c r="R3579" s="2"/>
    </row>
    <row r="3580" spans="1:18" ht="15.75" customHeight="1" x14ac:dyDescent="0.3">
      <c r="A3580" s="11"/>
      <c r="B3580" s="11"/>
      <c r="D3580" s="21"/>
      <c r="E3580" s="22"/>
      <c r="G3580" s="23"/>
      <c r="H3580" s="24"/>
      <c r="Q3580" s="2"/>
      <c r="R3580" s="2"/>
    </row>
    <row r="3581" spans="1:18" ht="15.75" customHeight="1" x14ac:dyDescent="0.3">
      <c r="A3581" s="11"/>
      <c r="B3581" s="11"/>
      <c r="D3581" s="21"/>
      <c r="E3581" s="22"/>
      <c r="G3581" s="23"/>
      <c r="H3581" s="24"/>
      <c r="Q3581" s="2"/>
      <c r="R3581" s="2"/>
    </row>
    <row r="3582" spans="1:18" ht="15.75" customHeight="1" x14ac:dyDescent="0.3">
      <c r="A3582" s="11"/>
      <c r="B3582" s="11"/>
      <c r="D3582" s="21"/>
      <c r="E3582" s="22"/>
      <c r="G3582" s="23"/>
      <c r="H3582" s="24"/>
      <c r="Q3582" s="2"/>
      <c r="R3582" s="2"/>
    </row>
    <row r="3583" spans="1:18" ht="15.75" customHeight="1" x14ac:dyDescent="0.3">
      <c r="A3583" s="11"/>
      <c r="B3583" s="11"/>
      <c r="D3583" s="21"/>
      <c r="E3583" s="22"/>
      <c r="G3583" s="23"/>
      <c r="H3583" s="24"/>
      <c r="Q3583" s="2"/>
      <c r="R3583" s="2"/>
    </row>
    <row r="3584" spans="1:18" ht="15.75" customHeight="1" x14ac:dyDescent="0.3">
      <c r="A3584" s="11"/>
      <c r="B3584" s="11"/>
      <c r="D3584" s="21"/>
      <c r="E3584" s="22"/>
      <c r="G3584" s="23"/>
      <c r="H3584" s="24"/>
      <c r="Q3584" s="2"/>
      <c r="R3584" s="2"/>
    </row>
    <row r="3585" spans="1:18" ht="15.75" customHeight="1" x14ac:dyDescent="0.3">
      <c r="A3585" s="11"/>
      <c r="B3585" s="11"/>
      <c r="D3585" s="21"/>
      <c r="E3585" s="22"/>
      <c r="G3585" s="23"/>
      <c r="H3585" s="24"/>
      <c r="Q3585" s="2"/>
      <c r="R3585" s="2"/>
    </row>
    <row r="3586" spans="1:18" ht="15.75" customHeight="1" x14ac:dyDescent="0.3">
      <c r="A3586" s="11"/>
      <c r="B3586" s="11"/>
      <c r="D3586" s="21"/>
      <c r="E3586" s="22"/>
      <c r="G3586" s="23"/>
      <c r="H3586" s="24"/>
      <c r="Q3586" s="2"/>
      <c r="R3586" s="2"/>
    </row>
    <row r="3587" spans="1:18" ht="15.75" customHeight="1" x14ac:dyDescent="0.3">
      <c r="A3587" s="11"/>
      <c r="B3587" s="11"/>
      <c r="D3587" s="21"/>
      <c r="E3587" s="22"/>
      <c r="G3587" s="23"/>
      <c r="H3587" s="24"/>
      <c r="Q3587" s="2"/>
      <c r="R3587" s="2"/>
    </row>
    <row r="3588" spans="1:18" ht="15.75" customHeight="1" x14ac:dyDescent="0.3">
      <c r="A3588" s="11"/>
      <c r="B3588" s="11"/>
      <c r="D3588" s="21"/>
      <c r="E3588" s="22"/>
      <c r="G3588" s="23"/>
      <c r="H3588" s="24"/>
      <c r="Q3588" s="2"/>
      <c r="R3588" s="2"/>
    </row>
    <row r="3589" spans="1:18" ht="15.75" customHeight="1" x14ac:dyDescent="0.3">
      <c r="A3589" s="11"/>
      <c r="B3589" s="11"/>
      <c r="D3589" s="21"/>
      <c r="E3589" s="22"/>
      <c r="G3589" s="23"/>
      <c r="H3589" s="24"/>
      <c r="Q3589" s="2"/>
      <c r="R3589" s="2"/>
    </row>
    <row r="3590" spans="1:18" ht="15.75" customHeight="1" x14ac:dyDescent="0.3">
      <c r="A3590" s="11"/>
      <c r="B3590" s="11"/>
      <c r="D3590" s="21"/>
      <c r="E3590" s="22"/>
      <c r="G3590" s="23"/>
      <c r="H3590" s="24"/>
      <c r="Q3590" s="2"/>
      <c r="R3590" s="2"/>
    </row>
    <row r="3591" spans="1:18" ht="15.75" customHeight="1" x14ac:dyDescent="0.3">
      <c r="A3591" s="11"/>
      <c r="B3591" s="11"/>
      <c r="D3591" s="21"/>
      <c r="E3591" s="22"/>
      <c r="G3591" s="23"/>
      <c r="H3591" s="24"/>
      <c r="Q3591" s="2"/>
      <c r="R3591" s="2"/>
    </row>
    <row r="3592" spans="1:18" ht="15.75" customHeight="1" x14ac:dyDescent="0.3">
      <c r="A3592" s="11"/>
      <c r="B3592" s="11"/>
      <c r="D3592" s="21"/>
      <c r="E3592" s="22"/>
      <c r="G3592" s="23"/>
      <c r="H3592" s="24"/>
      <c r="Q3592" s="2"/>
      <c r="R3592" s="2"/>
    </row>
    <row r="3593" spans="1:18" ht="15.75" customHeight="1" x14ac:dyDescent="0.3">
      <c r="A3593" s="11"/>
      <c r="B3593" s="11"/>
      <c r="D3593" s="21"/>
      <c r="E3593" s="22"/>
      <c r="G3593" s="23"/>
      <c r="H3593" s="24"/>
      <c r="Q3593" s="2"/>
      <c r="R3593" s="2"/>
    </row>
    <row r="3594" spans="1:18" ht="15.75" customHeight="1" x14ac:dyDescent="0.3">
      <c r="A3594" s="11"/>
      <c r="B3594" s="11"/>
      <c r="D3594" s="21"/>
      <c r="E3594" s="22"/>
      <c r="G3594" s="23"/>
      <c r="H3594" s="24"/>
      <c r="Q3594" s="2"/>
      <c r="R3594" s="2"/>
    </row>
    <row r="3595" spans="1:18" ht="15.75" customHeight="1" x14ac:dyDescent="0.3">
      <c r="A3595" s="11"/>
      <c r="B3595" s="11"/>
      <c r="D3595" s="21"/>
      <c r="E3595" s="22"/>
      <c r="G3595" s="23"/>
      <c r="H3595" s="24"/>
      <c r="Q3595" s="2"/>
      <c r="R3595" s="2"/>
    </row>
    <row r="3596" spans="1:18" ht="15.75" customHeight="1" x14ac:dyDescent="0.3">
      <c r="A3596" s="11"/>
      <c r="B3596" s="11"/>
      <c r="D3596" s="21"/>
      <c r="E3596" s="22"/>
      <c r="G3596" s="23"/>
      <c r="H3596" s="24"/>
      <c r="Q3596" s="2"/>
      <c r="R3596" s="2"/>
    </row>
    <row r="3597" spans="1:18" ht="15.75" customHeight="1" x14ac:dyDescent="0.3">
      <c r="A3597" s="11"/>
      <c r="B3597" s="11"/>
      <c r="D3597" s="21"/>
      <c r="E3597" s="22"/>
      <c r="G3597" s="23"/>
      <c r="H3597" s="24"/>
      <c r="Q3597" s="2"/>
      <c r="R3597" s="2"/>
    </row>
    <row r="3598" spans="1:18" ht="15.75" customHeight="1" x14ac:dyDescent="0.3">
      <c r="A3598" s="11"/>
      <c r="B3598" s="11"/>
      <c r="D3598" s="21"/>
      <c r="E3598" s="22"/>
      <c r="G3598" s="23"/>
      <c r="H3598" s="24"/>
      <c r="Q3598" s="2"/>
      <c r="R3598" s="2"/>
    </row>
    <row r="3599" spans="1:18" ht="15.75" customHeight="1" x14ac:dyDescent="0.3">
      <c r="A3599" s="11"/>
      <c r="B3599" s="11"/>
      <c r="D3599" s="21"/>
      <c r="E3599" s="22"/>
      <c r="G3599" s="23"/>
      <c r="H3599" s="24"/>
      <c r="Q3599" s="2"/>
      <c r="R3599" s="2"/>
    </row>
    <row r="3600" spans="1:18" ht="15.75" customHeight="1" x14ac:dyDescent="0.3">
      <c r="A3600" s="11"/>
      <c r="B3600" s="11"/>
      <c r="D3600" s="21"/>
      <c r="E3600" s="22"/>
      <c r="G3600" s="23"/>
      <c r="H3600" s="24"/>
      <c r="Q3600" s="2"/>
      <c r="R3600" s="2"/>
    </row>
    <row r="3601" spans="1:18" ht="15.75" customHeight="1" x14ac:dyDescent="0.3">
      <c r="A3601" s="11"/>
      <c r="B3601" s="11"/>
      <c r="D3601" s="21"/>
      <c r="E3601" s="22"/>
      <c r="G3601" s="23"/>
      <c r="H3601" s="24"/>
      <c r="Q3601" s="2"/>
      <c r="R3601" s="2"/>
    </row>
    <row r="3602" spans="1:18" ht="15.75" customHeight="1" x14ac:dyDescent="0.3">
      <c r="A3602" s="11"/>
      <c r="B3602" s="11"/>
      <c r="D3602" s="21"/>
      <c r="E3602" s="22"/>
      <c r="G3602" s="23"/>
      <c r="H3602" s="24"/>
      <c r="Q3602" s="2"/>
      <c r="R3602" s="2"/>
    </row>
    <row r="3603" spans="1:18" ht="15.75" customHeight="1" x14ac:dyDescent="0.3">
      <c r="A3603" s="11"/>
      <c r="B3603" s="11"/>
      <c r="D3603" s="21"/>
      <c r="E3603" s="22"/>
      <c r="G3603" s="23"/>
      <c r="H3603" s="24"/>
      <c r="Q3603" s="2"/>
      <c r="R3603" s="2"/>
    </row>
    <row r="3604" spans="1:18" ht="15.75" customHeight="1" x14ac:dyDescent="0.3">
      <c r="A3604" s="11"/>
      <c r="B3604" s="11"/>
      <c r="D3604" s="21"/>
      <c r="E3604" s="22"/>
      <c r="G3604" s="23"/>
      <c r="H3604" s="24"/>
      <c r="Q3604" s="2"/>
      <c r="R3604" s="2"/>
    </row>
    <row r="3605" spans="1:18" ht="15.75" customHeight="1" x14ac:dyDescent="0.3">
      <c r="A3605" s="11"/>
      <c r="B3605" s="11"/>
      <c r="D3605" s="21"/>
      <c r="E3605" s="22"/>
      <c r="G3605" s="23"/>
      <c r="H3605" s="24"/>
      <c r="Q3605" s="2"/>
      <c r="R3605" s="2"/>
    </row>
    <row r="3606" spans="1:18" ht="15.75" customHeight="1" x14ac:dyDescent="0.3">
      <c r="A3606" s="11"/>
      <c r="B3606" s="11"/>
      <c r="D3606" s="21"/>
      <c r="E3606" s="22"/>
      <c r="G3606" s="23"/>
      <c r="H3606" s="24"/>
      <c r="Q3606" s="2"/>
      <c r="R3606" s="2"/>
    </row>
    <row r="3607" spans="1:18" ht="15.75" customHeight="1" x14ac:dyDescent="0.3">
      <c r="A3607" s="11"/>
      <c r="B3607" s="11"/>
      <c r="D3607" s="21"/>
      <c r="E3607" s="22"/>
      <c r="G3607" s="23"/>
      <c r="H3607" s="24"/>
      <c r="Q3607" s="2"/>
      <c r="R3607" s="2"/>
    </row>
    <row r="3608" spans="1:18" ht="15.75" customHeight="1" x14ac:dyDescent="0.3">
      <c r="A3608" s="11"/>
      <c r="B3608" s="11"/>
      <c r="D3608" s="21"/>
      <c r="E3608" s="22"/>
      <c r="G3608" s="23"/>
      <c r="H3608" s="24"/>
      <c r="Q3608" s="2"/>
      <c r="R3608" s="2"/>
    </row>
    <row r="3609" spans="1:18" ht="15.75" customHeight="1" x14ac:dyDescent="0.3">
      <c r="A3609" s="11"/>
      <c r="B3609" s="11"/>
      <c r="D3609" s="21"/>
      <c r="E3609" s="22"/>
      <c r="G3609" s="23"/>
      <c r="H3609" s="24"/>
      <c r="Q3609" s="2"/>
      <c r="R3609" s="2"/>
    </row>
    <row r="3610" spans="1:18" ht="15.75" customHeight="1" x14ac:dyDescent="0.3">
      <c r="A3610" s="11"/>
      <c r="B3610" s="11"/>
      <c r="D3610" s="21"/>
      <c r="E3610" s="22"/>
      <c r="G3610" s="23"/>
      <c r="H3610" s="24"/>
      <c r="Q3610" s="2"/>
      <c r="R3610" s="2"/>
    </row>
    <row r="3611" spans="1:18" ht="15.75" customHeight="1" x14ac:dyDescent="0.3">
      <c r="A3611" s="11"/>
      <c r="B3611" s="11"/>
      <c r="D3611" s="21"/>
      <c r="E3611" s="22"/>
      <c r="G3611" s="23"/>
      <c r="H3611" s="24"/>
      <c r="Q3611" s="2"/>
      <c r="R3611" s="2"/>
    </row>
    <row r="3612" spans="1:18" ht="15.75" customHeight="1" x14ac:dyDescent="0.3">
      <c r="A3612" s="11"/>
      <c r="B3612" s="11"/>
      <c r="D3612" s="21"/>
      <c r="E3612" s="22"/>
      <c r="G3612" s="23"/>
      <c r="H3612" s="24"/>
      <c r="Q3612" s="2"/>
      <c r="R3612" s="2"/>
    </row>
    <row r="3613" spans="1:18" ht="15.75" customHeight="1" x14ac:dyDescent="0.3">
      <c r="A3613" s="11"/>
      <c r="B3613" s="11"/>
      <c r="D3613" s="21"/>
      <c r="E3613" s="22"/>
      <c r="G3613" s="23"/>
      <c r="H3613" s="24"/>
      <c r="Q3613" s="2"/>
      <c r="R3613" s="2"/>
    </row>
    <row r="3614" spans="1:18" ht="15.75" customHeight="1" x14ac:dyDescent="0.3">
      <c r="A3614" s="11"/>
      <c r="B3614" s="11"/>
      <c r="D3614" s="21"/>
      <c r="E3614" s="22"/>
      <c r="G3614" s="23"/>
      <c r="H3614" s="24"/>
      <c r="Q3614" s="2"/>
      <c r="R3614" s="2"/>
    </row>
    <row r="3615" spans="1:18" ht="15.75" customHeight="1" x14ac:dyDescent="0.3">
      <c r="A3615" s="11"/>
      <c r="B3615" s="11"/>
      <c r="D3615" s="21"/>
      <c r="E3615" s="22"/>
      <c r="G3615" s="23"/>
      <c r="H3615" s="24"/>
      <c r="Q3615" s="2"/>
      <c r="R3615" s="2"/>
    </row>
    <row r="3616" spans="1:18" ht="15.75" customHeight="1" x14ac:dyDescent="0.3">
      <c r="A3616" s="11"/>
      <c r="B3616" s="11"/>
      <c r="D3616" s="21"/>
      <c r="E3616" s="22"/>
      <c r="G3616" s="23"/>
      <c r="H3616" s="24"/>
      <c r="Q3616" s="2"/>
      <c r="R3616" s="2"/>
    </row>
    <row r="3617" spans="1:18" ht="15.75" customHeight="1" x14ac:dyDescent="0.3">
      <c r="A3617" s="11"/>
      <c r="B3617" s="11"/>
      <c r="D3617" s="21"/>
      <c r="E3617" s="22"/>
      <c r="G3617" s="23"/>
      <c r="H3617" s="24"/>
      <c r="Q3617" s="2"/>
      <c r="R3617" s="2"/>
    </row>
    <row r="3618" spans="1:18" ht="15.75" customHeight="1" x14ac:dyDescent="0.3">
      <c r="A3618" s="11"/>
      <c r="B3618" s="11"/>
      <c r="D3618" s="21"/>
      <c r="E3618" s="22"/>
      <c r="G3618" s="23"/>
      <c r="H3618" s="24"/>
      <c r="Q3618" s="2"/>
      <c r="R3618" s="2"/>
    </row>
    <row r="3619" spans="1:18" ht="15.75" customHeight="1" x14ac:dyDescent="0.3">
      <c r="A3619" s="11"/>
      <c r="B3619" s="11"/>
      <c r="D3619" s="21"/>
      <c r="E3619" s="22"/>
      <c r="G3619" s="23"/>
      <c r="H3619" s="24"/>
      <c r="Q3619" s="2"/>
      <c r="R3619" s="2"/>
    </row>
    <row r="3620" spans="1:18" ht="15.75" customHeight="1" x14ac:dyDescent="0.3">
      <c r="A3620" s="11"/>
      <c r="B3620" s="11"/>
      <c r="D3620" s="21"/>
      <c r="E3620" s="22"/>
      <c r="G3620" s="23"/>
      <c r="H3620" s="24"/>
      <c r="Q3620" s="2"/>
      <c r="R3620" s="2"/>
    </row>
    <row r="3621" spans="1:18" ht="15.75" customHeight="1" x14ac:dyDescent="0.3">
      <c r="A3621" s="11"/>
      <c r="B3621" s="11"/>
      <c r="D3621" s="21"/>
      <c r="E3621" s="22"/>
      <c r="G3621" s="23"/>
      <c r="H3621" s="24"/>
      <c r="Q3621" s="2"/>
      <c r="R3621" s="2"/>
    </row>
    <row r="3622" spans="1:18" ht="15.75" customHeight="1" x14ac:dyDescent="0.3">
      <c r="A3622" s="11"/>
      <c r="B3622" s="11"/>
      <c r="D3622" s="21"/>
      <c r="E3622" s="22"/>
      <c r="G3622" s="23"/>
      <c r="H3622" s="24"/>
      <c r="Q3622" s="2"/>
      <c r="R3622" s="2"/>
    </row>
    <row r="3623" spans="1:18" ht="15.75" customHeight="1" x14ac:dyDescent="0.3">
      <c r="A3623" s="11"/>
      <c r="B3623" s="11"/>
      <c r="D3623" s="21"/>
      <c r="E3623" s="22"/>
      <c r="G3623" s="23"/>
      <c r="H3623" s="24"/>
      <c r="Q3623" s="2"/>
      <c r="R3623" s="2"/>
    </row>
    <row r="3624" spans="1:18" ht="15.75" customHeight="1" x14ac:dyDescent="0.3">
      <c r="A3624" s="11"/>
      <c r="B3624" s="11"/>
      <c r="D3624" s="21"/>
      <c r="E3624" s="22"/>
      <c r="G3624" s="23"/>
      <c r="H3624" s="24"/>
      <c r="Q3624" s="2"/>
      <c r="R3624" s="2"/>
    </row>
    <row r="3625" spans="1:18" ht="15.75" customHeight="1" x14ac:dyDescent="0.3">
      <c r="A3625" s="11"/>
      <c r="B3625" s="11"/>
      <c r="D3625" s="21"/>
      <c r="E3625" s="22"/>
      <c r="G3625" s="23"/>
      <c r="H3625" s="24"/>
      <c r="Q3625" s="2"/>
      <c r="R3625" s="2"/>
    </row>
    <row r="3626" spans="1:18" ht="15.75" customHeight="1" x14ac:dyDescent="0.3">
      <c r="A3626" s="11"/>
      <c r="B3626" s="11"/>
      <c r="D3626" s="21"/>
      <c r="E3626" s="22"/>
      <c r="G3626" s="23"/>
      <c r="H3626" s="24"/>
      <c r="Q3626" s="2"/>
      <c r="R3626" s="2"/>
    </row>
    <row r="3627" spans="1:18" ht="15.75" customHeight="1" x14ac:dyDescent="0.3">
      <c r="A3627" s="11"/>
      <c r="B3627" s="11"/>
      <c r="D3627" s="21"/>
      <c r="E3627" s="22"/>
      <c r="G3627" s="23"/>
      <c r="H3627" s="24"/>
      <c r="Q3627" s="2"/>
      <c r="R3627" s="2"/>
    </row>
    <row r="3628" spans="1:18" ht="15.75" customHeight="1" x14ac:dyDescent="0.3">
      <c r="A3628" s="11"/>
      <c r="B3628" s="11"/>
      <c r="D3628" s="21"/>
      <c r="E3628" s="22"/>
      <c r="G3628" s="23"/>
      <c r="H3628" s="24"/>
      <c r="Q3628" s="2"/>
      <c r="R3628" s="2"/>
    </row>
    <row r="3629" spans="1:18" ht="15.75" customHeight="1" x14ac:dyDescent="0.3">
      <c r="A3629" s="11"/>
      <c r="B3629" s="11"/>
      <c r="D3629" s="21"/>
      <c r="E3629" s="22"/>
      <c r="G3629" s="23"/>
      <c r="H3629" s="24"/>
      <c r="Q3629" s="2"/>
      <c r="R3629" s="2"/>
    </row>
    <row r="3630" spans="1:18" ht="15.75" customHeight="1" x14ac:dyDescent="0.3">
      <c r="A3630" s="11"/>
      <c r="B3630" s="11"/>
      <c r="D3630" s="21"/>
      <c r="E3630" s="22"/>
      <c r="G3630" s="23"/>
      <c r="H3630" s="24"/>
      <c r="Q3630" s="2"/>
      <c r="R3630" s="2"/>
    </row>
    <row r="3631" spans="1:18" ht="15.75" customHeight="1" x14ac:dyDescent="0.3">
      <c r="A3631" s="11"/>
      <c r="B3631" s="11"/>
      <c r="D3631" s="21"/>
      <c r="E3631" s="22"/>
      <c r="G3631" s="23"/>
      <c r="H3631" s="24"/>
      <c r="Q3631" s="2"/>
      <c r="R3631" s="2"/>
    </row>
    <row r="3632" spans="1:18" ht="15.75" customHeight="1" x14ac:dyDescent="0.3">
      <c r="A3632" s="11"/>
      <c r="B3632" s="11"/>
      <c r="D3632" s="21"/>
      <c r="E3632" s="22"/>
      <c r="G3632" s="23"/>
      <c r="H3632" s="24"/>
      <c r="Q3632" s="2"/>
      <c r="R3632" s="2"/>
    </row>
    <row r="3633" spans="1:18" ht="15.75" customHeight="1" x14ac:dyDescent="0.3">
      <c r="A3633" s="11"/>
      <c r="B3633" s="11"/>
      <c r="D3633" s="21"/>
      <c r="E3633" s="22"/>
      <c r="G3633" s="23"/>
      <c r="H3633" s="24"/>
      <c r="Q3633" s="2"/>
      <c r="R3633" s="2"/>
    </row>
    <row r="3634" spans="1:18" ht="15.75" customHeight="1" x14ac:dyDescent="0.3">
      <c r="A3634" s="11"/>
      <c r="B3634" s="11"/>
      <c r="D3634" s="21"/>
      <c r="E3634" s="22"/>
      <c r="G3634" s="23"/>
      <c r="H3634" s="24"/>
      <c r="Q3634" s="2"/>
      <c r="R3634" s="2"/>
    </row>
    <row r="3635" spans="1:18" ht="15.75" customHeight="1" x14ac:dyDescent="0.3">
      <c r="A3635" s="11"/>
      <c r="B3635" s="11"/>
      <c r="D3635" s="21"/>
      <c r="E3635" s="22"/>
      <c r="G3635" s="23"/>
      <c r="H3635" s="24"/>
      <c r="Q3635" s="2"/>
      <c r="R3635" s="2"/>
    </row>
    <row r="3636" spans="1:18" ht="15.75" customHeight="1" x14ac:dyDescent="0.3">
      <c r="A3636" s="11"/>
      <c r="B3636" s="11"/>
      <c r="D3636" s="21"/>
      <c r="E3636" s="22"/>
      <c r="G3636" s="23"/>
      <c r="H3636" s="24"/>
      <c r="Q3636" s="2"/>
      <c r="R3636" s="2"/>
    </row>
    <row r="3637" spans="1:18" ht="15.75" customHeight="1" x14ac:dyDescent="0.3">
      <c r="A3637" s="11"/>
      <c r="B3637" s="11"/>
      <c r="D3637" s="21"/>
      <c r="E3637" s="22"/>
      <c r="G3637" s="23"/>
      <c r="H3637" s="24"/>
      <c r="Q3637" s="2"/>
      <c r="R3637" s="2"/>
    </row>
    <row r="3638" spans="1:18" ht="15.75" customHeight="1" x14ac:dyDescent="0.3">
      <c r="A3638" s="11"/>
      <c r="B3638" s="11"/>
      <c r="D3638" s="21"/>
      <c r="E3638" s="22"/>
      <c r="G3638" s="23"/>
      <c r="H3638" s="24"/>
      <c r="Q3638" s="2"/>
      <c r="R3638" s="2"/>
    </row>
    <row r="3639" spans="1:18" ht="15.75" customHeight="1" x14ac:dyDescent="0.3">
      <c r="A3639" s="11"/>
      <c r="B3639" s="11"/>
      <c r="D3639" s="21"/>
      <c r="E3639" s="22"/>
      <c r="G3639" s="23"/>
      <c r="H3639" s="24"/>
      <c r="Q3639" s="2"/>
      <c r="R3639" s="2"/>
    </row>
    <row r="3640" spans="1:18" ht="15.75" customHeight="1" x14ac:dyDescent="0.3">
      <c r="A3640" s="11"/>
      <c r="B3640" s="11"/>
      <c r="D3640" s="21"/>
      <c r="E3640" s="22"/>
      <c r="G3640" s="23"/>
      <c r="H3640" s="24"/>
      <c r="Q3640" s="2"/>
      <c r="R3640" s="2"/>
    </row>
    <row r="3641" spans="1:18" ht="15.75" customHeight="1" x14ac:dyDescent="0.3">
      <c r="A3641" s="11"/>
      <c r="B3641" s="11"/>
      <c r="D3641" s="21"/>
      <c r="E3641" s="22"/>
      <c r="G3641" s="23"/>
      <c r="H3641" s="24"/>
      <c r="Q3641" s="2"/>
      <c r="R3641" s="2"/>
    </row>
    <row r="3642" spans="1:18" ht="15.75" customHeight="1" x14ac:dyDescent="0.3">
      <c r="A3642" s="11"/>
      <c r="B3642" s="11"/>
      <c r="D3642" s="21"/>
      <c r="E3642" s="22"/>
      <c r="G3642" s="23"/>
      <c r="H3642" s="24"/>
      <c r="Q3642" s="2"/>
      <c r="R3642" s="2"/>
    </row>
    <row r="3643" spans="1:18" ht="15.75" customHeight="1" x14ac:dyDescent="0.3">
      <c r="A3643" s="11"/>
      <c r="B3643" s="11"/>
      <c r="D3643" s="21"/>
      <c r="E3643" s="22"/>
      <c r="G3643" s="23"/>
      <c r="H3643" s="24"/>
      <c r="Q3643" s="2"/>
      <c r="R3643" s="2"/>
    </row>
    <row r="3644" spans="1:18" ht="15.75" customHeight="1" x14ac:dyDescent="0.3">
      <c r="A3644" s="11"/>
      <c r="B3644" s="11"/>
      <c r="D3644" s="21"/>
      <c r="E3644" s="22"/>
      <c r="G3644" s="23"/>
      <c r="H3644" s="24"/>
      <c r="Q3644" s="2"/>
      <c r="R3644" s="2"/>
    </row>
    <row r="3645" spans="1:18" ht="15.75" customHeight="1" x14ac:dyDescent="0.3">
      <c r="A3645" s="11"/>
      <c r="B3645" s="11"/>
      <c r="D3645" s="21"/>
      <c r="E3645" s="22"/>
      <c r="G3645" s="23"/>
      <c r="H3645" s="24"/>
      <c r="Q3645" s="2"/>
      <c r="R3645" s="2"/>
    </row>
    <row r="3646" spans="1:18" ht="15.75" customHeight="1" x14ac:dyDescent="0.3">
      <c r="A3646" s="11"/>
      <c r="B3646" s="11"/>
      <c r="D3646" s="21"/>
      <c r="E3646" s="22"/>
      <c r="G3646" s="23"/>
      <c r="H3646" s="24"/>
      <c r="Q3646" s="2"/>
      <c r="R3646" s="2"/>
    </row>
    <row r="3647" spans="1:18" ht="15.75" customHeight="1" x14ac:dyDescent="0.3">
      <c r="A3647" s="11"/>
      <c r="B3647" s="11"/>
      <c r="D3647" s="21"/>
      <c r="E3647" s="22"/>
      <c r="G3647" s="23"/>
      <c r="H3647" s="24"/>
      <c r="Q3647" s="2"/>
      <c r="R3647" s="2"/>
    </row>
    <row r="3648" spans="1:18" ht="15.75" customHeight="1" x14ac:dyDescent="0.3">
      <c r="A3648" s="11"/>
      <c r="B3648" s="11"/>
      <c r="D3648" s="21"/>
      <c r="E3648" s="22"/>
      <c r="G3648" s="23"/>
      <c r="H3648" s="24"/>
      <c r="Q3648" s="2"/>
      <c r="R3648" s="2"/>
    </row>
    <row r="3649" spans="1:18" ht="15.75" customHeight="1" x14ac:dyDescent="0.3">
      <c r="A3649" s="11"/>
      <c r="B3649" s="11"/>
      <c r="D3649" s="21"/>
      <c r="E3649" s="22"/>
      <c r="G3649" s="23"/>
      <c r="H3649" s="24"/>
      <c r="Q3649" s="2"/>
      <c r="R3649" s="2"/>
    </row>
    <row r="3650" spans="1:18" ht="15.75" customHeight="1" x14ac:dyDescent="0.3">
      <c r="A3650" s="11"/>
      <c r="B3650" s="11"/>
      <c r="D3650" s="21"/>
      <c r="E3650" s="22"/>
      <c r="G3650" s="23"/>
      <c r="H3650" s="24"/>
      <c r="Q3650" s="2"/>
      <c r="R3650" s="2"/>
    </row>
    <row r="3651" spans="1:18" ht="15.75" customHeight="1" x14ac:dyDescent="0.3">
      <c r="A3651" s="11"/>
      <c r="B3651" s="11"/>
      <c r="D3651" s="21"/>
      <c r="E3651" s="22"/>
      <c r="G3651" s="23"/>
      <c r="H3651" s="24"/>
      <c r="Q3651" s="2"/>
      <c r="R3651" s="2"/>
    </row>
    <row r="3652" spans="1:18" ht="15.75" customHeight="1" x14ac:dyDescent="0.3">
      <c r="A3652" s="11"/>
      <c r="B3652" s="11"/>
      <c r="D3652" s="21"/>
      <c r="E3652" s="22"/>
      <c r="G3652" s="23"/>
      <c r="H3652" s="24"/>
      <c r="Q3652" s="2"/>
      <c r="R3652" s="2"/>
    </row>
    <row r="3653" spans="1:18" ht="15.75" customHeight="1" x14ac:dyDescent="0.3">
      <c r="A3653" s="11"/>
      <c r="B3653" s="11"/>
      <c r="D3653" s="21"/>
      <c r="E3653" s="22"/>
      <c r="G3653" s="23"/>
      <c r="H3653" s="24"/>
      <c r="Q3653" s="2"/>
      <c r="R3653" s="2"/>
    </row>
    <row r="3654" spans="1:18" ht="15.75" customHeight="1" x14ac:dyDescent="0.3">
      <c r="A3654" s="11"/>
      <c r="B3654" s="11"/>
      <c r="D3654" s="21"/>
      <c r="E3654" s="22"/>
      <c r="G3654" s="23"/>
      <c r="H3654" s="24"/>
      <c r="Q3654" s="2"/>
      <c r="R3654" s="2"/>
    </row>
    <row r="3655" spans="1:18" ht="15.75" customHeight="1" x14ac:dyDescent="0.3">
      <c r="A3655" s="11"/>
      <c r="B3655" s="11"/>
      <c r="D3655" s="21"/>
      <c r="E3655" s="22"/>
      <c r="G3655" s="23"/>
      <c r="H3655" s="24"/>
      <c r="Q3655" s="2"/>
      <c r="R3655" s="2"/>
    </row>
    <row r="3656" spans="1:18" ht="15.75" customHeight="1" x14ac:dyDescent="0.3">
      <c r="A3656" s="11"/>
      <c r="B3656" s="11"/>
      <c r="D3656" s="21"/>
      <c r="E3656" s="22"/>
      <c r="G3656" s="23"/>
      <c r="H3656" s="24"/>
      <c r="Q3656" s="2"/>
      <c r="R3656" s="2"/>
    </row>
    <row r="3657" spans="1:18" ht="15.75" customHeight="1" x14ac:dyDescent="0.3">
      <c r="A3657" s="11"/>
      <c r="B3657" s="11"/>
      <c r="D3657" s="21"/>
      <c r="E3657" s="22"/>
      <c r="G3657" s="23"/>
      <c r="H3657" s="24"/>
      <c r="Q3657" s="2"/>
      <c r="R3657" s="2"/>
    </row>
    <row r="3658" spans="1:18" ht="15.75" customHeight="1" x14ac:dyDescent="0.3">
      <c r="A3658" s="11"/>
      <c r="B3658" s="11"/>
      <c r="D3658" s="21"/>
      <c r="E3658" s="22"/>
      <c r="G3658" s="23"/>
      <c r="H3658" s="24"/>
      <c r="Q3658" s="2"/>
      <c r="R3658" s="2"/>
    </row>
    <row r="3659" spans="1:18" ht="15.75" customHeight="1" x14ac:dyDescent="0.3">
      <c r="A3659" s="11"/>
      <c r="B3659" s="11"/>
      <c r="D3659" s="21"/>
      <c r="E3659" s="22"/>
      <c r="G3659" s="23"/>
      <c r="H3659" s="24"/>
      <c r="Q3659" s="2"/>
      <c r="R3659" s="2"/>
    </row>
    <row r="3660" spans="1:18" ht="15.75" customHeight="1" x14ac:dyDescent="0.3">
      <c r="A3660" s="11"/>
      <c r="B3660" s="11"/>
      <c r="D3660" s="21"/>
      <c r="E3660" s="22"/>
      <c r="G3660" s="23"/>
      <c r="H3660" s="24"/>
      <c r="Q3660" s="2"/>
      <c r="R3660" s="2"/>
    </row>
    <row r="3661" spans="1:18" ht="15.75" customHeight="1" x14ac:dyDescent="0.3">
      <c r="A3661" s="11"/>
      <c r="B3661" s="11"/>
      <c r="D3661" s="21"/>
      <c r="E3661" s="22"/>
      <c r="G3661" s="23"/>
      <c r="H3661" s="24"/>
      <c r="Q3661" s="2"/>
      <c r="R3661" s="2"/>
    </row>
    <row r="3662" spans="1:18" ht="15.75" customHeight="1" x14ac:dyDescent="0.3">
      <c r="A3662" s="11"/>
      <c r="B3662" s="11"/>
      <c r="D3662" s="21"/>
      <c r="E3662" s="22"/>
      <c r="G3662" s="23"/>
      <c r="H3662" s="24"/>
      <c r="Q3662" s="2"/>
      <c r="R3662" s="2"/>
    </row>
    <row r="3663" spans="1:18" ht="15.75" customHeight="1" x14ac:dyDescent="0.3">
      <c r="A3663" s="11"/>
      <c r="B3663" s="11"/>
      <c r="D3663" s="21"/>
      <c r="E3663" s="22"/>
      <c r="G3663" s="23"/>
      <c r="H3663" s="24"/>
      <c r="Q3663" s="2"/>
      <c r="R3663" s="2"/>
    </row>
    <row r="3664" spans="1:18" ht="15.75" customHeight="1" x14ac:dyDescent="0.3">
      <c r="A3664" s="11"/>
      <c r="B3664" s="11"/>
      <c r="D3664" s="21"/>
      <c r="E3664" s="22"/>
      <c r="G3664" s="23"/>
      <c r="H3664" s="24"/>
      <c r="Q3664" s="2"/>
      <c r="R3664" s="2"/>
    </row>
    <row r="3665" spans="1:18" ht="15.75" customHeight="1" x14ac:dyDescent="0.3">
      <c r="A3665" s="11"/>
      <c r="B3665" s="11"/>
      <c r="D3665" s="21"/>
      <c r="E3665" s="22"/>
      <c r="G3665" s="23"/>
      <c r="H3665" s="24"/>
      <c r="Q3665" s="2"/>
      <c r="R3665" s="2"/>
    </row>
    <row r="3666" spans="1:18" ht="15.75" customHeight="1" x14ac:dyDescent="0.3">
      <c r="A3666" s="11"/>
      <c r="B3666" s="11"/>
      <c r="D3666" s="21"/>
      <c r="E3666" s="22"/>
      <c r="G3666" s="23"/>
      <c r="H3666" s="24"/>
      <c r="Q3666" s="2"/>
      <c r="R3666" s="2"/>
    </row>
    <row r="3667" spans="1:18" ht="15.75" customHeight="1" x14ac:dyDescent="0.3">
      <c r="A3667" s="11"/>
      <c r="B3667" s="11"/>
      <c r="D3667" s="21"/>
      <c r="E3667" s="22"/>
      <c r="G3667" s="23"/>
      <c r="H3667" s="24"/>
      <c r="Q3667" s="2"/>
      <c r="R3667" s="2"/>
    </row>
    <row r="3668" spans="1:18" ht="15.75" customHeight="1" x14ac:dyDescent="0.3">
      <c r="A3668" s="11"/>
      <c r="B3668" s="11"/>
      <c r="D3668" s="21"/>
      <c r="E3668" s="22"/>
      <c r="G3668" s="23"/>
      <c r="H3668" s="24"/>
      <c r="Q3668" s="2"/>
      <c r="R3668" s="2"/>
    </row>
    <row r="3669" spans="1:18" ht="15.75" customHeight="1" x14ac:dyDescent="0.3">
      <c r="A3669" s="11"/>
      <c r="B3669" s="11"/>
      <c r="D3669" s="21"/>
      <c r="E3669" s="22"/>
      <c r="G3669" s="23"/>
      <c r="H3669" s="24"/>
      <c r="Q3669" s="2"/>
      <c r="R3669" s="2"/>
    </row>
    <row r="3670" spans="1:18" ht="15.75" customHeight="1" x14ac:dyDescent="0.3">
      <c r="A3670" s="11"/>
      <c r="B3670" s="11"/>
      <c r="D3670" s="21"/>
      <c r="E3670" s="22"/>
      <c r="G3670" s="23"/>
      <c r="H3670" s="24"/>
      <c r="Q3670" s="2"/>
      <c r="R3670" s="2"/>
    </row>
    <row r="3671" spans="1:18" ht="15.75" customHeight="1" x14ac:dyDescent="0.3">
      <c r="A3671" s="11"/>
      <c r="B3671" s="11"/>
      <c r="D3671" s="21"/>
      <c r="E3671" s="22"/>
      <c r="G3671" s="23"/>
      <c r="H3671" s="24"/>
      <c r="Q3671" s="2"/>
      <c r="R3671" s="2"/>
    </row>
    <row r="3672" spans="1:18" ht="15.75" customHeight="1" x14ac:dyDescent="0.3">
      <c r="A3672" s="11"/>
      <c r="B3672" s="11"/>
      <c r="D3672" s="21"/>
      <c r="E3672" s="22"/>
      <c r="G3672" s="23"/>
      <c r="H3672" s="24"/>
      <c r="Q3672" s="2"/>
      <c r="R3672" s="2"/>
    </row>
    <row r="3673" spans="1:18" ht="15.75" customHeight="1" x14ac:dyDescent="0.3">
      <c r="A3673" s="11"/>
      <c r="B3673" s="11"/>
      <c r="D3673" s="21"/>
      <c r="E3673" s="22"/>
      <c r="G3673" s="23"/>
      <c r="H3673" s="24"/>
      <c r="Q3673" s="2"/>
      <c r="R3673" s="2"/>
    </row>
    <row r="3674" spans="1:18" ht="15.75" customHeight="1" x14ac:dyDescent="0.3">
      <c r="A3674" s="11"/>
      <c r="B3674" s="11"/>
      <c r="D3674" s="21"/>
      <c r="E3674" s="22"/>
      <c r="G3674" s="23"/>
      <c r="H3674" s="24"/>
      <c r="Q3674" s="2"/>
      <c r="R3674" s="2"/>
    </row>
    <row r="3675" spans="1:18" ht="15.75" customHeight="1" x14ac:dyDescent="0.3">
      <c r="A3675" s="11"/>
      <c r="B3675" s="11"/>
      <c r="D3675" s="21"/>
      <c r="E3675" s="22"/>
      <c r="G3675" s="23"/>
      <c r="H3675" s="24"/>
      <c r="Q3675" s="2"/>
      <c r="R3675" s="2"/>
    </row>
    <row r="3676" spans="1:18" ht="15.75" customHeight="1" x14ac:dyDescent="0.3">
      <c r="A3676" s="11"/>
      <c r="B3676" s="11"/>
      <c r="D3676" s="21"/>
      <c r="E3676" s="22"/>
      <c r="G3676" s="23"/>
      <c r="H3676" s="24"/>
      <c r="Q3676" s="2"/>
      <c r="R3676" s="2"/>
    </row>
    <row r="3677" spans="1:18" ht="15.75" customHeight="1" x14ac:dyDescent="0.3">
      <c r="A3677" s="11"/>
      <c r="B3677" s="11"/>
      <c r="D3677" s="21"/>
      <c r="E3677" s="22"/>
      <c r="G3677" s="23"/>
      <c r="H3677" s="24"/>
      <c r="Q3677" s="2"/>
      <c r="R3677" s="2"/>
    </row>
    <row r="3678" spans="1:18" ht="15.75" customHeight="1" x14ac:dyDescent="0.3">
      <c r="A3678" s="11"/>
      <c r="B3678" s="11"/>
      <c r="D3678" s="21"/>
      <c r="E3678" s="22"/>
      <c r="G3678" s="23"/>
      <c r="H3678" s="24"/>
      <c r="Q3678" s="2"/>
      <c r="R3678" s="2"/>
    </row>
    <row r="3679" spans="1:18" ht="15.75" customHeight="1" x14ac:dyDescent="0.3">
      <c r="A3679" s="11"/>
      <c r="B3679" s="11"/>
      <c r="D3679" s="21"/>
      <c r="E3679" s="22"/>
      <c r="G3679" s="23"/>
      <c r="H3679" s="24"/>
      <c r="Q3679" s="2"/>
      <c r="R3679" s="2"/>
    </row>
    <row r="3680" spans="1:18" ht="15.75" customHeight="1" x14ac:dyDescent="0.3">
      <c r="A3680" s="11"/>
      <c r="B3680" s="11"/>
      <c r="D3680" s="21"/>
      <c r="E3680" s="22"/>
      <c r="G3680" s="23"/>
      <c r="H3680" s="24"/>
      <c r="Q3680" s="2"/>
      <c r="R3680" s="2"/>
    </row>
    <row r="3681" spans="1:18" ht="15.75" customHeight="1" x14ac:dyDescent="0.3">
      <c r="A3681" s="11"/>
      <c r="B3681" s="11"/>
      <c r="D3681" s="21"/>
      <c r="E3681" s="22"/>
      <c r="G3681" s="23"/>
      <c r="H3681" s="24"/>
      <c r="Q3681" s="2"/>
      <c r="R3681" s="2"/>
    </row>
    <row r="3682" spans="1:18" ht="15.75" customHeight="1" x14ac:dyDescent="0.3">
      <c r="A3682" s="11"/>
      <c r="B3682" s="11"/>
      <c r="D3682" s="21"/>
      <c r="E3682" s="22"/>
      <c r="G3682" s="23"/>
      <c r="H3682" s="24"/>
      <c r="Q3682" s="2"/>
      <c r="R3682" s="2"/>
    </row>
    <row r="3683" spans="1:18" ht="15.75" customHeight="1" x14ac:dyDescent="0.3">
      <c r="A3683" s="11"/>
      <c r="B3683" s="11"/>
      <c r="D3683" s="21"/>
      <c r="E3683" s="22"/>
      <c r="G3683" s="23"/>
      <c r="H3683" s="24"/>
      <c r="Q3683" s="2"/>
      <c r="R3683" s="2"/>
    </row>
    <row r="3684" spans="1:18" ht="15.75" customHeight="1" x14ac:dyDescent="0.3">
      <c r="A3684" s="11"/>
      <c r="B3684" s="11"/>
      <c r="D3684" s="21"/>
      <c r="E3684" s="22"/>
      <c r="G3684" s="23"/>
      <c r="H3684" s="24"/>
      <c r="Q3684" s="2"/>
      <c r="R3684" s="2"/>
    </row>
    <row r="3685" spans="1:18" ht="15.75" customHeight="1" x14ac:dyDescent="0.3">
      <c r="A3685" s="11"/>
      <c r="B3685" s="11"/>
      <c r="D3685" s="21"/>
      <c r="E3685" s="22"/>
      <c r="G3685" s="23"/>
      <c r="H3685" s="24"/>
      <c r="Q3685" s="2"/>
      <c r="R3685" s="2"/>
    </row>
    <row r="3686" spans="1:18" ht="15.75" customHeight="1" x14ac:dyDescent="0.3">
      <c r="A3686" s="11"/>
      <c r="B3686" s="11"/>
      <c r="D3686" s="21"/>
      <c r="E3686" s="22"/>
      <c r="G3686" s="23"/>
      <c r="H3686" s="24"/>
      <c r="Q3686" s="2"/>
      <c r="R3686" s="2"/>
    </row>
    <row r="3687" spans="1:18" ht="15.75" customHeight="1" x14ac:dyDescent="0.3">
      <c r="A3687" s="11"/>
      <c r="B3687" s="11"/>
      <c r="D3687" s="21"/>
      <c r="E3687" s="22"/>
      <c r="G3687" s="23"/>
      <c r="H3687" s="24"/>
      <c r="Q3687" s="2"/>
      <c r="R3687" s="2"/>
    </row>
    <row r="3688" spans="1:18" ht="15.75" customHeight="1" x14ac:dyDescent="0.3">
      <c r="A3688" s="11"/>
      <c r="B3688" s="11"/>
      <c r="D3688" s="21"/>
      <c r="E3688" s="22"/>
      <c r="G3688" s="23"/>
      <c r="H3688" s="24"/>
      <c r="Q3688" s="2"/>
      <c r="R3688" s="2"/>
    </row>
    <row r="3689" spans="1:18" ht="15.75" customHeight="1" x14ac:dyDescent="0.3">
      <c r="A3689" s="11"/>
      <c r="B3689" s="11"/>
      <c r="D3689" s="21"/>
      <c r="E3689" s="22"/>
      <c r="G3689" s="23"/>
      <c r="H3689" s="24"/>
      <c r="Q3689" s="2"/>
      <c r="R3689" s="2"/>
    </row>
    <row r="3690" spans="1:18" ht="15.75" customHeight="1" x14ac:dyDescent="0.3">
      <c r="A3690" s="11"/>
      <c r="B3690" s="11"/>
      <c r="D3690" s="21"/>
      <c r="E3690" s="22"/>
      <c r="G3690" s="23"/>
      <c r="H3690" s="24"/>
      <c r="Q3690" s="2"/>
      <c r="R3690" s="2"/>
    </row>
    <row r="3691" spans="1:18" ht="15.75" customHeight="1" x14ac:dyDescent="0.3">
      <c r="A3691" s="11"/>
      <c r="B3691" s="11"/>
      <c r="D3691" s="21"/>
      <c r="E3691" s="22"/>
      <c r="G3691" s="23"/>
      <c r="H3691" s="24"/>
      <c r="Q3691" s="2"/>
      <c r="R3691" s="2"/>
    </row>
    <row r="3692" spans="1:18" ht="15.75" customHeight="1" x14ac:dyDescent="0.3">
      <c r="A3692" s="11"/>
      <c r="B3692" s="11"/>
      <c r="D3692" s="21"/>
      <c r="E3692" s="22"/>
      <c r="G3692" s="23"/>
      <c r="H3692" s="24"/>
      <c r="Q3692" s="2"/>
      <c r="R3692" s="2"/>
    </row>
    <row r="3693" spans="1:18" ht="15.75" customHeight="1" x14ac:dyDescent="0.3">
      <c r="A3693" s="11"/>
      <c r="B3693" s="11"/>
      <c r="D3693" s="21"/>
      <c r="E3693" s="22"/>
      <c r="G3693" s="23"/>
      <c r="H3693" s="24"/>
      <c r="Q3693" s="2"/>
      <c r="R3693" s="2"/>
    </row>
    <row r="3694" spans="1:18" ht="15.75" customHeight="1" x14ac:dyDescent="0.3">
      <c r="A3694" s="11"/>
      <c r="B3694" s="11"/>
      <c r="D3694" s="21"/>
      <c r="E3694" s="22"/>
      <c r="G3694" s="23"/>
      <c r="H3694" s="24"/>
      <c r="Q3694" s="2"/>
      <c r="R3694" s="2"/>
    </row>
    <row r="3695" spans="1:18" ht="15.75" customHeight="1" x14ac:dyDescent="0.3">
      <c r="A3695" s="11"/>
      <c r="B3695" s="11"/>
      <c r="D3695" s="21"/>
      <c r="E3695" s="22"/>
      <c r="G3695" s="23"/>
      <c r="H3695" s="24"/>
      <c r="Q3695" s="2"/>
      <c r="R3695" s="2"/>
    </row>
    <row r="3696" spans="1:18" ht="15.75" customHeight="1" x14ac:dyDescent="0.3">
      <c r="A3696" s="11"/>
      <c r="B3696" s="11"/>
      <c r="D3696" s="21"/>
      <c r="E3696" s="22"/>
      <c r="G3696" s="23"/>
      <c r="H3696" s="24"/>
      <c r="Q3696" s="2"/>
      <c r="R3696" s="2"/>
    </row>
    <row r="3697" spans="1:18" ht="15.75" customHeight="1" x14ac:dyDescent="0.3">
      <c r="A3697" s="11"/>
      <c r="B3697" s="11"/>
      <c r="D3697" s="21"/>
      <c r="E3697" s="22"/>
      <c r="G3697" s="23"/>
      <c r="H3697" s="24"/>
      <c r="Q3697" s="2"/>
      <c r="R3697" s="2"/>
    </row>
    <row r="3698" spans="1:18" ht="15.75" customHeight="1" x14ac:dyDescent="0.3">
      <c r="A3698" s="11"/>
      <c r="B3698" s="11"/>
      <c r="D3698" s="21"/>
      <c r="E3698" s="22"/>
      <c r="G3698" s="23"/>
      <c r="H3698" s="24"/>
      <c r="Q3698" s="2"/>
      <c r="R3698" s="2"/>
    </row>
    <row r="3699" spans="1:18" ht="15.75" customHeight="1" x14ac:dyDescent="0.3">
      <c r="A3699" s="11"/>
      <c r="B3699" s="11"/>
      <c r="D3699" s="21"/>
      <c r="E3699" s="22"/>
      <c r="G3699" s="23"/>
      <c r="H3699" s="24"/>
      <c r="Q3699" s="2"/>
      <c r="R3699" s="2"/>
    </row>
    <row r="3700" spans="1:18" ht="15.75" customHeight="1" x14ac:dyDescent="0.3">
      <c r="A3700" s="11"/>
      <c r="B3700" s="11"/>
      <c r="D3700" s="21"/>
      <c r="E3700" s="22"/>
      <c r="G3700" s="23"/>
      <c r="H3700" s="24"/>
      <c r="Q3700" s="2"/>
      <c r="R3700" s="2"/>
    </row>
    <row r="3701" spans="1:18" ht="15.75" customHeight="1" x14ac:dyDescent="0.3">
      <c r="A3701" s="11"/>
      <c r="B3701" s="11"/>
      <c r="D3701" s="21"/>
      <c r="E3701" s="22"/>
      <c r="G3701" s="23"/>
      <c r="H3701" s="24"/>
      <c r="Q3701" s="2"/>
      <c r="R3701" s="2"/>
    </row>
    <row r="3702" spans="1:18" ht="15.75" customHeight="1" x14ac:dyDescent="0.3">
      <c r="A3702" s="11"/>
      <c r="B3702" s="11"/>
      <c r="D3702" s="21"/>
      <c r="E3702" s="22"/>
      <c r="G3702" s="23"/>
      <c r="H3702" s="24"/>
      <c r="Q3702" s="2"/>
      <c r="R3702" s="2"/>
    </row>
    <row r="3703" spans="1:18" ht="15.75" customHeight="1" x14ac:dyDescent="0.3">
      <c r="A3703" s="11"/>
      <c r="B3703" s="11"/>
      <c r="D3703" s="21"/>
      <c r="E3703" s="22"/>
      <c r="G3703" s="23"/>
      <c r="H3703" s="24"/>
      <c r="Q3703" s="2"/>
      <c r="R3703" s="2"/>
    </row>
    <row r="3704" spans="1:18" ht="15.75" customHeight="1" x14ac:dyDescent="0.3">
      <c r="A3704" s="11"/>
      <c r="B3704" s="11"/>
      <c r="D3704" s="21"/>
      <c r="E3704" s="22"/>
      <c r="G3704" s="23"/>
      <c r="H3704" s="24"/>
      <c r="Q3704" s="2"/>
      <c r="R3704" s="2"/>
    </row>
    <row r="3705" spans="1:18" ht="15.75" customHeight="1" x14ac:dyDescent="0.3">
      <c r="A3705" s="11"/>
      <c r="B3705" s="11"/>
      <c r="D3705" s="21"/>
      <c r="E3705" s="22"/>
      <c r="G3705" s="23"/>
      <c r="H3705" s="24"/>
      <c r="Q3705" s="2"/>
      <c r="R3705" s="2"/>
    </row>
    <row r="3706" spans="1:18" ht="15.75" customHeight="1" x14ac:dyDescent="0.3">
      <c r="A3706" s="11"/>
      <c r="B3706" s="11"/>
      <c r="D3706" s="21"/>
      <c r="E3706" s="22"/>
      <c r="G3706" s="23"/>
      <c r="H3706" s="24"/>
      <c r="Q3706" s="2"/>
      <c r="R3706" s="2"/>
    </row>
    <row r="3707" spans="1:18" ht="15.75" customHeight="1" x14ac:dyDescent="0.3">
      <c r="A3707" s="11"/>
      <c r="B3707" s="11"/>
      <c r="D3707" s="21"/>
      <c r="E3707" s="22"/>
      <c r="G3707" s="23"/>
      <c r="H3707" s="24"/>
      <c r="Q3707" s="2"/>
      <c r="R3707" s="2"/>
    </row>
    <row r="3708" spans="1:18" ht="15.75" customHeight="1" x14ac:dyDescent="0.3">
      <c r="A3708" s="11"/>
      <c r="B3708" s="11"/>
      <c r="D3708" s="21"/>
      <c r="E3708" s="22"/>
      <c r="G3708" s="23"/>
      <c r="H3708" s="24"/>
      <c r="Q3708" s="2"/>
      <c r="R3708" s="2"/>
    </row>
    <row r="3709" spans="1:18" ht="15.75" customHeight="1" x14ac:dyDescent="0.3">
      <c r="A3709" s="11"/>
      <c r="B3709" s="11"/>
      <c r="D3709" s="21"/>
      <c r="E3709" s="22"/>
      <c r="G3709" s="23"/>
      <c r="H3709" s="24"/>
      <c r="Q3709" s="2"/>
      <c r="R3709" s="2"/>
    </row>
    <row r="3710" spans="1:18" ht="15.75" customHeight="1" x14ac:dyDescent="0.3">
      <c r="A3710" s="11"/>
      <c r="B3710" s="11"/>
      <c r="D3710" s="21"/>
      <c r="E3710" s="22"/>
      <c r="G3710" s="23"/>
      <c r="H3710" s="24"/>
      <c r="Q3710" s="2"/>
      <c r="R3710" s="2"/>
    </row>
    <row r="3711" spans="1:18" ht="15.75" customHeight="1" x14ac:dyDescent="0.3">
      <c r="A3711" s="11"/>
      <c r="B3711" s="11"/>
      <c r="D3711" s="21"/>
      <c r="E3711" s="22"/>
      <c r="G3711" s="23"/>
      <c r="H3711" s="24"/>
      <c r="Q3711" s="2"/>
      <c r="R3711" s="2"/>
    </row>
    <row r="3712" spans="1:18" ht="15.75" customHeight="1" x14ac:dyDescent="0.3">
      <c r="A3712" s="11"/>
      <c r="B3712" s="11"/>
      <c r="D3712" s="21"/>
      <c r="E3712" s="22"/>
      <c r="G3712" s="23"/>
      <c r="H3712" s="24"/>
      <c r="Q3712" s="2"/>
      <c r="R3712" s="2"/>
    </row>
    <row r="3713" spans="1:18" ht="15.75" customHeight="1" x14ac:dyDescent="0.3">
      <c r="A3713" s="11"/>
      <c r="B3713" s="11"/>
      <c r="D3713" s="21"/>
      <c r="E3713" s="22"/>
      <c r="G3713" s="23"/>
      <c r="H3713" s="24"/>
      <c r="Q3713" s="2"/>
      <c r="R3713" s="2"/>
    </row>
    <row r="3714" spans="1:18" ht="15.75" customHeight="1" x14ac:dyDescent="0.3">
      <c r="A3714" s="11"/>
      <c r="B3714" s="11"/>
      <c r="D3714" s="21"/>
      <c r="E3714" s="22"/>
      <c r="G3714" s="23"/>
      <c r="H3714" s="24"/>
      <c r="Q3714" s="2"/>
      <c r="R3714" s="2"/>
    </row>
    <row r="3715" spans="1:18" ht="15.75" customHeight="1" x14ac:dyDescent="0.3">
      <c r="A3715" s="11"/>
      <c r="B3715" s="11"/>
      <c r="D3715" s="21"/>
      <c r="E3715" s="22"/>
      <c r="G3715" s="23"/>
      <c r="H3715" s="24"/>
      <c r="Q3715" s="2"/>
      <c r="R3715" s="2"/>
    </row>
    <row r="3716" spans="1:18" ht="15.75" customHeight="1" x14ac:dyDescent="0.3">
      <c r="A3716" s="11"/>
      <c r="B3716" s="11"/>
      <c r="D3716" s="21"/>
      <c r="E3716" s="22"/>
      <c r="G3716" s="23"/>
      <c r="H3716" s="24"/>
      <c r="Q3716" s="2"/>
      <c r="R3716" s="2"/>
    </row>
    <row r="3717" spans="1:18" ht="15.75" customHeight="1" x14ac:dyDescent="0.3">
      <c r="A3717" s="11"/>
      <c r="B3717" s="11"/>
      <c r="D3717" s="21"/>
      <c r="E3717" s="22"/>
      <c r="G3717" s="23"/>
      <c r="H3717" s="24"/>
      <c r="Q3717" s="2"/>
      <c r="R3717" s="2"/>
    </row>
    <row r="3718" spans="1:18" ht="15.75" customHeight="1" x14ac:dyDescent="0.3">
      <c r="A3718" s="11"/>
      <c r="B3718" s="11"/>
      <c r="D3718" s="21"/>
      <c r="E3718" s="22"/>
      <c r="G3718" s="23"/>
      <c r="H3718" s="24"/>
      <c r="Q3718" s="2"/>
      <c r="R3718" s="2"/>
    </row>
    <row r="3719" spans="1:18" ht="15.75" customHeight="1" x14ac:dyDescent="0.3">
      <c r="A3719" s="11"/>
      <c r="B3719" s="11"/>
      <c r="D3719" s="21"/>
      <c r="E3719" s="22"/>
      <c r="G3719" s="23"/>
      <c r="H3719" s="24"/>
      <c r="Q3719" s="2"/>
      <c r="R3719" s="2"/>
    </row>
    <row r="3720" spans="1:18" ht="15.75" customHeight="1" x14ac:dyDescent="0.3">
      <c r="A3720" s="11"/>
      <c r="B3720" s="11"/>
      <c r="D3720" s="21"/>
      <c r="E3720" s="22"/>
      <c r="G3720" s="23"/>
      <c r="H3720" s="24"/>
      <c r="Q3720" s="2"/>
      <c r="R3720" s="2"/>
    </row>
    <row r="3721" spans="1:18" ht="15.75" customHeight="1" x14ac:dyDescent="0.3">
      <c r="A3721" s="11"/>
      <c r="B3721" s="11"/>
      <c r="D3721" s="21"/>
      <c r="E3721" s="22"/>
      <c r="G3721" s="23"/>
      <c r="H3721" s="24"/>
      <c r="Q3721" s="2"/>
      <c r="R3721" s="2"/>
    </row>
    <row r="3722" spans="1:18" ht="15.75" customHeight="1" x14ac:dyDescent="0.3">
      <c r="A3722" s="11"/>
      <c r="B3722" s="11"/>
      <c r="D3722" s="21"/>
      <c r="E3722" s="22"/>
      <c r="G3722" s="23"/>
      <c r="H3722" s="24"/>
      <c r="Q3722" s="2"/>
      <c r="R3722" s="2"/>
    </row>
    <row r="3723" spans="1:18" ht="15.75" customHeight="1" x14ac:dyDescent="0.3">
      <c r="A3723" s="11"/>
      <c r="B3723" s="11"/>
      <c r="D3723" s="21"/>
      <c r="E3723" s="22"/>
      <c r="G3723" s="23"/>
      <c r="H3723" s="24"/>
      <c r="Q3723" s="2"/>
      <c r="R3723" s="2"/>
    </row>
    <row r="3724" spans="1:18" ht="15.75" customHeight="1" x14ac:dyDescent="0.3">
      <c r="A3724" s="11"/>
      <c r="B3724" s="11"/>
      <c r="D3724" s="21"/>
      <c r="E3724" s="22"/>
      <c r="G3724" s="23"/>
      <c r="H3724" s="24"/>
      <c r="Q3724" s="2"/>
      <c r="R3724" s="2"/>
    </row>
    <row r="3725" spans="1:18" ht="15.75" customHeight="1" x14ac:dyDescent="0.3">
      <c r="A3725" s="11"/>
      <c r="B3725" s="11"/>
      <c r="D3725" s="21"/>
      <c r="E3725" s="22"/>
      <c r="G3725" s="23"/>
      <c r="H3725" s="24"/>
      <c r="Q3725" s="2"/>
      <c r="R3725" s="2"/>
    </row>
    <row r="3726" spans="1:18" ht="15.75" customHeight="1" x14ac:dyDescent="0.3">
      <c r="A3726" s="11"/>
      <c r="B3726" s="11"/>
      <c r="D3726" s="21"/>
      <c r="E3726" s="22"/>
      <c r="G3726" s="23"/>
      <c r="H3726" s="24"/>
      <c r="Q3726" s="2"/>
      <c r="R3726" s="2"/>
    </row>
    <row r="3727" spans="1:18" ht="15.75" customHeight="1" x14ac:dyDescent="0.3">
      <c r="A3727" s="11"/>
      <c r="B3727" s="11"/>
      <c r="D3727" s="21"/>
      <c r="E3727" s="22"/>
      <c r="G3727" s="23"/>
      <c r="H3727" s="24"/>
      <c r="Q3727" s="2"/>
      <c r="R3727" s="2"/>
    </row>
    <row r="3728" spans="1:18" ht="15.75" customHeight="1" x14ac:dyDescent="0.3">
      <c r="A3728" s="11"/>
      <c r="B3728" s="11"/>
      <c r="D3728" s="21"/>
      <c r="E3728" s="22"/>
      <c r="G3728" s="23"/>
      <c r="H3728" s="24"/>
      <c r="Q3728" s="2"/>
      <c r="R3728" s="2"/>
    </row>
    <row r="3729" spans="1:18" ht="15.75" customHeight="1" x14ac:dyDescent="0.3">
      <c r="A3729" s="11"/>
      <c r="B3729" s="11"/>
      <c r="D3729" s="21"/>
      <c r="E3729" s="22"/>
      <c r="G3729" s="23"/>
      <c r="H3729" s="24"/>
      <c r="Q3729" s="2"/>
      <c r="R3729" s="2"/>
    </row>
    <row r="3730" spans="1:18" ht="15.75" customHeight="1" x14ac:dyDescent="0.3">
      <c r="A3730" s="11"/>
      <c r="B3730" s="11"/>
      <c r="D3730" s="21"/>
      <c r="E3730" s="22"/>
      <c r="G3730" s="23"/>
      <c r="H3730" s="24"/>
      <c r="Q3730" s="2"/>
      <c r="R3730" s="2"/>
    </row>
    <row r="3731" spans="1:18" ht="15.75" customHeight="1" x14ac:dyDescent="0.3">
      <c r="A3731" s="11"/>
      <c r="B3731" s="11"/>
      <c r="D3731" s="21"/>
      <c r="E3731" s="22"/>
      <c r="G3731" s="23"/>
      <c r="H3731" s="24"/>
      <c r="Q3731" s="2"/>
      <c r="R3731" s="2"/>
    </row>
    <row r="3732" spans="1:18" ht="15.75" customHeight="1" x14ac:dyDescent="0.3">
      <c r="A3732" s="11"/>
      <c r="B3732" s="11"/>
      <c r="D3732" s="21"/>
      <c r="E3732" s="22"/>
      <c r="G3732" s="23"/>
      <c r="H3732" s="24"/>
      <c r="Q3732" s="2"/>
      <c r="R3732" s="2"/>
    </row>
    <row r="3733" spans="1:18" ht="15.75" customHeight="1" x14ac:dyDescent="0.3">
      <c r="A3733" s="11"/>
      <c r="B3733" s="11"/>
      <c r="D3733" s="21"/>
      <c r="E3733" s="22"/>
      <c r="G3733" s="23"/>
      <c r="H3733" s="24"/>
      <c r="Q3733" s="2"/>
      <c r="R3733" s="2"/>
    </row>
    <row r="3734" spans="1:18" ht="15.75" customHeight="1" x14ac:dyDescent="0.3">
      <c r="A3734" s="11"/>
      <c r="B3734" s="11"/>
      <c r="D3734" s="21"/>
      <c r="E3734" s="22"/>
      <c r="G3734" s="23"/>
      <c r="H3734" s="24"/>
      <c r="Q3734" s="2"/>
      <c r="R3734" s="2"/>
    </row>
    <row r="3735" spans="1:18" ht="15.75" customHeight="1" x14ac:dyDescent="0.3">
      <c r="A3735" s="11"/>
      <c r="B3735" s="11"/>
      <c r="D3735" s="21"/>
      <c r="E3735" s="22"/>
      <c r="G3735" s="23"/>
      <c r="H3735" s="24"/>
      <c r="Q3735" s="2"/>
      <c r="R3735" s="2"/>
    </row>
    <row r="3736" spans="1:18" ht="15.75" customHeight="1" x14ac:dyDescent="0.3">
      <c r="A3736" s="11"/>
      <c r="B3736" s="11"/>
      <c r="D3736" s="21"/>
      <c r="E3736" s="22"/>
      <c r="G3736" s="23"/>
      <c r="H3736" s="24"/>
      <c r="Q3736" s="2"/>
      <c r="R3736" s="2"/>
    </row>
    <row r="3737" spans="1:18" ht="15.75" customHeight="1" x14ac:dyDescent="0.3">
      <c r="A3737" s="11"/>
      <c r="B3737" s="11"/>
      <c r="D3737" s="21"/>
      <c r="E3737" s="22"/>
      <c r="G3737" s="23"/>
      <c r="H3737" s="24"/>
      <c r="Q3737" s="2"/>
      <c r="R3737" s="2"/>
    </row>
    <row r="3738" spans="1:18" ht="15.75" customHeight="1" x14ac:dyDescent="0.3">
      <c r="A3738" s="11"/>
      <c r="B3738" s="11"/>
      <c r="D3738" s="21"/>
      <c r="E3738" s="22"/>
      <c r="G3738" s="23"/>
      <c r="H3738" s="24"/>
      <c r="Q3738" s="2"/>
      <c r="R3738" s="2"/>
    </row>
    <row r="3739" spans="1:18" ht="15.75" customHeight="1" x14ac:dyDescent="0.3">
      <c r="A3739" s="11"/>
      <c r="B3739" s="11"/>
      <c r="D3739" s="21"/>
      <c r="E3739" s="22"/>
      <c r="G3739" s="23"/>
      <c r="H3739" s="24"/>
      <c r="Q3739" s="2"/>
      <c r="R3739" s="2"/>
    </row>
    <row r="3740" spans="1:18" ht="15.75" customHeight="1" x14ac:dyDescent="0.3">
      <c r="A3740" s="11"/>
      <c r="B3740" s="11"/>
      <c r="D3740" s="21"/>
      <c r="E3740" s="22"/>
      <c r="G3740" s="23"/>
      <c r="H3740" s="24"/>
      <c r="Q3740" s="2"/>
      <c r="R3740" s="2"/>
    </row>
    <row r="3741" spans="1:18" ht="15.75" customHeight="1" x14ac:dyDescent="0.3">
      <c r="A3741" s="11"/>
      <c r="B3741" s="11"/>
      <c r="D3741" s="21"/>
      <c r="E3741" s="22"/>
      <c r="G3741" s="23"/>
      <c r="H3741" s="24"/>
      <c r="Q3741" s="2"/>
      <c r="R3741" s="2"/>
    </row>
    <row r="3742" spans="1:18" ht="15.75" customHeight="1" x14ac:dyDescent="0.3">
      <c r="A3742" s="11"/>
      <c r="B3742" s="11"/>
      <c r="D3742" s="21"/>
      <c r="E3742" s="22"/>
      <c r="G3742" s="23"/>
      <c r="H3742" s="24"/>
      <c r="Q3742" s="2"/>
      <c r="R3742" s="2"/>
    </row>
    <row r="3743" spans="1:18" ht="15.75" customHeight="1" x14ac:dyDescent="0.3">
      <c r="A3743" s="11"/>
      <c r="B3743" s="11"/>
      <c r="D3743" s="21"/>
      <c r="E3743" s="22"/>
      <c r="G3743" s="23"/>
      <c r="H3743" s="24"/>
      <c r="Q3743" s="2"/>
      <c r="R3743" s="2"/>
    </row>
    <row r="3744" spans="1:18" ht="15.75" customHeight="1" x14ac:dyDescent="0.3">
      <c r="A3744" s="11"/>
      <c r="B3744" s="11"/>
      <c r="D3744" s="21"/>
      <c r="E3744" s="22"/>
      <c r="G3744" s="23"/>
      <c r="H3744" s="24"/>
      <c r="Q3744" s="2"/>
      <c r="R3744" s="2"/>
    </row>
    <row r="3745" spans="1:18" ht="15.75" customHeight="1" x14ac:dyDescent="0.3">
      <c r="A3745" s="11"/>
      <c r="B3745" s="11"/>
      <c r="D3745" s="21"/>
      <c r="E3745" s="22"/>
      <c r="G3745" s="23"/>
      <c r="H3745" s="24"/>
      <c r="Q3745" s="2"/>
      <c r="R3745" s="2"/>
    </row>
    <row r="3746" spans="1:18" ht="15.75" customHeight="1" x14ac:dyDescent="0.3">
      <c r="A3746" s="11"/>
      <c r="B3746" s="11"/>
      <c r="D3746" s="21"/>
      <c r="E3746" s="22"/>
      <c r="G3746" s="23"/>
      <c r="H3746" s="24"/>
      <c r="Q3746" s="2"/>
      <c r="R3746" s="2"/>
    </row>
    <row r="3747" spans="1:18" ht="15.75" customHeight="1" x14ac:dyDescent="0.3">
      <c r="A3747" s="11"/>
      <c r="B3747" s="11"/>
      <c r="D3747" s="21"/>
      <c r="E3747" s="22"/>
      <c r="G3747" s="23"/>
      <c r="H3747" s="24"/>
      <c r="Q3747" s="2"/>
      <c r="R3747" s="2"/>
    </row>
    <row r="3748" spans="1:18" ht="15.75" customHeight="1" x14ac:dyDescent="0.3">
      <c r="A3748" s="11"/>
      <c r="B3748" s="11"/>
      <c r="D3748" s="21"/>
      <c r="E3748" s="22"/>
      <c r="G3748" s="23"/>
      <c r="H3748" s="24"/>
      <c r="Q3748" s="2"/>
      <c r="R3748" s="2"/>
    </row>
    <row r="3749" spans="1:18" ht="15.75" customHeight="1" x14ac:dyDescent="0.3">
      <c r="A3749" s="11"/>
      <c r="B3749" s="11"/>
      <c r="D3749" s="21"/>
      <c r="E3749" s="22"/>
      <c r="G3749" s="23"/>
      <c r="H3749" s="24"/>
      <c r="Q3749" s="2"/>
      <c r="R3749" s="2"/>
    </row>
    <row r="3750" spans="1:18" ht="15.75" customHeight="1" x14ac:dyDescent="0.3">
      <c r="A3750" s="11"/>
      <c r="B3750" s="11"/>
      <c r="D3750" s="21"/>
      <c r="E3750" s="22"/>
      <c r="G3750" s="23"/>
      <c r="H3750" s="24"/>
      <c r="Q3750" s="2"/>
      <c r="R3750" s="2"/>
    </row>
    <row r="3751" spans="1:18" ht="15.75" customHeight="1" x14ac:dyDescent="0.3">
      <c r="A3751" s="11"/>
      <c r="B3751" s="11"/>
      <c r="D3751" s="21"/>
      <c r="E3751" s="22"/>
      <c r="G3751" s="23"/>
      <c r="H3751" s="24"/>
      <c r="Q3751" s="2"/>
      <c r="R3751" s="2"/>
    </row>
    <row r="3752" spans="1:18" ht="15.75" customHeight="1" x14ac:dyDescent="0.3">
      <c r="A3752" s="11"/>
      <c r="B3752" s="11"/>
      <c r="D3752" s="21"/>
      <c r="E3752" s="22"/>
      <c r="G3752" s="23"/>
      <c r="H3752" s="24"/>
      <c r="Q3752" s="2"/>
      <c r="R3752" s="2"/>
    </row>
    <row r="3753" spans="1:18" ht="15.75" customHeight="1" x14ac:dyDescent="0.3">
      <c r="A3753" s="11"/>
      <c r="B3753" s="11"/>
      <c r="D3753" s="21"/>
      <c r="E3753" s="22"/>
      <c r="G3753" s="23"/>
      <c r="H3753" s="24"/>
      <c r="Q3753" s="2"/>
      <c r="R3753" s="2"/>
    </row>
    <row r="3754" spans="1:18" ht="15.75" customHeight="1" x14ac:dyDescent="0.3">
      <c r="A3754" s="11"/>
      <c r="B3754" s="11"/>
      <c r="D3754" s="21"/>
      <c r="E3754" s="22"/>
      <c r="G3754" s="23"/>
      <c r="H3754" s="24"/>
      <c r="Q3754" s="2"/>
      <c r="R3754" s="2"/>
    </row>
    <row r="3755" spans="1:18" ht="15.75" customHeight="1" x14ac:dyDescent="0.3">
      <c r="A3755" s="11"/>
      <c r="B3755" s="11"/>
      <c r="D3755" s="21"/>
      <c r="E3755" s="22"/>
      <c r="G3755" s="23"/>
      <c r="H3755" s="24"/>
      <c r="Q3755" s="2"/>
      <c r="R3755" s="2"/>
    </row>
    <row r="3756" spans="1:18" ht="15.75" customHeight="1" x14ac:dyDescent="0.3">
      <c r="A3756" s="11"/>
      <c r="B3756" s="11"/>
      <c r="D3756" s="21"/>
      <c r="E3756" s="22"/>
      <c r="G3756" s="23"/>
      <c r="H3756" s="24"/>
      <c r="Q3756" s="2"/>
      <c r="R3756" s="2"/>
    </row>
    <row r="3757" spans="1:18" ht="15.75" customHeight="1" x14ac:dyDescent="0.3">
      <c r="A3757" s="11"/>
      <c r="B3757" s="11"/>
      <c r="D3757" s="21"/>
      <c r="E3757" s="22"/>
      <c r="G3757" s="23"/>
      <c r="H3757" s="24"/>
      <c r="Q3757" s="2"/>
      <c r="R3757" s="2"/>
    </row>
    <row r="3758" spans="1:18" ht="15.75" customHeight="1" x14ac:dyDescent="0.3">
      <c r="A3758" s="11"/>
      <c r="B3758" s="11"/>
      <c r="D3758" s="21"/>
      <c r="E3758" s="22"/>
      <c r="G3758" s="23"/>
      <c r="H3758" s="24"/>
      <c r="Q3758" s="2"/>
      <c r="R3758" s="2"/>
    </row>
    <row r="3759" spans="1:18" ht="15.75" customHeight="1" x14ac:dyDescent="0.3">
      <c r="A3759" s="11"/>
      <c r="B3759" s="11"/>
      <c r="D3759" s="21"/>
      <c r="E3759" s="22"/>
      <c r="G3759" s="23"/>
      <c r="H3759" s="24"/>
      <c r="Q3759" s="2"/>
      <c r="R3759" s="2"/>
    </row>
    <row r="3760" spans="1:18" ht="15.75" customHeight="1" x14ac:dyDescent="0.3">
      <c r="A3760" s="11"/>
      <c r="B3760" s="11"/>
      <c r="D3760" s="21"/>
      <c r="E3760" s="22"/>
      <c r="G3760" s="23"/>
      <c r="H3760" s="24"/>
      <c r="Q3760" s="2"/>
      <c r="R3760" s="2"/>
    </row>
    <row r="3761" spans="1:18" ht="15.75" customHeight="1" x14ac:dyDescent="0.3">
      <c r="A3761" s="11"/>
      <c r="B3761" s="11"/>
      <c r="D3761" s="21"/>
      <c r="E3761" s="22"/>
      <c r="G3761" s="23"/>
      <c r="H3761" s="24"/>
      <c r="Q3761" s="2"/>
      <c r="R3761" s="2"/>
    </row>
    <row r="3762" spans="1:18" ht="15.75" customHeight="1" x14ac:dyDescent="0.3">
      <c r="A3762" s="11"/>
      <c r="B3762" s="11"/>
      <c r="D3762" s="21"/>
      <c r="E3762" s="22"/>
      <c r="G3762" s="23"/>
      <c r="H3762" s="24"/>
      <c r="Q3762" s="2"/>
      <c r="R3762" s="2"/>
    </row>
    <row r="3763" spans="1:18" ht="15.75" customHeight="1" x14ac:dyDescent="0.3">
      <c r="A3763" s="11"/>
      <c r="B3763" s="11"/>
      <c r="D3763" s="21"/>
      <c r="E3763" s="22"/>
      <c r="G3763" s="23"/>
      <c r="H3763" s="24"/>
      <c r="Q3763" s="2"/>
      <c r="R3763" s="2"/>
    </row>
    <row r="3764" spans="1:18" ht="15.75" customHeight="1" x14ac:dyDescent="0.3">
      <c r="A3764" s="11"/>
      <c r="B3764" s="11"/>
      <c r="D3764" s="21"/>
      <c r="E3764" s="22"/>
      <c r="G3764" s="23"/>
      <c r="H3764" s="24"/>
      <c r="Q3764" s="2"/>
      <c r="R3764" s="2"/>
    </row>
    <row r="3765" spans="1:18" ht="15.75" customHeight="1" x14ac:dyDescent="0.3">
      <c r="A3765" s="11"/>
      <c r="B3765" s="11"/>
      <c r="D3765" s="21"/>
      <c r="E3765" s="22"/>
      <c r="G3765" s="23"/>
      <c r="H3765" s="24"/>
      <c r="Q3765" s="2"/>
      <c r="R3765" s="2"/>
    </row>
    <row r="3766" spans="1:18" ht="15.75" customHeight="1" x14ac:dyDescent="0.3">
      <c r="A3766" s="11"/>
      <c r="B3766" s="11"/>
      <c r="D3766" s="21"/>
      <c r="E3766" s="22"/>
      <c r="G3766" s="23"/>
      <c r="H3766" s="24"/>
      <c r="Q3766" s="2"/>
      <c r="R3766" s="2"/>
    </row>
    <row r="3767" spans="1:18" ht="15.75" customHeight="1" x14ac:dyDescent="0.3">
      <c r="A3767" s="11"/>
      <c r="B3767" s="11"/>
      <c r="D3767" s="21"/>
      <c r="E3767" s="22"/>
      <c r="G3767" s="23"/>
      <c r="H3767" s="24"/>
      <c r="Q3767" s="2"/>
      <c r="R3767" s="2"/>
    </row>
    <row r="3768" spans="1:18" ht="15.75" customHeight="1" x14ac:dyDescent="0.3">
      <c r="A3768" s="11"/>
      <c r="B3768" s="11"/>
      <c r="D3768" s="21"/>
      <c r="E3768" s="22"/>
      <c r="G3768" s="23"/>
      <c r="H3768" s="24"/>
      <c r="Q3768" s="2"/>
      <c r="R3768" s="2"/>
    </row>
    <row r="3769" spans="1:18" ht="15.75" customHeight="1" x14ac:dyDescent="0.3">
      <c r="A3769" s="11"/>
      <c r="B3769" s="11"/>
      <c r="D3769" s="21"/>
      <c r="E3769" s="22"/>
      <c r="G3769" s="23"/>
      <c r="H3769" s="24"/>
      <c r="Q3769" s="2"/>
      <c r="R3769" s="2"/>
    </row>
    <row r="3770" spans="1:18" ht="15.75" customHeight="1" x14ac:dyDescent="0.3">
      <c r="A3770" s="11"/>
      <c r="B3770" s="11"/>
      <c r="D3770" s="21"/>
      <c r="E3770" s="22"/>
      <c r="G3770" s="23"/>
      <c r="H3770" s="24"/>
      <c r="Q3770" s="2"/>
      <c r="R3770" s="2"/>
    </row>
    <row r="3771" spans="1:18" ht="15.75" customHeight="1" x14ac:dyDescent="0.3">
      <c r="A3771" s="11"/>
      <c r="B3771" s="11"/>
      <c r="D3771" s="21"/>
      <c r="E3771" s="22"/>
      <c r="G3771" s="23"/>
      <c r="H3771" s="24"/>
      <c r="Q3771" s="2"/>
      <c r="R3771" s="2"/>
    </row>
    <row r="3772" spans="1:18" ht="15.75" customHeight="1" x14ac:dyDescent="0.3">
      <c r="A3772" s="11"/>
      <c r="B3772" s="11"/>
      <c r="D3772" s="21"/>
      <c r="E3772" s="22"/>
      <c r="G3772" s="23"/>
      <c r="H3772" s="24"/>
      <c r="Q3772" s="2"/>
      <c r="R3772" s="2"/>
    </row>
    <row r="3773" spans="1:18" ht="15.75" customHeight="1" x14ac:dyDescent="0.3">
      <c r="A3773" s="11"/>
      <c r="B3773" s="11"/>
      <c r="D3773" s="21"/>
      <c r="E3773" s="22"/>
      <c r="G3773" s="23"/>
      <c r="H3773" s="24"/>
      <c r="Q3773" s="2"/>
      <c r="R3773" s="2"/>
    </row>
    <row r="3774" spans="1:18" ht="15.75" customHeight="1" x14ac:dyDescent="0.3">
      <c r="A3774" s="11"/>
      <c r="B3774" s="11"/>
      <c r="D3774" s="21"/>
      <c r="E3774" s="22"/>
      <c r="G3774" s="23"/>
      <c r="H3774" s="24"/>
      <c r="Q3774" s="2"/>
      <c r="R3774" s="2"/>
    </row>
    <row r="3775" spans="1:18" ht="15.75" customHeight="1" x14ac:dyDescent="0.3">
      <c r="A3775" s="11"/>
      <c r="B3775" s="11"/>
      <c r="D3775" s="21"/>
      <c r="E3775" s="22"/>
      <c r="G3775" s="23"/>
      <c r="H3775" s="24"/>
      <c r="Q3775" s="2"/>
      <c r="R3775" s="2"/>
    </row>
    <row r="3776" spans="1:18" ht="15.75" customHeight="1" x14ac:dyDescent="0.3">
      <c r="A3776" s="11"/>
      <c r="B3776" s="11"/>
      <c r="D3776" s="21"/>
      <c r="E3776" s="22"/>
      <c r="G3776" s="23"/>
      <c r="H3776" s="24"/>
      <c r="Q3776" s="2"/>
      <c r="R3776" s="2"/>
    </row>
    <row r="3777" spans="1:18" ht="15.75" customHeight="1" x14ac:dyDescent="0.3">
      <c r="A3777" s="11"/>
      <c r="B3777" s="11"/>
      <c r="D3777" s="21"/>
      <c r="E3777" s="22"/>
      <c r="G3777" s="23"/>
      <c r="H3777" s="24"/>
      <c r="Q3777" s="2"/>
      <c r="R3777" s="2"/>
    </row>
    <row r="3778" spans="1:18" ht="15.75" customHeight="1" x14ac:dyDescent="0.3">
      <c r="A3778" s="11"/>
      <c r="B3778" s="11"/>
      <c r="D3778" s="21"/>
      <c r="E3778" s="22"/>
      <c r="G3778" s="23"/>
      <c r="H3778" s="24"/>
      <c r="Q3778" s="2"/>
      <c r="R3778" s="2"/>
    </row>
    <row r="3779" spans="1:18" ht="15.75" customHeight="1" x14ac:dyDescent="0.3">
      <c r="A3779" s="11"/>
      <c r="B3779" s="11"/>
      <c r="D3779" s="21"/>
      <c r="E3779" s="22"/>
      <c r="G3779" s="23"/>
      <c r="H3779" s="24"/>
      <c r="Q3779" s="2"/>
      <c r="R3779" s="2"/>
    </row>
    <row r="3780" spans="1:18" ht="15.75" customHeight="1" x14ac:dyDescent="0.3">
      <c r="A3780" s="11"/>
      <c r="B3780" s="11"/>
      <c r="D3780" s="21"/>
      <c r="E3780" s="22"/>
      <c r="G3780" s="23"/>
      <c r="H3780" s="24"/>
      <c r="Q3780" s="2"/>
      <c r="R3780" s="2"/>
    </row>
    <row r="3781" spans="1:18" ht="15.75" customHeight="1" x14ac:dyDescent="0.3">
      <c r="A3781" s="11"/>
      <c r="B3781" s="11"/>
      <c r="D3781" s="21"/>
      <c r="E3781" s="22"/>
      <c r="G3781" s="23"/>
      <c r="H3781" s="24"/>
      <c r="Q3781" s="2"/>
      <c r="R3781" s="2"/>
    </row>
    <row r="3782" spans="1:18" ht="15.75" customHeight="1" x14ac:dyDescent="0.3">
      <c r="A3782" s="11"/>
      <c r="B3782" s="11"/>
      <c r="D3782" s="21"/>
      <c r="E3782" s="22"/>
      <c r="G3782" s="23"/>
      <c r="H3782" s="24"/>
      <c r="Q3782" s="2"/>
      <c r="R3782" s="2"/>
    </row>
    <row r="3783" spans="1:18" ht="15.75" customHeight="1" x14ac:dyDescent="0.3">
      <c r="A3783" s="11"/>
      <c r="B3783" s="11"/>
      <c r="D3783" s="21"/>
      <c r="E3783" s="22"/>
      <c r="G3783" s="23"/>
      <c r="H3783" s="24"/>
      <c r="Q3783" s="2"/>
      <c r="R3783" s="2"/>
    </row>
    <row r="3784" spans="1:18" ht="15.75" customHeight="1" x14ac:dyDescent="0.3">
      <c r="A3784" s="11"/>
      <c r="B3784" s="11"/>
      <c r="D3784" s="21"/>
      <c r="E3784" s="22"/>
      <c r="G3784" s="23"/>
      <c r="H3784" s="24"/>
      <c r="Q3784" s="2"/>
      <c r="R3784" s="2"/>
    </row>
    <row r="3785" spans="1:18" ht="15.75" customHeight="1" x14ac:dyDescent="0.3">
      <c r="A3785" s="11"/>
      <c r="B3785" s="11"/>
      <c r="D3785" s="21"/>
      <c r="E3785" s="22"/>
      <c r="G3785" s="23"/>
      <c r="H3785" s="24"/>
      <c r="Q3785" s="2"/>
      <c r="R3785" s="2"/>
    </row>
    <row r="3786" spans="1:18" ht="15.75" customHeight="1" x14ac:dyDescent="0.3">
      <c r="A3786" s="11"/>
      <c r="B3786" s="11"/>
      <c r="D3786" s="21"/>
      <c r="E3786" s="22"/>
      <c r="G3786" s="23"/>
      <c r="H3786" s="24"/>
      <c r="Q3786" s="2"/>
      <c r="R3786" s="2"/>
    </row>
    <row r="3787" spans="1:18" ht="15.75" customHeight="1" x14ac:dyDescent="0.3">
      <c r="A3787" s="11"/>
      <c r="B3787" s="11"/>
      <c r="D3787" s="21"/>
      <c r="E3787" s="22"/>
      <c r="G3787" s="23"/>
      <c r="H3787" s="24"/>
      <c r="Q3787" s="2"/>
      <c r="R3787" s="2"/>
    </row>
    <row r="3788" spans="1:18" ht="15.75" customHeight="1" x14ac:dyDescent="0.3">
      <c r="A3788" s="11"/>
      <c r="B3788" s="11"/>
      <c r="D3788" s="21"/>
      <c r="E3788" s="22"/>
      <c r="G3788" s="23"/>
      <c r="H3788" s="24"/>
      <c r="Q3788" s="2"/>
      <c r="R3788" s="2"/>
    </row>
    <row r="3789" spans="1:18" ht="15.75" customHeight="1" x14ac:dyDescent="0.3">
      <c r="A3789" s="11"/>
      <c r="B3789" s="11"/>
      <c r="D3789" s="21"/>
      <c r="E3789" s="22"/>
      <c r="G3789" s="23"/>
      <c r="H3789" s="24"/>
      <c r="Q3789" s="2"/>
      <c r="R3789" s="2"/>
    </row>
    <row r="3790" spans="1:18" ht="15.75" customHeight="1" x14ac:dyDescent="0.3">
      <c r="A3790" s="11"/>
      <c r="B3790" s="11"/>
      <c r="D3790" s="21"/>
      <c r="E3790" s="22"/>
      <c r="G3790" s="23"/>
      <c r="H3790" s="24"/>
      <c r="Q3790" s="2"/>
      <c r="R3790" s="2"/>
    </row>
    <row r="3791" spans="1:18" ht="15.75" customHeight="1" x14ac:dyDescent="0.3">
      <c r="A3791" s="11"/>
      <c r="B3791" s="11"/>
      <c r="D3791" s="21"/>
      <c r="E3791" s="22"/>
      <c r="G3791" s="23"/>
      <c r="H3791" s="24"/>
      <c r="Q3791" s="2"/>
      <c r="R3791" s="2"/>
    </row>
    <row r="3792" spans="1:18" ht="15.75" customHeight="1" x14ac:dyDescent="0.3">
      <c r="A3792" s="11"/>
      <c r="B3792" s="11"/>
      <c r="D3792" s="21"/>
      <c r="E3792" s="22"/>
      <c r="G3792" s="23"/>
      <c r="H3792" s="24"/>
      <c r="Q3792" s="2"/>
      <c r="R3792" s="2"/>
    </row>
    <row r="3793" spans="1:18" ht="15.75" customHeight="1" x14ac:dyDescent="0.3">
      <c r="A3793" s="11"/>
      <c r="B3793" s="11"/>
      <c r="D3793" s="21"/>
      <c r="E3793" s="22"/>
      <c r="G3793" s="23"/>
      <c r="H3793" s="24"/>
      <c r="Q3793" s="2"/>
      <c r="R3793" s="2"/>
    </row>
    <row r="3794" spans="1:18" ht="15.75" customHeight="1" x14ac:dyDescent="0.3">
      <c r="A3794" s="11"/>
      <c r="B3794" s="11"/>
      <c r="D3794" s="21"/>
      <c r="E3794" s="22"/>
      <c r="G3794" s="23"/>
      <c r="H3794" s="24"/>
      <c r="Q3794" s="2"/>
      <c r="R3794" s="2"/>
    </row>
    <row r="3795" spans="1:18" ht="15.75" customHeight="1" x14ac:dyDescent="0.3">
      <c r="A3795" s="11"/>
      <c r="B3795" s="11"/>
      <c r="D3795" s="21"/>
      <c r="E3795" s="22"/>
      <c r="G3795" s="23"/>
      <c r="H3795" s="24"/>
      <c r="Q3795" s="2"/>
      <c r="R3795" s="2"/>
    </row>
    <row r="3796" spans="1:18" ht="15.75" customHeight="1" x14ac:dyDescent="0.3">
      <c r="A3796" s="11"/>
      <c r="B3796" s="11"/>
      <c r="D3796" s="21"/>
      <c r="E3796" s="22"/>
      <c r="G3796" s="23"/>
      <c r="H3796" s="24"/>
      <c r="Q3796" s="2"/>
      <c r="R3796" s="2"/>
    </row>
    <row r="3797" spans="1:18" ht="15.75" customHeight="1" x14ac:dyDescent="0.3">
      <c r="A3797" s="11"/>
      <c r="B3797" s="11"/>
      <c r="D3797" s="21"/>
      <c r="E3797" s="22"/>
      <c r="G3797" s="23"/>
      <c r="H3797" s="24"/>
      <c r="Q3797" s="2"/>
      <c r="R3797" s="2"/>
    </row>
    <row r="3798" spans="1:18" ht="15.75" customHeight="1" x14ac:dyDescent="0.3">
      <c r="A3798" s="11"/>
      <c r="B3798" s="11"/>
      <c r="D3798" s="21"/>
      <c r="E3798" s="22"/>
      <c r="G3798" s="23"/>
      <c r="H3798" s="24"/>
      <c r="Q3798" s="2"/>
      <c r="R3798" s="2"/>
    </row>
    <row r="3799" spans="1:18" ht="15.75" customHeight="1" x14ac:dyDescent="0.3">
      <c r="A3799" s="11"/>
      <c r="B3799" s="11"/>
      <c r="D3799" s="21"/>
      <c r="E3799" s="22"/>
      <c r="G3799" s="23"/>
      <c r="H3799" s="24"/>
      <c r="Q3799" s="2"/>
      <c r="R3799" s="2"/>
    </row>
    <row r="3800" spans="1:18" ht="15.75" customHeight="1" x14ac:dyDescent="0.3">
      <c r="A3800" s="11"/>
      <c r="B3800" s="11"/>
      <c r="D3800" s="21"/>
      <c r="E3800" s="22"/>
      <c r="G3800" s="23"/>
      <c r="H3800" s="24"/>
      <c r="Q3800" s="2"/>
      <c r="R3800" s="2"/>
    </row>
    <row r="3801" spans="1:18" ht="15.75" customHeight="1" x14ac:dyDescent="0.3">
      <c r="A3801" s="11"/>
      <c r="B3801" s="11"/>
      <c r="D3801" s="21"/>
      <c r="E3801" s="22"/>
      <c r="G3801" s="23"/>
      <c r="H3801" s="24"/>
      <c r="Q3801" s="2"/>
      <c r="R3801" s="2"/>
    </row>
    <row r="3802" spans="1:18" ht="15.75" customHeight="1" x14ac:dyDescent="0.3">
      <c r="A3802" s="11"/>
      <c r="B3802" s="11"/>
      <c r="D3802" s="21"/>
      <c r="E3802" s="22"/>
      <c r="G3802" s="23"/>
      <c r="H3802" s="24"/>
      <c r="Q3802" s="2"/>
      <c r="R3802" s="2"/>
    </row>
    <row r="3803" spans="1:18" ht="15.75" customHeight="1" x14ac:dyDescent="0.3">
      <c r="A3803" s="11"/>
      <c r="B3803" s="11"/>
      <c r="D3803" s="21"/>
      <c r="E3803" s="22"/>
      <c r="G3803" s="23"/>
      <c r="H3803" s="24"/>
      <c r="Q3803" s="2"/>
      <c r="R3803" s="2"/>
    </row>
    <row r="3804" spans="1:18" ht="15.75" customHeight="1" x14ac:dyDescent="0.3">
      <c r="A3804" s="11"/>
      <c r="B3804" s="11"/>
      <c r="D3804" s="21"/>
      <c r="E3804" s="22"/>
      <c r="G3804" s="23"/>
      <c r="H3804" s="24"/>
      <c r="Q3804" s="2"/>
      <c r="R3804" s="2"/>
    </row>
    <row r="3805" spans="1:18" ht="15.75" customHeight="1" x14ac:dyDescent="0.3">
      <c r="A3805" s="11"/>
      <c r="B3805" s="11"/>
      <c r="D3805" s="21"/>
      <c r="E3805" s="22"/>
      <c r="G3805" s="23"/>
      <c r="H3805" s="24"/>
      <c r="Q3805" s="2"/>
      <c r="R3805" s="2"/>
    </row>
    <row r="3806" spans="1:18" ht="15.75" customHeight="1" x14ac:dyDescent="0.3">
      <c r="A3806" s="11"/>
      <c r="B3806" s="11"/>
      <c r="D3806" s="21"/>
      <c r="E3806" s="22"/>
      <c r="G3806" s="23"/>
      <c r="H3806" s="24"/>
      <c r="Q3806" s="2"/>
      <c r="R3806" s="2"/>
    </row>
    <row r="3807" spans="1:18" ht="15.75" customHeight="1" x14ac:dyDescent="0.3">
      <c r="A3807" s="11"/>
      <c r="B3807" s="11"/>
      <c r="D3807" s="21"/>
      <c r="E3807" s="22"/>
      <c r="G3807" s="23"/>
      <c r="H3807" s="24"/>
      <c r="Q3807" s="2"/>
      <c r="R3807" s="2"/>
    </row>
    <row r="3808" spans="1:18" ht="15.75" customHeight="1" x14ac:dyDescent="0.3">
      <c r="A3808" s="11"/>
      <c r="B3808" s="11"/>
      <c r="D3808" s="21"/>
      <c r="E3808" s="22"/>
      <c r="G3808" s="23"/>
      <c r="H3808" s="24"/>
      <c r="Q3808" s="2"/>
      <c r="R3808" s="2"/>
    </row>
    <row r="3809" spans="1:18" ht="15.75" customHeight="1" x14ac:dyDescent="0.3">
      <c r="A3809" s="11"/>
      <c r="B3809" s="11"/>
      <c r="D3809" s="21"/>
      <c r="E3809" s="22"/>
      <c r="G3809" s="23"/>
      <c r="H3809" s="24"/>
      <c r="Q3809" s="2"/>
      <c r="R3809" s="2"/>
    </row>
    <row r="3810" spans="1:18" ht="15.75" customHeight="1" x14ac:dyDescent="0.3">
      <c r="A3810" s="11"/>
      <c r="B3810" s="11"/>
      <c r="D3810" s="21"/>
      <c r="E3810" s="22"/>
      <c r="G3810" s="23"/>
      <c r="H3810" s="24"/>
      <c r="Q3810" s="2"/>
      <c r="R3810" s="2"/>
    </row>
    <row r="3811" spans="1:18" ht="15.75" customHeight="1" x14ac:dyDescent="0.3">
      <c r="A3811" s="11"/>
      <c r="B3811" s="11"/>
      <c r="D3811" s="21"/>
      <c r="E3811" s="22"/>
      <c r="G3811" s="23"/>
      <c r="H3811" s="24"/>
      <c r="Q3811" s="2"/>
      <c r="R3811" s="2"/>
    </row>
    <row r="3812" spans="1:18" ht="15.75" customHeight="1" x14ac:dyDescent="0.3">
      <c r="A3812" s="11"/>
      <c r="B3812" s="11"/>
      <c r="D3812" s="21"/>
      <c r="E3812" s="22"/>
      <c r="G3812" s="23"/>
      <c r="H3812" s="24"/>
      <c r="Q3812" s="2"/>
      <c r="R3812" s="2"/>
    </row>
    <row r="3813" spans="1:18" ht="15.75" customHeight="1" x14ac:dyDescent="0.3">
      <c r="A3813" s="11"/>
      <c r="B3813" s="11"/>
      <c r="D3813" s="21"/>
      <c r="E3813" s="22"/>
      <c r="G3813" s="23"/>
      <c r="H3813" s="24"/>
      <c r="Q3813" s="2"/>
      <c r="R3813" s="2"/>
    </row>
    <row r="3814" spans="1:18" ht="15.75" customHeight="1" x14ac:dyDescent="0.3">
      <c r="A3814" s="11"/>
      <c r="B3814" s="11"/>
      <c r="D3814" s="21"/>
      <c r="E3814" s="22"/>
      <c r="G3814" s="23"/>
      <c r="H3814" s="24"/>
      <c r="Q3814" s="2"/>
      <c r="R3814" s="2"/>
    </row>
    <row r="3815" spans="1:18" ht="15.75" customHeight="1" x14ac:dyDescent="0.3">
      <c r="A3815" s="11"/>
      <c r="B3815" s="11"/>
      <c r="D3815" s="21"/>
      <c r="E3815" s="22"/>
      <c r="G3815" s="23"/>
      <c r="H3815" s="24"/>
      <c r="Q3815" s="2"/>
      <c r="R3815" s="2"/>
    </row>
    <row r="3816" spans="1:18" ht="15.75" customHeight="1" x14ac:dyDescent="0.3">
      <c r="A3816" s="11"/>
      <c r="B3816" s="11"/>
      <c r="D3816" s="21"/>
      <c r="E3816" s="22"/>
      <c r="G3816" s="23"/>
      <c r="H3816" s="24"/>
      <c r="Q3816" s="2"/>
      <c r="R3816" s="2"/>
    </row>
    <row r="3817" spans="1:18" ht="15.75" customHeight="1" x14ac:dyDescent="0.3">
      <c r="A3817" s="11"/>
      <c r="B3817" s="11"/>
      <c r="D3817" s="21"/>
      <c r="E3817" s="22"/>
      <c r="G3817" s="23"/>
      <c r="H3817" s="24"/>
      <c r="Q3817" s="2"/>
      <c r="R3817" s="2"/>
    </row>
    <row r="3818" spans="1:18" ht="15.75" customHeight="1" x14ac:dyDescent="0.3">
      <c r="A3818" s="11"/>
      <c r="B3818" s="11"/>
      <c r="D3818" s="21"/>
      <c r="E3818" s="22"/>
      <c r="G3818" s="23"/>
      <c r="H3818" s="24"/>
      <c r="Q3818" s="2"/>
      <c r="R3818" s="2"/>
    </row>
    <row r="3819" spans="1:18" ht="15.75" customHeight="1" x14ac:dyDescent="0.3">
      <c r="A3819" s="11"/>
      <c r="B3819" s="11"/>
      <c r="D3819" s="21"/>
      <c r="E3819" s="22"/>
      <c r="G3819" s="23"/>
      <c r="H3819" s="24"/>
      <c r="Q3819" s="2"/>
      <c r="R3819" s="2"/>
    </row>
    <row r="3820" spans="1:18" ht="15.75" customHeight="1" x14ac:dyDescent="0.3">
      <c r="A3820" s="11"/>
      <c r="B3820" s="11"/>
      <c r="D3820" s="21"/>
      <c r="E3820" s="22"/>
      <c r="G3820" s="23"/>
      <c r="H3820" s="24"/>
      <c r="Q3820" s="2"/>
      <c r="R3820" s="2"/>
    </row>
    <row r="3821" spans="1:18" ht="15.75" customHeight="1" x14ac:dyDescent="0.3">
      <c r="A3821" s="11"/>
      <c r="B3821" s="11"/>
      <c r="D3821" s="21"/>
      <c r="E3821" s="22"/>
      <c r="G3821" s="23"/>
      <c r="H3821" s="24"/>
      <c r="Q3821" s="2"/>
      <c r="R3821" s="2"/>
    </row>
    <row r="3822" spans="1:18" ht="15.75" customHeight="1" x14ac:dyDescent="0.3">
      <c r="A3822" s="11"/>
      <c r="B3822" s="11"/>
      <c r="D3822" s="21"/>
      <c r="E3822" s="22"/>
      <c r="G3822" s="23"/>
      <c r="H3822" s="24"/>
      <c r="Q3822" s="2"/>
      <c r="R3822" s="2"/>
    </row>
    <row r="3823" spans="1:18" ht="15.75" customHeight="1" x14ac:dyDescent="0.3">
      <c r="A3823" s="11"/>
      <c r="B3823" s="11"/>
      <c r="D3823" s="21"/>
      <c r="E3823" s="22"/>
      <c r="G3823" s="23"/>
      <c r="H3823" s="24"/>
      <c r="Q3823" s="2"/>
      <c r="R3823" s="2"/>
    </row>
    <row r="3824" spans="1:18" ht="15.75" customHeight="1" x14ac:dyDescent="0.3">
      <c r="A3824" s="11"/>
      <c r="B3824" s="11"/>
      <c r="D3824" s="21"/>
      <c r="E3824" s="22"/>
      <c r="G3824" s="23"/>
      <c r="H3824" s="24"/>
      <c r="Q3824" s="2"/>
      <c r="R3824" s="2"/>
    </row>
    <row r="3825" spans="1:18" ht="15.75" customHeight="1" x14ac:dyDescent="0.3">
      <c r="A3825" s="11"/>
      <c r="B3825" s="11"/>
      <c r="D3825" s="21"/>
      <c r="E3825" s="22"/>
      <c r="G3825" s="23"/>
      <c r="H3825" s="24"/>
      <c r="Q3825" s="2"/>
      <c r="R3825" s="2"/>
    </row>
    <row r="3826" spans="1:18" ht="15.75" customHeight="1" x14ac:dyDescent="0.3">
      <c r="A3826" s="11"/>
      <c r="B3826" s="11"/>
      <c r="D3826" s="21"/>
      <c r="E3826" s="22"/>
      <c r="G3826" s="23"/>
      <c r="H3826" s="24"/>
      <c r="Q3826" s="2"/>
      <c r="R3826" s="2"/>
    </row>
    <row r="3827" spans="1:18" ht="15.75" customHeight="1" x14ac:dyDescent="0.3">
      <c r="A3827" s="11"/>
      <c r="B3827" s="11"/>
      <c r="D3827" s="21"/>
      <c r="E3827" s="22"/>
      <c r="G3827" s="23"/>
      <c r="H3827" s="24"/>
      <c r="Q3827" s="2"/>
      <c r="R3827" s="2"/>
    </row>
    <row r="3828" spans="1:18" ht="15.75" customHeight="1" x14ac:dyDescent="0.3">
      <c r="A3828" s="11"/>
      <c r="B3828" s="11"/>
      <c r="D3828" s="21"/>
      <c r="E3828" s="22"/>
      <c r="G3828" s="23"/>
      <c r="H3828" s="24"/>
      <c r="Q3828" s="2"/>
      <c r="R3828" s="2"/>
    </row>
    <row r="3829" spans="1:18" ht="15.75" customHeight="1" x14ac:dyDescent="0.3">
      <c r="A3829" s="11"/>
      <c r="B3829" s="11"/>
      <c r="D3829" s="21"/>
      <c r="E3829" s="22"/>
      <c r="G3829" s="23"/>
      <c r="H3829" s="24"/>
      <c r="Q3829" s="2"/>
      <c r="R3829" s="2"/>
    </row>
    <row r="3830" spans="1:18" ht="15.75" customHeight="1" x14ac:dyDescent="0.3">
      <c r="A3830" s="11"/>
      <c r="B3830" s="11"/>
      <c r="D3830" s="21"/>
      <c r="E3830" s="22"/>
      <c r="G3830" s="23"/>
      <c r="H3830" s="24"/>
      <c r="Q3830" s="2"/>
      <c r="R3830" s="2"/>
    </row>
    <row r="3831" spans="1:18" ht="15.75" customHeight="1" x14ac:dyDescent="0.3">
      <c r="A3831" s="11"/>
      <c r="B3831" s="11"/>
      <c r="D3831" s="21"/>
      <c r="E3831" s="22"/>
      <c r="G3831" s="23"/>
      <c r="H3831" s="24"/>
      <c r="Q3831" s="2"/>
      <c r="R3831" s="2"/>
    </row>
    <row r="3832" spans="1:18" ht="15.75" customHeight="1" x14ac:dyDescent="0.3">
      <c r="A3832" s="11"/>
      <c r="B3832" s="11"/>
      <c r="D3832" s="21"/>
      <c r="E3832" s="22"/>
      <c r="G3832" s="23"/>
      <c r="H3832" s="24"/>
      <c r="Q3832" s="2"/>
      <c r="R3832" s="2"/>
    </row>
    <row r="3833" spans="1:18" ht="15.75" customHeight="1" x14ac:dyDescent="0.3">
      <c r="A3833" s="11"/>
      <c r="B3833" s="11"/>
      <c r="D3833" s="21"/>
      <c r="E3833" s="22"/>
      <c r="G3833" s="23"/>
      <c r="H3833" s="24"/>
      <c r="Q3833" s="2"/>
      <c r="R3833" s="2"/>
    </row>
    <row r="3834" spans="1:18" ht="15.75" customHeight="1" x14ac:dyDescent="0.3">
      <c r="A3834" s="11"/>
      <c r="B3834" s="11"/>
      <c r="D3834" s="21"/>
      <c r="E3834" s="22"/>
      <c r="G3834" s="23"/>
      <c r="H3834" s="24"/>
      <c r="Q3834" s="2"/>
      <c r="R3834" s="2"/>
    </row>
    <row r="3835" spans="1:18" ht="15.75" customHeight="1" x14ac:dyDescent="0.3">
      <c r="A3835" s="11"/>
      <c r="B3835" s="11"/>
      <c r="D3835" s="21"/>
      <c r="E3835" s="22"/>
      <c r="G3835" s="23"/>
      <c r="H3835" s="24"/>
      <c r="Q3835" s="2"/>
      <c r="R3835" s="2"/>
    </row>
    <row r="3836" spans="1:18" ht="15.75" customHeight="1" x14ac:dyDescent="0.3">
      <c r="A3836" s="11"/>
      <c r="B3836" s="11"/>
      <c r="D3836" s="21"/>
      <c r="E3836" s="22"/>
      <c r="G3836" s="23"/>
      <c r="H3836" s="24"/>
      <c r="Q3836" s="2"/>
      <c r="R3836" s="2"/>
    </row>
    <row r="3837" spans="1:18" ht="15.75" customHeight="1" x14ac:dyDescent="0.3">
      <c r="A3837" s="11"/>
      <c r="B3837" s="11"/>
      <c r="D3837" s="21"/>
      <c r="E3837" s="22"/>
      <c r="G3837" s="23"/>
      <c r="H3837" s="24"/>
      <c r="Q3837" s="2"/>
      <c r="R3837" s="2"/>
    </row>
    <row r="3838" spans="1:18" ht="15.75" customHeight="1" x14ac:dyDescent="0.3">
      <c r="A3838" s="11"/>
      <c r="B3838" s="11"/>
      <c r="D3838" s="21"/>
      <c r="E3838" s="22"/>
      <c r="G3838" s="23"/>
      <c r="H3838" s="24"/>
      <c r="Q3838" s="2"/>
      <c r="R3838" s="2"/>
    </row>
    <row r="3839" spans="1:18" ht="15.75" customHeight="1" x14ac:dyDescent="0.3">
      <c r="A3839" s="11"/>
      <c r="B3839" s="11"/>
      <c r="D3839" s="21"/>
      <c r="E3839" s="22"/>
      <c r="G3839" s="23"/>
      <c r="H3839" s="24"/>
      <c r="Q3839" s="2"/>
      <c r="R3839" s="2"/>
    </row>
    <row r="3840" spans="1:18" ht="15.75" customHeight="1" x14ac:dyDescent="0.3">
      <c r="A3840" s="11"/>
      <c r="B3840" s="11"/>
      <c r="D3840" s="21"/>
      <c r="E3840" s="22"/>
      <c r="G3840" s="23"/>
      <c r="H3840" s="24"/>
      <c r="Q3840" s="2"/>
      <c r="R3840" s="2"/>
    </row>
    <row r="3841" spans="1:18" ht="15.75" customHeight="1" x14ac:dyDescent="0.3">
      <c r="A3841" s="11"/>
      <c r="B3841" s="11"/>
      <c r="D3841" s="21"/>
      <c r="E3841" s="22"/>
      <c r="G3841" s="23"/>
      <c r="H3841" s="24"/>
      <c r="Q3841" s="2"/>
      <c r="R3841" s="2"/>
    </row>
    <row r="3842" spans="1:18" ht="15.75" customHeight="1" x14ac:dyDescent="0.3">
      <c r="A3842" s="11"/>
      <c r="B3842" s="11"/>
      <c r="D3842" s="21"/>
      <c r="E3842" s="22"/>
      <c r="G3842" s="23"/>
      <c r="H3842" s="24"/>
      <c r="Q3842" s="2"/>
      <c r="R3842" s="2"/>
    </row>
    <row r="3843" spans="1:18" ht="15.75" customHeight="1" x14ac:dyDescent="0.3">
      <c r="A3843" s="11"/>
      <c r="B3843" s="11"/>
      <c r="D3843" s="21"/>
      <c r="E3843" s="22"/>
      <c r="G3843" s="23"/>
      <c r="H3843" s="24"/>
      <c r="Q3843" s="2"/>
      <c r="R3843" s="2"/>
    </row>
    <row r="3844" spans="1:18" ht="15.75" customHeight="1" x14ac:dyDescent="0.3">
      <c r="A3844" s="11"/>
      <c r="B3844" s="11"/>
      <c r="D3844" s="21"/>
      <c r="E3844" s="22"/>
      <c r="G3844" s="23"/>
      <c r="H3844" s="24"/>
      <c r="Q3844" s="2"/>
      <c r="R3844" s="2"/>
    </row>
    <row r="3845" spans="1:18" ht="15.75" customHeight="1" x14ac:dyDescent="0.3">
      <c r="A3845" s="11"/>
      <c r="B3845" s="11"/>
      <c r="D3845" s="21"/>
      <c r="E3845" s="22"/>
      <c r="G3845" s="23"/>
      <c r="H3845" s="24"/>
      <c r="Q3845" s="2"/>
      <c r="R3845" s="2"/>
    </row>
    <row r="3846" spans="1:18" ht="15.75" customHeight="1" x14ac:dyDescent="0.3">
      <c r="A3846" s="11"/>
      <c r="B3846" s="11"/>
      <c r="D3846" s="21"/>
      <c r="E3846" s="22"/>
      <c r="G3846" s="23"/>
      <c r="H3846" s="24"/>
      <c r="Q3846" s="2"/>
      <c r="R3846" s="2"/>
    </row>
    <row r="3847" spans="1:18" ht="15.75" customHeight="1" x14ac:dyDescent="0.3">
      <c r="A3847" s="11"/>
      <c r="B3847" s="11"/>
      <c r="D3847" s="21"/>
      <c r="E3847" s="22"/>
      <c r="G3847" s="23"/>
      <c r="H3847" s="24"/>
      <c r="Q3847" s="2"/>
      <c r="R3847" s="2"/>
    </row>
    <row r="3848" spans="1:18" ht="15.75" customHeight="1" x14ac:dyDescent="0.3">
      <c r="A3848" s="11"/>
      <c r="B3848" s="11"/>
      <c r="D3848" s="21"/>
      <c r="E3848" s="22"/>
      <c r="G3848" s="23"/>
      <c r="H3848" s="24"/>
      <c r="Q3848" s="2"/>
      <c r="R3848" s="2"/>
    </row>
    <row r="3849" spans="1:18" ht="15.75" customHeight="1" x14ac:dyDescent="0.3">
      <c r="A3849" s="11"/>
      <c r="B3849" s="11"/>
      <c r="D3849" s="21"/>
      <c r="E3849" s="22"/>
      <c r="G3849" s="23"/>
      <c r="H3849" s="24"/>
      <c r="Q3849" s="2"/>
      <c r="R3849" s="2"/>
    </row>
    <row r="3850" spans="1:18" ht="15.75" customHeight="1" x14ac:dyDescent="0.3">
      <c r="A3850" s="11"/>
      <c r="B3850" s="11"/>
      <c r="D3850" s="21"/>
      <c r="E3850" s="22"/>
      <c r="G3850" s="23"/>
      <c r="H3850" s="24"/>
      <c r="Q3850" s="2"/>
      <c r="R3850" s="2"/>
    </row>
    <row r="3851" spans="1:18" ht="15.75" customHeight="1" x14ac:dyDescent="0.3">
      <c r="A3851" s="11"/>
      <c r="B3851" s="11"/>
      <c r="D3851" s="21"/>
      <c r="E3851" s="22"/>
      <c r="G3851" s="23"/>
      <c r="H3851" s="24"/>
      <c r="Q3851" s="2"/>
      <c r="R3851" s="2"/>
    </row>
    <row r="3852" spans="1:18" ht="15.75" customHeight="1" x14ac:dyDescent="0.3">
      <c r="A3852" s="11"/>
      <c r="B3852" s="11"/>
      <c r="D3852" s="21"/>
      <c r="E3852" s="22"/>
      <c r="G3852" s="23"/>
      <c r="H3852" s="24"/>
      <c r="Q3852" s="2"/>
      <c r="R3852" s="2"/>
    </row>
    <row r="3853" spans="1:18" ht="15.75" customHeight="1" x14ac:dyDescent="0.3">
      <c r="A3853" s="11"/>
      <c r="B3853" s="11"/>
      <c r="D3853" s="21"/>
      <c r="E3853" s="22"/>
      <c r="G3853" s="23"/>
      <c r="H3853" s="24"/>
      <c r="Q3853" s="2"/>
      <c r="R3853" s="2"/>
    </row>
    <row r="3854" spans="1:18" ht="15.75" customHeight="1" x14ac:dyDescent="0.3">
      <c r="A3854" s="11"/>
      <c r="B3854" s="11"/>
      <c r="D3854" s="21"/>
      <c r="E3854" s="22"/>
      <c r="G3854" s="23"/>
      <c r="H3854" s="24"/>
      <c r="Q3854" s="2"/>
      <c r="R3854" s="2"/>
    </row>
    <row r="3855" spans="1:18" ht="15.75" customHeight="1" x14ac:dyDescent="0.3">
      <c r="A3855" s="11"/>
      <c r="B3855" s="11"/>
      <c r="D3855" s="21"/>
      <c r="E3855" s="22"/>
      <c r="G3855" s="23"/>
      <c r="H3855" s="24"/>
      <c r="Q3855" s="2"/>
      <c r="R3855" s="2"/>
    </row>
    <row r="3856" spans="1:18" ht="15.75" customHeight="1" x14ac:dyDescent="0.3">
      <c r="A3856" s="11"/>
      <c r="B3856" s="11"/>
      <c r="D3856" s="21"/>
      <c r="E3856" s="22"/>
      <c r="G3856" s="23"/>
      <c r="H3856" s="24"/>
      <c r="Q3856" s="2"/>
      <c r="R3856" s="2"/>
    </row>
    <row r="3857" spans="1:18" ht="15.75" customHeight="1" x14ac:dyDescent="0.3">
      <c r="A3857" s="11"/>
      <c r="B3857" s="11"/>
      <c r="D3857" s="21"/>
      <c r="E3857" s="22"/>
      <c r="G3857" s="23"/>
      <c r="H3857" s="24"/>
      <c r="Q3857" s="2"/>
      <c r="R3857" s="2"/>
    </row>
    <row r="3858" spans="1:18" ht="15.75" customHeight="1" x14ac:dyDescent="0.3">
      <c r="A3858" s="11"/>
      <c r="B3858" s="11"/>
      <c r="D3858" s="21"/>
      <c r="E3858" s="22"/>
      <c r="G3858" s="23"/>
      <c r="H3858" s="24"/>
      <c r="Q3858" s="2"/>
      <c r="R3858" s="2"/>
    </row>
    <row r="3859" spans="1:18" ht="15.75" customHeight="1" x14ac:dyDescent="0.3">
      <c r="A3859" s="11"/>
      <c r="B3859" s="11"/>
      <c r="D3859" s="21"/>
      <c r="E3859" s="22"/>
      <c r="G3859" s="23"/>
      <c r="H3859" s="24"/>
      <c r="Q3859" s="2"/>
      <c r="R3859" s="2"/>
    </row>
    <row r="3860" spans="1:18" ht="15.75" customHeight="1" x14ac:dyDescent="0.3">
      <c r="A3860" s="11"/>
      <c r="B3860" s="11"/>
      <c r="D3860" s="21"/>
      <c r="E3860" s="22"/>
      <c r="G3860" s="23"/>
      <c r="H3860" s="24"/>
      <c r="Q3860" s="2"/>
      <c r="R3860" s="2"/>
    </row>
    <row r="3861" spans="1:18" ht="15.75" customHeight="1" x14ac:dyDescent="0.3">
      <c r="A3861" s="11"/>
      <c r="B3861" s="11"/>
      <c r="D3861" s="21"/>
      <c r="E3861" s="22"/>
      <c r="G3861" s="23"/>
      <c r="H3861" s="24"/>
      <c r="Q3861" s="2"/>
      <c r="R3861" s="2"/>
    </row>
    <row r="3862" spans="1:18" ht="15.75" customHeight="1" x14ac:dyDescent="0.3">
      <c r="A3862" s="11"/>
      <c r="B3862" s="11"/>
      <c r="D3862" s="21"/>
      <c r="E3862" s="22"/>
      <c r="G3862" s="23"/>
      <c r="H3862" s="24"/>
      <c r="Q3862" s="2"/>
      <c r="R3862" s="2"/>
    </row>
    <row r="3863" spans="1:18" ht="15.75" customHeight="1" x14ac:dyDescent="0.3">
      <c r="A3863" s="11"/>
      <c r="B3863" s="11"/>
      <c r="D3863" s="21"/>
      <c r="E3863" s="22"/>
      <c r="G3863" s="23"/>
      <c r="H3863" s="24"/>
      <c r="Q3863" s="2"/>
      <c r="R3863" s="2"/>
    </row>
    <row r="3864" spans="1:18" ht="15.75" customHeight="1" x14ac:dyDescent="0.3">
      <c r="A3864" s="11"/>
      <c r="B3864" s="11"/>
      <c r="D3864" s="21"/>
      <c r="E3864" s="22"/>
      <c r="G3864" s="23"/>
      <c r="H3864" s="24"/>
      <c r="Q3864" s="2"/>
      <c r="R3864" s="2"/>
    </row>
    <row r="3865" spans="1:18" ht="15.75" customHeight="1" x14ac:dyDescent="0.3">
      <c r="A3865" s="11"/>
      <c r="B3865" s="11"/>
      <c r="D3865" s="21"/>
      <c r="E3865" s="22"/>
      <c r="G3865" s="23"/>
      <c r="H3865" s="24"/>
      <c r="Q3865" s="2"/>
      <c r="R3865" s="2"/>
    </row>
    <row r="3866" spans="1:18" ht="15.75" customHeight="1" x14ac:dyDescent="0.3">
      <c r="A3866" s="11"/>
      <c r="B3866" s="11"/>
      <c r="D3866" s="21"/>
      <c r="E3866" s="22"/>
      <c r="G3866" s="23"/>
      <c r="H3866" s="24"/>
      <c r="Q3866" s="2"/>
      <c r="R3866" s="2"/>
    </row>
    <row r="3867" spans="1:18" ht="15.75" customHeight="1" x14ac:dyDescent="0.3">
      <c r="A3867" s="11"/>
      <c r="B3867" s="11"/>
      <c r="D3867" s="21"/>
      <c r="E3867" s="22"/>
      <c r="G3867" s="23"/>
      <c r="H3867" s="24"/>
      <c r="Q3867" s="2"/>
      <c r="R3867" s="2"/>
    </row>
    <row r="3868" spans="1:18" ht="15.75" customHeight="1" x14ac:dyDescent="0.3">
      <c r="A3868" s="11"/>
      <c r="B3868" s="11"/>
      <c r="D3868" s="21"/>
      <c r="E3868" s="22"/>
      <c r="G3868" s="23"/>
      <c r="H3868" s="24"/>
      <c r="Q3868" s="2"/>
      <c r="R3868" s="2"/>
    </row>
    <row r="3869" spans="1:18" ht="15.75" customHeight="1" x14ac:dyDescent="0.3">
      <c r="A3869" s="11"/>
      <c r="B3869" s="11"/>
      <c r="D3869" s="21"/>
      <c r="E3869" s="22"/>
      <c r="G3869" s="23"/>
      <c r="H3869" s="24"/>
      <c r="Q3869" s="2"/>
      <c r="R3869" s="2"/>
    </row>
    <row r="3870" spans="1:18" ht="15.75" customHeight="1" x14ac:dyDescent="0.3">
      <c r="A3870" s="11"/>
      <c r="B3870" s="11"/>
      <c r="D3870" s="21"/>
      <c r="E3870" s="22"/>
      <c r="G3870" s="23"/>
      <c r="H3870" s="24"/>
      <c r="Q3870" s="2"/>
      <c r="R3870" s="2"/>
    </row>
    <row r="3871" spans="1:18" ht="15.75" customHeight="1" x14ac:dyDescent="0.3">
      <c r="A3871" s="11"/>
      <c r="B3871" s="11"/>
      <c r="D3871" s="21"/>
      <c r="E3871" s="22"/>
      <c r="G3871" s="23"/>
      <c r="H3871" s="24"/>
      <c r="Q3871" s="2"/>
      <c r="R3871" s="2"/>
    </row>
    <row r="3872" spans="1:18" ht="15.75" customHeight="1" x14ac:dyDescent="0.3">
      <c r="A3872" s="11"/>
      <c r="B3872" s="11"/>
      <c r="D3872" s="21"/>
      <c r="E3872" s="22"/>
      <c r="G3872" s="23"/>
      <c r="H3872" s="24"/>
      <c r="Q3872" s="2"/>
      <c r="R3872" s="2"/>
    </row>
    <row r="3873" spans="1:18" ht="15.75" customHeight="1" x14ac:dyDescent="0.3">
      <c r="A3873" s="11"/>
      <c r="B3873" s="11"/>
      <c r="D3873" s="21"/>
      <c r="E3873" s="22"/>
      <c r="G3873" s="23"/>
      <c r="H3873" s="24"/>
      <c r="Q3873" s="2"/>
      <c r="R3873" s="2"/>
    </row>
    <row r="3874" spans="1:18" ht="15.75" customHeight="1" x14ac:dyDescent="0.3">
      <c r="A3874" s="11"/>
      <c r="B3874" s="11"/>
      <c r="D3874" s="21"/>
      <c r="E3874" s="22"/>
      <c r="G3874" s="23"/>
      <c r="H3874" s="24"/>
      <c r="Q3874" s="2"/>
      <c r="R3874" s="2"/>
    </row>
    <row r="3875" spans="1:18" ht="15.75" customHeight="1" x14ac:dyDescent="0.3">
      <c r="A3875" s="11"/>
      <c r="B3875" s="11"/>
      <c r="D3875" s="21"/>
      <c r="E3875" s="22"/>
      <c r="G3875" s="23"/>
      <c r="H3875" s="24"/>
      <c r="Q3875" s="2"/>
      <c r="R3875" s="2"/>
    </row>
    <row r="3876" spans="1:18" ht="15.75" customHeight="1" x14ac:dyDescent="0.3">
      <c r="A3876" s="11"/>
      <c r="B3876" s="11"/>
      <c r="D3876" s="21"/>
      <c r="E3876" s="22"/>
      <c r="G3876" s="23"/>
      <c r="H3876" s="24"/>
      <c r="Q3876" s="2"/>
      <c r="R3876" s="2"/>
    </row>
    <row r="3877" spans="1:18" ht="15.75" customHeight="1" x14ac:dyDescent="0.3">
      <c r="A3877" s="11"/>
      <c r="B3877" s="11"/>
      <c r="D3877" s="21"/>
      <c r="E3877" s="22"/>
      <c r="G3877" s="23"/>
      <c r="H3877" s="24"/>
      <c r="Q3877" s="2"/>
      <c r="R3877" s="2"/>
    </row>
    <row r="3878" spans="1:18" ht="15.75" customHeight="1" x14ac:dyDescent="0.3">
      <c r="A3878" s="11"/>
      <c r="B3878" s="11"/>
      <c r="D3878" s="21"/>
      <c r="E3878" s="22"/>
      <c r="G3878" s="23"/>
      <c r="H3878" s="24"/>
      <c r="Q3878" s="2"/>
      <c r="R3878" s="2"/>
    </row>
    <row r="3879" spans="1:18" ht="15.75" customHeight="1" x14ac:dyDescent="0.3">
      <c r="A3879" s="11"/>
      <c r="B3879" s="11"/>
      <c r="D3879" s="21"/>
      <c r="E3879" s="22"/>
      <c r="G3879" s="23"/>
      <c r="H3879" s="24"/>
      <c r="Q3879" s="2"/>
      <c r="R3879" s="2"/>
    </row>
    <row r="3880" spans="1:18" ht="15.75" customHeight="1" x14ac:dyDescent="0.3">
      <c r="A3880" s="11"/>
      <c r="B3880" s="11"/>
      <c r="D3880" s="21"/>
      <c r="E3880" s="22"/>
      <c r="G3880" s="23"/>
      <c r="H3880" s="24"/>
      <c r="Q3880" s="2"/>
      <c r="R3880" s="2"/>
    </row>
    <row r="3881" spans="1:18" ht="15.75" customHeight="1" x14ac:dyDescent="0.3">
      <c r="A3881" s="11"/>
      <c r="B3881" s="11"/>
      <c r="D3881" s="21"/>
      <c r="E3881" s="22"/>
      <c r="G3881" s="23"/>
      <c r="H3881" s="24"/>
      <c r="Q3881" s="2"/>
      <c r="R3881" s="2"/>
    </row>
    <row r="3882" spans="1:18" ht="15.75" customHeight="1" x14ac:dyDescent="0.3">
      <c r="A3882" s="11"/>
      <c r="B3882" s="11"/>
      <c r="D3882" s="21"/>
      <c r="E3882" s="22"/>
      <c r="G3882" s="23"/>
      <c r="H3882" s="24"/>
      <c r="Q3882" s="2"/>
      <c r="R3882" s="2"/>
    </row>
    <row r="3883" spans="1:18" ht="15.75" customHeight="1" x14ac:dyDescent="0.3">
      <c r="A3883" s="11"/>
      <c r="B3883" s="11"/>
      <c r="D3883" s="21"/>
      <c r="E3883" s="22"/>
      <c r="G3883" s="23"/>
      <c r="H3883" s="24"/>
      <c r="Q3883" s="2"/>
      <c r="R3883" s="2"/>
    </row>
    <row r="3884" spans="1:18" ht="15.75" customHeight="1" x14ac:dyDescent="0.3">
      <c r="A3884" s="11"/>
      <c r="B3884" s="11"/>
      <c r="D3884" s="21"/>
      <c r="E3884" s="22"/>
      <c r="G3884" s="23"/>
      <c r="H3884" s="24"/>
      <c r="Q3884" s="2"/>
      <c r="R3884" s="2"/>
    </row>
    <row r="3885" spans="1:18" ht="15.75" customHeight="1" x14ac:dyDescent="0.3">
      <c r="A3885" s="11"/>
      <c r="B3885" s="11"/>
      <c r="D3885" s="21"/>
      <c r="E3885" s="22"/>
      <c r="G3885" s="23"/>
      <c r="H3885" s="24"/>
      <c r="Q3885" s="2"/>
      <c r="R3885" s="2"/>
    </row>
    <row r="3886" spans="1:18" ht="15.75" customHeight="1" x14ac:dyDescent="0.3">
      <c r="A3886" s="11"/>
      <c r="B3886" s="11"/>
      <c r="D3886" s="21"/>
      <c r="E3886" s="22"/>
      <c r="G3886" s="23"/>
      <c r="H3886" s="24"/>
      <c r="Q3886" s="2"/>
      <c r="R3886" s="2"/>
    </row>
    <row r="3887" spans="1:18" ht="15.75" customHeight="1" x14ac:dyDescent="0.3">
      <c r="A3887" s="11"/>
      <c r="B3887" s="11"/>
      <c r="D3887" s="21"/>
      <c r="E3887" s="22"/>
      <c r="G3887" s="23"/>
      <c r="H3887" s="24"/>
      <c r="Q3887" s="2"/>
      <c r="R3887" s="2"/>
    </row>
    <row r="3888" spans="1:18" ht="15.75" customHeight="1" x14ac:dyDescent="0.3">
      <c r="A3888" s="11"/>
      <c r="B3888" s="11"/>
      <c r="D3888" s="21"/>
      <c r="E3888" s="22"/>
      <c r="G3888" s="23"/>
      <c r="H3888" s="24"/>
      <c r="Q3888" s="2"/>
      <c r="R3888" s="2"/>
    </row>
    <row r="3889" spans="1:18" ht="15.75" customHeight="1" x14ac:dyDescent="0.3">
      <c r="A3889" s="11"/>
      <c r="B3889" s="11"/>
      <c r="D3889" s="21"/>
      <c r="E3889" s="22"/>
      <c r="G3889" s="23"/>
      <c r="H3889" s="24"/>
      <c r="Q3889" s="2"/>
      <c r="R3889" s="2"/>
    </row>
    <row r="3890" spans="1:18" ht="15.75" customHeight="1" x14ac:dyDescent="0.3">
      <c r="A3890" s="11"/>
      <c r="B3890" s="11"/>
      <c r="D3890" s="21"/>
      <c r="E3890" s="22"/>
      <c r="G3890" s="23"/>
      <c r="H3890" s="24"/>
      <c r="Q3890" s="2"/>
      <c r="R3890" s="2"/>
    </row>
    <row r="3891" spans="1:18" ht="15.75" customHeight="1" x14ac:dyDescent="0.3">
      <c r="A3891" s="11"/>
      <c r="B3891" s="11"/>
      <c r="D3891" s="21"/>
      <c r="E3891" s="22"/>
      <c r="G3891" s="23"/>
      <c r="H3891" s="24"/>
      <c r="Q3891" s="2"/>
      <c r="R3891" s="2"/>
    </row>
    <row r="3892" spans="1:18" ht="15.75" customHeight="1" x14ac:dyDescent="0.3">
      <c r="A3892" s="11"/>
      <c r="B3892" s="11"/>
      <c r="D3892" s="21"/>
      <c r="E3892" s="22"/>
      <c r="G3892" s="23"/>
      <c r="H3892" s="24"/>
      <c r="Q3892" s="2"/>
      <c r="R3892" s="2"/>
    </row>
    <row r="3893" spans="1:18" ht="15.75" customHeight="1" x14ac:dyDescent="0.3">
      <c r="A3893" s="11"/>
      <c r="B3893" s="11"/>
      <c r="D3893" s="21"/>
      <c r="E3893" s="22"/>
      <c r="G3893" s="23"/>
      <c r="H3893" s="24"/>
      <c r="Q3893" s="2"/>
      <c r="R3893" s="2"/>
    </row>
    <row r="3894" spans="1:18" ht="15.75" customHeight="1" x14ac:dyDescent="0.3">
      <c r="A3894" s="11"/>
      <c r="B3894" s="11"/>
      <c r="D3894" s="21"/>
      <c r="E3894" s="22"/>
      <c r="G3894" s="23"/>
      <c r="H3894" s="24"/>
      <c r="Q3894" s="2"/>
      <c r="R3894" s="2"/>
    </row>
    <row r="3895" spans="1:18" ht="15.75" customHeight="1" x14ac:dyDescent="0.3">
      <c r="A3895" s="11"/>
      <c r="B3895" s="11"/>
      <c r="D3895" s="21"/>
      <c r="E3895" s="22"/>
      <c r="G3895" s="23"/>
      <c r="H3895" s="24"/>
      <c r="Q3895" s="2"/>
      <c r="R3895" s="2"/>
    </row>
    <row r="3896" spans="1:18" ht="15.75" customHeight="1" x14ac:dyDescent="0.3">
      <c r="A3896" s="11"/>
      <c r="B3896" s="11"/>
      <c r="D3896" s="21"/>
      <c r="E3896" s="22"/>
      <c r="G3896" s="23"/>
      <c r="H3896" s="24"/>
      <c r="Q3896" s="2"/>
      <c r="R3896" s="2"/>
    </row>
    <row r="3897" spans="1:18" ht="15.75" customHeight="1" x14ac:dyDescent="0.3">
      <c r="A3897" s="11"/>
      <c r="B3897" s="11"/>
      <c r="D3897" s="21"/>
      <c r="E3897" s="22"/>
      <c r="G3897" s="23"/>
      <c r="H3897" s="24"/>
      <c r="Q3897" s="2"/>
      <c r="R3897" s="2"/>
    </row>
    <row r="3898" spans="1:18" ht="15.75" customHeight="1" x14ac:dyDescent="0.3">
      <c r="A3898" s="11"/>
      <c r="B3898" s="11"/>
      <c r="D3898" s="21"/>
      <c r="E3898" s="22"/>
      <c r="G3898" s="23"/>
      <c r="H3898" s="24"/>
      <c r="Q3898" s="2"/>
      <c r="R3898" s="2"/>
    </row>
    <row r="3899" spans="1:18" ht="15.75" customHeight="1" x14ac:dyDescent="0.3">
      <c r="A3899" s="11"/>
      <c r="B3899" s="11"/>
      <c r="D3899" s="21"/>
      <c r="E3899" s="22"/>
      <c r="G3899" s="23"/>
      <c r="H3899" s="24"/>
      <c r="Q3899" s="2"/>
      <c r="R3899" s="2"/>
    </row>
    <row r="3900" spans="1:18" ht="15.75" customHeight="1" x14ac:dyDescent="0.3">
      <c r="A3900" s="11"/>
      <c r="B3900" s="11"/>
      <c r="D3900" s="21"/>
      <c r="E3900" s="22"/>
      <c r="G3900" s="23"/>
      <c r="H3900" s="24"/>
      <c r="Q3900" s="2"/>
      <c r="R3900" s="2"/>
    </row>
    <row r="3901" spans="1:18" ht="15.75" customHeight="1" x14ac:dyDescent="0.3">
      <c r="A3901" s="11"/>
      <c r="B3901" s="11"/>
      <c r="D3901" s="21"/>
      <c r="E3901" s="22"/>
      <c r="G3901" s="23"/>
      <c r="H3901" s="24"/>
      <c r="Q3901" s="2"/>
      <c r="R3901" s="2"/>
    </row>
    <row r="3902" spans="1:18" ht="15.75" customHeight="1" x14ac:dyDescent="0.3">
      <c r="A3902" s="11"/>
      <c r="B3902" s="11"/>
      <c r="D3902" s="21"/>
      <c r="E3902" s="22"/>
      <c r="G3902" s="23"/>
      <c r="H3902" s="24"/>
      <c r="Q3902" s="2"/>
      <c r="R3902" s="2"/>
    </row>
    <row r="3903" spans="1:18" ht="15.75" customHeight="1" x14ac:dyDescent="0.3">
      <c r="A3903" s="11"/>
      <c r="B3903" s="11"/>
      <c r="D3903" s="21"/>
      <c r="E3903" s="22"/>
      <c r="G3903" s="23"/>
      <c r="H3903" s="24"/>
      <c r="Q3903" s="2"/>
      <c r="R3903" s="2"/>
    </row>
    <row r="3904" spans="1:18" ht="15.75" customHeight="1" x14ac:dyDescent="0.3">
      <c r="A3904" s="11"/>
      <c r="B3904" s="11"/>
      <c r="D3904" s="21"/>
      <c r="E3904" s="22"/>
      <c r="G3904" s="23"/>
      <c r="H3904" s="24"/>
      <c r="Q3904" s="2"/>
      <c r="R3904" s="2"/>
    </row>
    <row r="3905" spans="1:18" ht="15.75" customHeight="1" x14ac:dyDescent="0.3">
      <c r="A3905" s="11"/>
      <c r="B3905" s="11"/>
      <c r="D3905" s="21"/>
      <c r="E3905" s="22"/>
      <c r="G3905" s="23"/>
      <c r="H3905" s="24"/>
      <c r="Q3905" s="2"/>
      <c r="R3905" s="2"/>
    </row>
    <row r="3906" spans="1:18" ht="15.75" customHeight="1" x14ac:dyDescent="0.3">
      <c r="A3906" s="11"/>
      <c r="B3906" s="11"/>
      <c r="D3906" s="21"/>
      <c r="E3906" s="22"/>
      <c r="G3906" s="23"/>
      <c r="H3906" s="24"/>
      <c r="Q3906" s="2"/>
      <c r="R3906" s="2"/>
    </row>
    <row r="3907" spans="1:18" ht="15.75" customHeight="1" x14ac:dyDescent="0.3">
      <c r="A3907" s="11"/>
      <c r="B3907" s="11"/>
      <c r="D3907" s="21"/>
      <c r="E3907" s="22"/>
      <c r="G3907" s="23"/>
      <c r="H3907" s="24"/>
      <c r="Q3907" s="2"/>
      <c r="R3907" s="2"/>
    </row>
    <row r="3908" spans="1:18" ht="15.75" customHeight="1" x14ac:dyDescent="0.3">
      <c r="A3908" s="11"/>
      <c r="B3908" s="11"/>
      <c r="D3908" s="21"/>
      <c r="E3908" s="22"/>
      <c r="G3908" s="23"/>
      <c r="H3908" s="24"/>
      <c r="Q3908" s="2"/>
      <c r="R3908" s="2"/>
    </row>
    <row r="3909" spans="1:18" ht="15.75" customHeight="1" x14ac:dyDescent="0.3">
      <c r="A3909" s="11"/>
      <c r="B3909" s="11"/>
      <c r="D3909" s="21"/>
      <c r="E3909" s="22"/>
      <c r="G3909" s="23"/>
      <c r="H3909" s="24"/>
      <c r="Q3909" s="2"/>
      <c r="R3909" s="2"/>
    </row>
    <row r="3910" spans="1:18" ht="15.75" customHeight="1" x14ac:dyDescent="0.3">
      <c r="A3910" s="11"/>
      <c r="B3910" s="11"/>
      <c r="D3910" s="21"/>
      <c r="E3910" s="22"/>
      <c r="G3910" s="23"/>
      <c r="H3910" s="24"/>
      <c r="Q3910" s="2"/>
      <c r="R3910" s="2"/>
    </row>
    <row r="3911" spans="1:18" ht="15.75" customHeight="1" x14ac:dyDescent="0.3">
      <c r="A3911" s="11"/>
      <c r="B3911" s="11"/>
      <c r="D3911" s="21"/>
      <c r="E3911" s="22"/>
      <c r="G3911" s="23"/>
      <c r="H3911" s="24"/>
      <c r="Q3911" s="2"/>
      <c r="R3911" s="2"/>
    </row>
    <row r="3912" spans="1:18" ht="15.75" customHeight="1" x14ac:dyDescent="0.3">
      <c r="A3912" s="11"/>
      <c r="B3912" s="11"/>
      <c r="D3912" s="21"/>
      <c r="E3912" s="22"/>
      <c r="G3912" s="23"/>
      <c r="H3912" s="24"/>
      <c r="Q3912" s="2"/>
      <c r="R3912" s="2"/>
    </row>
    <row r="3913" spans="1:18" ht="15.75" customHeight="1" x14ac:dyDescent="0.3">
      <c r="A3913" s="11"/>
      <c r="B3913" s="11"/>
      <c r="D3913" s="21"/>
      <c r="E3913" s="22"/>
      <c r="G3913" s="23"/>
      <c r="H3913" s="24"/>
      <c r="Q3913" s="2"/>
      <c r="R3913" s="2"/>
    </row>
    <row r="3914" spans="1:18" ht="15.75" customHeight="1" x14ac:dyDescent="0.3">
      <c r="A3914" s="11"/>
      <c r="B3914" s="11"/>
      <c r="D3914" s="21"/>
      <c r="E3914" s="22"/>
      <c r="G3914" s="23"/>
      <c r="H3914" s="24"/>
      <c r="Q3914" s="2"/>
      <c r="R3914" s="2"/>
    </row>
    <row r="3915" spans="1:18" ht="15.75" customHeight="1" x14ac:dyDescent="0.3">
      <c r="A3915" s="11"/>
      <c r="B3915" s="11"/>
      <c r="D3915" s="21"/>
      <c r="E3915" s="22"/>
      <c r="G3915" s="23"/>
      <c r="H3915" s="24"/>
      <c r="Q3915" s="2"/>
      <c r="R3915" s="2"/>
    </row>
    <row r="3916" spans="1:18" ht="15.75" customHeight="1" x14ac:dyDescent="0.3">
      <c r="A3916" s="11"/>
      <c r="B3916" s="11"/>
      <c r="D3916" s="21"/>
      <c r="E3916" s="22"/>
      <c r="G3916" s="23"/>
      <c r="H3916" s="24"/>
      <c r="Q3916" s="2"/>
      <c r="R3916" s="2"/>
    </row>
    <row r="3917" spans="1:18" ht="15.75" customHeight="1" x14ac:dyDescent="0.3">
      <c r="A3917" s="11"/>
      <c r="B3917" s="11"/>
      <c r="D3917" s="21"/>
      <c r="E3917" s="22"/>
      <c r="G3917" s="23"/>
      <c r="H3917" s="24"/>
      <c r="Q3917" s="2"/>
      <c r="R3917" s="2"/>
    </row>
    <row r="3918" spans="1:18" ht="15.75" customHeight="1" x14ac:dyDescent="0.3">
      <c r="A3918" s="11"/>
      <c r="B3918" s="11"/>
      <c r="D3918" s="21"/>
      <c r="E3918" s="22"/>
      <c r="G3918" s="23"/>
      <c r="H3918" s="24"/>
      <c r="Q3918" s="2"/>
      <c r="R3918" s="2"/>
    </row>
    <row r="3919" spans="1:18" ht="15.75" customHeight="1" x14ac:dyDescent="0.3">
      <c r="A3919" s="11"/>
      <c r="B3919" s="11"/>
      <c r="D3919" s="21"/>
      <c r="E3919" s="22"/>
      <c r="G3919" s="23"/>
      <c r="H3919" s="24"/>
      <c r="Q3919" s="2"/>
      <c r="R3919" s="2"/>
    </row>
    <row r="3920" spans="1:18" ht="15.75" customHeight="1" x14ac:dyDescent="0.3">
      <c r="A3920" s="11"/>
      <c r="B3920" s="11"/>
      <c r="D3920" s="21"/>
      <c r="E3920" s="22"/>
      <c r="G3920" s="23"/>
      <c r="H3920" s="24"/>
      <c r="Q3920" s="2"/>
      <c r="R3920" s="2"/>
    </row>
    <row r="3921" spans="1:18" ht="15.75" customHeight="1" x14ac:dyDescent="0.3">
      <c r="A3921" s="11"/>
      <c r="B3921" s="11"/>
      <c r="D3921" s="21"/>
      <c r="E3921" s="22"/>
      <c r="G3921" s="23"/>
      <c r="H3921" s="24"/>
      <c r="Q3921" s="2"/>
      <c r="R3921" s="2"/>
    </row>
    <row r="3922" spans="1:18" ht="15.75" customHeight="1" x14ac:dyDescent="0.3">
      <c r="A3922" s="11"/>
      <c r="B3922" s="11"/>
      <c r="D3922" s="21"/>
      <c r="E3922" s="22"/>
      <c r="G3922" s="23"/>
      <c r="H3922" s="24"/>
      <c r="Q3922" s="2"/>
      <c r="R3922" s="2"/>
    </row>
    <row r="3923" spans="1:18" ht="15.75" customHeight="1" x14ac:dyDescent="0.3">
      <c r="A3923" s="11"/>
      <c r="B3923" s="11"/>
      <c r="D3923" s="21"/>
      <c r="E3923" s="22"/>
      <c r="G3923" s="23"/>
      <c r="H3923" s="24"/>
      <c r="Q3923" s="2"/>
      <c r="R3923" s="2"/>
    </row>
    <row r="3924" spans="1:18" ht="15.75" customHeight="1" x14ac:dyDescent="0.3">
      <c r="A3924" s="11"/>
      <c r="B3924" s="11"/>
      <c r="D3924" s="21"/>
      <c r="E3924" s="22"/>
      <c r="G3924" s="23"/>
      <c r="H3924" s="24"/>
      <c r="Q3924" s="2"/>
      <c r="R3924" s="2"/>
    </row>
    <row r="3925" spans="1:18" ht="15.75" customHeight="1" x14ac:dyDescent="0.3">
      <c r="A3925" s="11"/>
      <c r="B3925" s="11"/>
      <c r="D3925" s="21"/>
      <c r="E3925" s="22"/>
      <c r="G3925" s="23"/>
      <c r="H3925" s="24"/>
      <c r="Q3925" s="2"/>
      <c r="R3925" s="2"/>
    </row>
    <row r="3926" spans="1:18" ht="15.75" customHeight="1" x14ac:dyDescent="0.3">
      <c r="A3926" s="11"/>
      <c r="B3926" s="11"/>
      <c r="D3926" s="21"/>
      <c r="E3926" s="22"/>
      <c r="G3926" s="23"/>
      <c r="H3926" s="24"/>
      <c r="Q3926" s="2"/>
      <c r="R3926" s="2"/>
    </row>
    <row r="3927" spans="1:18" ht="15.75" customHeight="1" x14ac:dyDescent="0.3">
      <c r="A3927" s="11"/>
      <c r="B3927" s="11"/>
      <c r="D3927" s="21"/>
      <c r="E3927" s="22"/>
      <c r="G3927" s="23"/>
      <c r="H3927" s="24"/>
      <c r="Q3927" s="2"/>
      <c r="R3927" s="2"/>
    </row>
    <row r="3928" spans="1:18" ht="15.75" customHeight="1" x14ac:dyDescent="0.3">
      <c r="A3928" s="11"/>
      <c r="B3928" s="11"/>
      <c r="D3928" s="21"/>
      <c r="E3928" s="22"/>
      <c r="G3928" s="23"/>
      <c r="H3928" s="24"/>
      <c r="Q3928" s="2"/>
      <c r="R3928" s="2"/>
    </row>
    <row r="3929" spans="1:18" ht="15.75" customHeight="1" x14ac:dyDescent="0.3">
      <c r="A3929" s="11"/>
      <c r="B3929" s="11"/>
      <c r="D3929" s="21"/>
      <c r="E3929" s="22"/>
      <c r="G3929" s="23"/>
      <c r="H3929" s="24"/>
      <c r="Q3929" s="2"/>
      <c r="R3929" s="2"/>
    </row>
    <row r="3930" spans="1:18" ht="15.75" customHeight="1" x14ac:dyDescent="0.3">
      <c r="A3930" s="11"/>
      <c r="B3930" s="11"/>
      <c r="D3930" s="21"/>
      <c r="E3930" s="22"/>
      <c r="G3930" s="23"/>
      <c r="H3930" s="24"/>
      <c r="Q3930" s="2"/>
      <c r="R3930" s="2"/>
    </row>
    <row r="3931" spans="1:18" ht="15.75" customHeight="1" x14ac:dyDescent="0.3">
      <c r="A3931" s="11"/>
      <c r="B3931" s="11"/>
      <c r="D3931" s="21"/>
      <c r="E3931" s="22"/>
      <c r="G3931" s="23"/>
      <c r="H3931" s="24"/>
      <c r="Q3931" s="2"/>
      <c r="R3931" s="2"/>
    </row>
    <row r="3932" spans="1:18" ht="15.75" customHeight="1" x14ac:dyDescent="0.3">
      <c r="A3932" s="11"/>
      <c r="B3932" s="11"/>
      <c r="D3932" s="21"/>
      <c r="E3932" s="22"/>
      <c r="G3932" s="23"/>
      <c r="H3932" s="24"/>
      <c r="Q3932" s="2"/>
      <c r="R3932" s="2"/>
    </row>
    <row r="3933" spans="1:18" ht="15.75" customHeight="1" x14ac:dyDescent="0.3">
      <c r="A3933" s="11"/>
      <c r="B3933" s="11"/>
      <c r="D3933" s="21"/>
      <c r="E3933" s="22"/>
      <c r="G3933" s="23"/>
      <c r="H3933" s="24"/>
      <c r="Q3933" s="2"/>
      <c r="R3933" s="2"/>
    </row>
    <row r="3934" spans="1:18" ht="15.75" customHeight="1" x14ac:dyDescent="0.3">
      <c r="A3934" s="11"/>
      <c r="B3934" s="11"/>
      <c r="D3934" s="21"/>
      <c r="E3934" s="22"/>
      <c r="G3934" s="23"/>
      <c r="H3934" s="24"/>
      <c r="Q3934" s="2"/>
      <c r="R3934" s="2"/>
    </row>
    <row r="3935" spans="1:18" ht="15.75" customHeight="1" x14ac:dyDescent="0.3">
      <c r="A3935" s="11"/>
      <c r="B3935" s="11"/>
      <c r="D3935" s="21"/>
      <c r="E3935" s="22"/>
      <c r="G3935" s="23"/>
      <c r="H3935" s="24"/>
      <c r="Q3935" s="2"/>
      <c r="R3935" s="2"/>
    </row>
    <row r="3936" spans="1:18" ht="15.75" customHeight="1" x14ac:dyDescent="0.3">
      <c r="A3936" s="11"/>
      <c r="B3936" s="11"/>
      <c r="D3936" s="21"/>
      <c r="E3936" s="22"/>
      <c r="G3936" s="23"/>
      <c r="H3936" s="24"/>
      <c r="Q3936" s="2"/>
      <c r="R3936" s="2"/>
    </row>
    <row r="3937" spans="1:18" ht="15.75" customHeight="1" x14ac:dyDescent="0.3">
      <c r="A3937" s="11"/>
      <c r="B3937" s="11"/>
      <c r="D3937" s="21"/>
      <c r="E3937" s="22"/>
      <c r="G3937" s="23"/>
      <c r="H3937" s="24"/>
      <c r="Q3937" s="2"/>
      <c r="R3937" s="2"/>
    </row>
    <row r="3938" spans="1:18" ht="15.75" customHeight="1" x14ac:dyDescent="0.3">
      <c r="A3938" s="11"/>
      <c r="B3938" s="11"/>
      <c r="D3938" s="21"/>
      <c r="E3938" s="22"/>
      <c r="G3938" s="23"/>
      <c r="H3938" s="24"/>
      <c r="Q3938" s="2"/>
      <c r="R3938" s="2"/>
    </row>
    <row r="3939" spans="1:18" ht="15.75" customHeight="1" x14ac:dyDescent="0.3">
      <c r="A3939" s="11"/>
      <c r="B3939" s="11"/>
      <c r="D3939" s="21"/>
      <c r="E3939" s="22"/>
      <c r="G3939" s="23"/>
      <c r="H3939" s="24"/>
      <c r="Q3939" s="2"/>
      <c r="R3939" s="2"/>
    </row>
    <row r="3940" spans="1:18" ht="15.75" customHeight="1" x14ac:dyDescent="0.3">
      <c r="A3940" s="11"/>
      <c r="B3940" s="11"/>
      <c r="D3940" s="21"/>
      <c r="E3940" s="22"/>
      <c r="G3940" s="23"/>
      <c r="H3940" s="24"/>
      <c r="Q3940" s="2"/>
      <c r="R3940" s="2"/>
    </row>
    <row r="3941" spans="1:18" ht="15.75" customHeight="1" x14ac:dyDescent="0.3">
      <c r="A3941" s="11"/>
      <c r="B3941" s="11"/>
      <c r="D3941" s="21"/>
      <c r="E3941" s="22"/>
      <c r="G3941" s="23"/>
      <c r="H3941" s="24"/>
      <c r="Q3941" s="2"/>
      <c r="R3941" s="2"/>
    </row>
    <row r="3942" spans="1:18" ht="15.75" customHeight="1" x14ac:dyDescent="0.3">
      <c r="A3942" s="11"/>
      <c r="B3942" s="11"/>
      <c r="D3942" s="21"/>
      <c r="E3942" s="22"/>
      <c r="G3942" s="23"/>
      <c r="H3942" s="24"/>
      <c r="Q3942" s="2"/>
      <c r="R3942" s="2"/>
    </row>
    <row r="3943" spans="1:18" ht="15.75" customHeight="1" x14ac:dyDescent="0.3">
      <c r="A3943" s="11"/>
      <c r="B3943" s="11"/>
      <c r="D3943" s="21"/>
      <c r="E3943" s="22"/>
      <c r="G3943" s="23"/>
      <c r="H3943" s="24"/>
      <c r="Q3943" s="2"/>
      <c r="R3943" s="2"/>
    </row>
    <row r="3944" spans="1:18" ht="15.75" customHeight="1" x14ac:dyDescent="0.3">
      <c r="A3944" s="11"/>
      <c r="B3944" s="11"/>
      <c r="D3944" s="21"/>
      <c r="E3944" s="22"/>
      <c r="G3944" s="23"/>
      <c r="H3944" s="24"/>
      <c r="Q3944" s="2"/>
      <c r="R3944" s="2"/>
    </row>
    <row r="3945" spans="1:18" ht="15.75" customHeight="1" x14ac:dyDescent="0.3">
      <c r="A3945" s="11"/>
      <c r="B3945" s="11"/>
      <c r="D3945" s="21"/>
      <c r="E3945" s="22"/>
      <c r="G3945" s="23"/>
      <c r="H3945" s="24"/>
      <c r="Q3945" s="2"/>
      <c r="R3945" s="2"/>
    </row>
    <row r="3946" spans="1:18" ht="15.75" customHeight="1" x14ac:dyDescent="0.3">
      <c r="A3946" s="11"/>
      <c r="B3946" s="11"/>
      <c r="D3946" s="21"/>
      <c r="E3946" s="22"/>
      <c r="G3946" s="23"/>
      <c r="H3946" s="24"/>
      <c r="Q3946" s="2"/>
      <c r="R3946" s="2"/>
    </row>
    <row r="3947" spans="1:18" ht="15.75" customHeight="1" x14ac:dyDescent="0.3">
      <c r="A3947" s="11"/>
      <c r="B3947" s="11"/>
      <c r="D3947" s="21"/>
      <c r="E3947" s="22"/>
      <c r="G3947" s="23"/>
      <c r="H3947" s="24"/>
      <c r="Q3947" s="2"/>
      <c r="R3947" s="2"/>
    </row>
    <row r="3948" spans="1:18" ht="15.75" customHeight="1" x14ac:dyDescent="0.3">
      <c r="A3948" s="11"/>
      <c r="B3948" s="11"/>
      <c r="D3948" s="21"/>
      <c r="E3948" s="22"/>
      <c r="G3948" s="23"/>
      <c r="H3948" s="24"/>
      <c r="Q3948" s="2"/>
      <c r="R3948" s="2"/>
    </row>
    <row r="3949" spans="1:18" ht="15.75" customHeight="1" x14ac:dyDescent="0.3">
      <c r="A3949" s="11"/>
      <c r="B3949" s="11"/>
      <c r="D3949" s="21"/>
      <c r="E3949" s="22"/>
      <c r="G3949" s="23"/>
      <c r="H3949" s="24"/>
      <c r="Q3949" s="2"/>
      <c r="R3949" s="2"/>
    </row>
    <row r="3950" spans="1:18" ht="15.75" customHeight="1" x14ac:dyDescent="0.3">
      <c r="A3950" s="11"/>
      <c r="B3950" s="11"/>
      <c r="D3950" s="21"/>
      <c r="E3950" s="22"/>
      <c r="G3950" s="23"/>
      <c r="H3950" s="24"/>
      <c r="Q3950" s="2"/>
      <c r="R3950" s="2"/>
    </row>
    <row r="3951" spans="1:18" ht="15.75" customHeight="1" x14ac:dyDescent="0.3">
      <c r="A3951" s="11"/>
      <c r="B3951" s="11"/>
      <c r="D3951" s="21"/>
      <c r="E3951" s="22"/>
      <c r="G3951" s="23"/>
      <c r="H3951" s="24"/>
      <c r="Q3951" s="2"/>
      <c r="R3951" s="2"/>
    </row>
    <row r="3952" spans="1:18" ht="15.75" customHeight="1" x14ac:dyDescent="0.3">
      <c r="A3952" s="11"/>
      <c r="B3952" s="11"/>
      <c r="D3952" s="21"/>
      <c r="E3952" s="22"/>
      <c r="G3952" s="23"/>
      <c r="H3952" s="24"/>
      <c r="Q3952" s="2"/>
      <c r="R3952" s="2"/>
    </row>
    <row r="3953" spans="1:18" ht="15.75" customHeight="1" x14ac:dyDescent="0.3">
      <c r="A3953" s="11"/>
      <c r="B3953" s="11"/>
      <c r="D3953" s="21"/>
      <c r="E3953" s="22"/>
      <c r="G3953" s="23"/>
      <c r="H3953" s="24"/>
      <c r="Q3953" s="2"/>
      <c r="R3953" s="2"/>
    </row>
    <row r="3954" spans="1:18" ht="15.75" customHeight="1" x14ac:dyDescent="0.3">
      <c r="A3954" s="11"/>
      <c r="B3954" s="11"/>
      <c r="D3954" s="21"/>
      <c r="E3954" s="22"/>
      <c r="G3954" s="23"/>
      <c r="H3954" s="24"/>
      <c r="Q3954" s="2"/>
      <c r="R3954" s="2"/>
    </row>
    <row r="3955" spans="1:18" ht="15.75" customHeight="1" x14ac:dyDescent="0.3">
      <c r="A3955" s="11"/>
      <c r="B3955" s="11"/>
      <c r="D3955" s="21"/>
      <c r="E3955" s="22"/>
      <c r="G3955" s="23"/>
      <c r="H3955" s="24"/>
      <c r="Q3955" s="2"/>
      <c r="R3955" s="2"/>
    </row>
    <row r="3956" spans="1:18" ht="15.75" customHeight="1" x14ac:dyDescent="0.3">
      <c r="A3956" s="11"/>
      <c r="B3956" s="11"/>
      <c r="D3956" s="21"/>
      <c r="E3956" s="22"/>
      <c r="G3956" s="23"/>
      <c r="H3956" s="24"/>
      <c r="Q3956" s="2"/>
      <c r="R3956" s="2"/>
    </row>
    <row r="3957" spans="1:18" ht="15.75" customHeight="1" x14ac:dyDescent="0.3">
      <c r="A3957" s="11"/>
      <c r="B3957" s="11"/>
      <c r="D3957" s="21"/>
      <c r="E3957" s="22"/>
      <c r="G3957" s="23"/>
      <c r="H3957" s="24"/>
      <c r="Q3957" s="2"/>
      <c r="R3957" s="2"/>
    </row>
    <row r="3958" spans="1:18" ht="15.75" customHeight="1" x14ac:dyDescent="0.3">
      <c r="A3958" s="11"/>
      <c r="B3958" s="11"/>
      <c r="D3958" s="21"/>
      <c r="E3958" s="22"/>
      <c r="G3958" s="23"/>
      <c r="H3958" s="24"/>
      <c r="Q3958" s="2"/>
      <c r="R3958" s="2"/>
    </row>
    <row r="3959" spans="1:18" ht="15.75" customHeight="1" x14ac:dyDescent="0.3">
      <c r="A3959" s="11"/>
      <c r="B3959" s="11"/>
      <c r="D3959" s="21"/>
      <c r="E3959" s="22"/>
      <c r="G3959" s="23"/>
      <c r="H3959" s="24"/>
      <c r="Q3959" s="2"/>
      <c r="R3959" s="2"/>
    </row>
    <row r="3960" spans="1:18" ht="15.75" customHeight="1" x14ac:dyDescent="0.3">
      <c r="A3960" s="11"/>
      <c r="B3960" s="11"/>
      <c r="D3960" s="21"/>
      <c r="E3960" s="22"/>
      <c r="G3960" s="23"/>
      <c r="H3960" s="24"/>
      <c r="Q3960" s="2"/>
      <c r="R3960" s="2"/>
    </row>
    <row r="3961" spans="1:18" ht="15.75" customHeight="1" x14ac:dyDescent="0.3">
      <c r="A3961" s="11"/>
      <c r="B3961" s="11"/>
      <c r="D3961" s="21"/>
      <c r="E3961" s="22"/>
      <c r="G3961" s="23"/>
      <c r="H3961" s="24"/>
      <c r="Q3961" s="2"/>
      <c r="R3961" s="2"/>
    </row>
    <row r="3962" spans="1:18" ht="15.75" customHeight="1" x14ac:dyDescent="0.3">
      <c r="A3962" s="11"/>
      <c r="B3962" s="11"/>
      <c r="D3962" s="21"/>
      <c r="E3962" s="22"/>
      <c r="G3962" s="23"/>
      <c r="H3962" s="24"/>
      <c r="Q3962" s="2"/>
      <c r="R3962" s="2"/>
    </row>
    <row r="3963" spans="1:18" ht="15.75" customHeight="1" x14ac:dyDescent="0.3">
      <c r="A3963" s="11"/>
      <c r="B3963" s="11"/>
      <c r="D3963" s="21"/>
      <c r="E3963" s="22"/>
      <c r="G3963" s="23"/>
      <c r="H3963" s="24"/>
      <c r="Q3963" s="2"/>
      <c r="R3963" s="2"/>
    </row>
    <row r="3964" spans="1:18" ht="15.75" customHeight="1" x14ac:dyDescent="0.3">
      <c r="A3964" s="11"/>
      <c r="B3964" s="11"/>
      <c r="D3964" s="21"/>
      <c r="E3964" s="22"/>
      <c r="G3964" s="23"/>
      <c r="H3964" s="24"/>
      <c r="Q3964" s="2"/>
      <c r="R3964" s="2"/>
    </row>
    <row r="3965" spans="1:18" ht="15.75" customHeight="1" x14ac:dyDescent="0.3">
      <c r="A3965" s="11"/>
      <c r="B3965" s="11"/>
      <c r="D3965" s="21"/>
      <c r="E3965" s="22"/>
      <c r="G3965" s="23"/>
      <c r="H3965" s="24"/>
      <c r="Q3965" s="2"/>
      <c r="R3965" s="2"/>
    </row>
    <row r="3966" spans="1:18" ht="15.75" customHeight="1" x14ac:dyDescent="0.3">
      <c r="A3966" s="11"/>
      <c r="B3966" s="11"/>
      <c r="D3966" s="21"/>
      <c r="E3966" s="22"/>
      <c r="G3966" s="23"/>
      <c r="H3966" s="24"/>
      <c r="Q3966" s="2"/>
      <c r="R3966" s="2"/>
    </row>
    <row r="3967" spans="1:18" ht="15.75" customHeight="1" x14ac:dyDescent="0.3">
      <c r="A3967" s="11"/>
      <c r="B3967" s="11"/>
      <c r="D3967" s="21"/>
      <c r="E3967" s="22"/>
      <c r="G3967" s="23"/>
      <c r="H3967" s="24"/>
      <c r="Q3967" s="2"/>
      <c r="R3967" s="2"/>
    </row>
    <row r="3968" spans="1:18" ht="15.75" customHeight="1" x14ac:dyDescent="0.3">
      <c r="A3968" s="11"/>
      <c r="B3968" s="11"/>
      <c r="D3968" s="21"/>
      <c r="E3968" s="22"/>
      <c r="G3968" s="23"/>
      <c r="H3968" s="24"/>
      <c r="Q3968" s="2"/>
      <c r="R3968" s="2"/>
    </row>
    <row r="3969" spans="1:18" ht="15.75" customHeight="1" x14ac:dyDescent="0.3">
      <c r="A3969" s="11"/>
      <c r="B3969" s="11"/>
      <c r="D3969" s="21"/>
      <c r="E3969" s="22"/>
      <c r="G3969" s="23"/>
      <c r="H3969" s="24"/>
      <c r="Q3969" s="2"/>
      <c r="R3969" s="2"/>
    </row>
    <row r="3970" spans="1:18" ht="15.75" customHeight="1" x14ac:dyDescent="0.3">
      <c r="A3970" s="11"/>
      <c r="B3970" s="11"/>
      <c r="D3970" s="21"/>
      <c r="E3970" s="22"/>
      <c r="G3970" s="23"/>
      <c r="H3970" s="24"/>
      <c r="Q3970" s="2"/>
      <c r="R3970" s="2"/>
    </row>
    <row r="3971" spans="1:18" ht="15.75" customHeight="1" x14ac:dyDescent="0.3">
      <c r="A3971" s="11"/>
      <c r="B3971" s="11"/>
      <c r="D3971" s="21"/>
      <c r="E3971" s="22"/>
      <c r="G3971" s="23"/>
      <c r="H3971" s="24"/>
      <c r="Q3971" s="2"/>
      <c r="R3971" s="2"/>
    </row>
    <row r="3972" spans="1:18" ht="15.75" customHeight="1" x14ac:dyDescent="0.3">
      <c r="A3972" s="11"/>
      <c r="B3972" s="11"/>
      <c r="D3972" s="21"/>
      <c r="E3972" s="22"/>
      <c r="G3972" s="23"/>
      <c r="H3972" s="24"/>
      <c r="Q3972" s="2"/>
      <c r="R3972" s="2"/>
    </row>
    <row r="3973" spans="1:18" ht="15.75" customHeight="1" x14ac:dyDescent="0.3">
      <c r="A3973" s="11"/>
      <c r="B3973" s="11"/>
      <c r="D3973" s="21"/>
      <c r="E3973" s="22"/>
      <c r="G3973" s="23"/>
      <c r="H3973" s="24"/>
      <c r="Q3973" s="2"/>
      <c r="R3973" s="2"/>
    </row>
    <row r="3974" spans="1:18" ht="15.75" customHeight="1" x14ac:dyDescent="0.3">
      <c r="A3974" s="11"/>
      <c r="B3974" s="11"/>
      <c r="D3974" s="21"/>
      <c r="E3974" s="22"/>
      <c r="G3974" s="23"/>
      <c r="H3974" s="24"/>
      <c r="Q3974" s="2"/>
      <c r="R3974" s="2"/>
    </row>
    <row r="3975" spans="1:18" ht="15.75" customHeight="1" x14ac:dyDescent="0.3">
      <c r="A3975" s="11"/>
      <c r="B3975" s="11"/>
      <c r="D3975" s="21"/>
      <c r="E3975" s="22"/>
      <c r="G3975" s="23"/>
      <c r="H3975" s="24"/>
      <c r="Q3975" s="2"/>
      <c r="R3975" s="2"/>
    </row>
    <row r="3976" spans="1:18" ht="15.75" customHeight="1" x14ac:dyDescent="0.3">
      <c r="A3976" s="11"/>
      <c r="B3976" s="11"/>
      <c r="D3976" s="21"/>
      <c r="E3976" s="22"/>
      <c r="G3976" s="23"/>
      <c r="H3976" s="24"/>
      <c r="Q3976" s="2"/>
      <c r="R3976" s="2"/>
    </row>
    <row r="3977" spans="1:18" ht="15.75" customHeight="1" x14ac:dyDescent="0.3">
      <c r="A3977" s="11"/>
      <c r="B3977" s="11"/>
      <c r="D3977" s="21"/>
      <c r="E3977" s="22"/>
      <c r="G3977" s="23"/>
      <c r="H3977" s="24"/>
      <c r="Q3977" s="2"/>
      <c r="R3977" s="2"/>
    </row>
    <row r="3978" spans="1:18" ht="15.75" customHeight="1" x14ac:dyDescent="0.3">
      <c r="A3978" s="11"/>
      <c r="B3978" s="11"/>
      <c r="D3978" s="21"/>
      <c r="E3978" s="22"/>
      <c r="G3978" s="23"/>
      <c r="H3978" s="24"/>
      <c r="Q3978" s="2"/>
      <c r="R3978" s="2"/>
    </row>
    <row r="3979" spans="1:18" ht="15.75" customHeight="1" x14ac:dyDescent="0.3">
      <c r="A3979" s="11"/>
      <c r="B3979" s="11"/>
      <c r="D3979" s="21"/>
      <c r="E3979" s="22"/>
      <c r="G3979" s="23"/>
      <c r="H3979" s="24"/>
      <c r="Q3979" s="2"/>
      <c r="R3979" s="2"/>
    </row>
    <row r="3980" spans="1:18" ht="15.75" customHeight="1" x14ac:dyDescent="0.3">
      <c r="A3980" s="11"/>
      <c r="B3980" s="11"/>
      <c r="D3980" s="21"/>
      <c r="E3980" s="22"/>
      <c r="G3980" s="23"/>
      <c r="H3980" s="24"/>
      <c r="Q3980" s="2"/>
      <c r="R3980" s="2"/>
    </row>
    <row r="3981" spans="1:18" ht="15.75" customHeight="1" x14ac:dyDescent="0.3">
      <c r="A3981" s="11"/>
      <c r="B3981" s="11"/>
      <c r="D3981" s="21"/>
      <c r="E3981" s="22"/>
      <c r="G3981" s="23"/>
      <c r="H3981" s="24"/>
      <c r="Q3981" s="2"/>
      <c r="R3981" s="2"/>
    </row>
    <row r="3982" spans="1:18" ht="15.75" customHeight="1" x14ac:dyDescent="0.3">
      <c r="A3982" s="11"/>
      <c r="B3982" s="11"/>
      <c r="D3982" s="21"/>
      <c r="E3982" s="22"/>
      <c r="G3982" s="23"/>
      <c r="H3982" s="24"/>
      <c r="Q3982" s="2"/>
      <c r="R3982" s="2"/>
    </row>
    <row r="3983" spans="1:18" ht="15.75" customHeight="1" x14ac:dyDescent="0.3">
      <c r="A3983" s="11"/>
      <c r="B3983" s="11"/>
      <c r="D3983" s="21"/>
      <c r="E3983" s="22"/>
      <c r="G3983" s="23"/>
      <c r="H3983" s="24"/>
      <c r="Q3983" s="2"/>
      <c r="R3983" s="2"/>
    </row>
    <row r="3984" spans="1:18" ht="15.75" customHeight="1" x14ac:dyDescent="0.3">
      <c r="A3984" s="11"/>
      <c r="B3984" s="11"/>
      <c r="D3984" s="21"/>
      <c r="E3984" s="22"/>
      <c r="G3984" s="23"/>
      <c r="H3984" s="24"/>
      <c r="Q3984" s="2"/>
      <c r="R3984" s="2"/>
    </row>
    <row r="3985" spans="1:18" ht="15.75" customHeight="1" x14ac:dyDescent="0.3">
      <c r="A3985" s="11"/>
      <c r="B3985" s="11"/>
      <c r="D3985" s="21"/>
      <c r="E3985" s="22"/>
      <c r="G3985" s="23"/>
      <c r="H3985" s="24"/>
      <c r="Q3985" s="2"/>
      <c r="R3985" s="2"/>
    </row>
    <row r="3986" spans="1:18" ht="15.75" customHeight="1" x14ac:dyDescent="0.3">
      <c r="A3986" s="11"/>
      <c r="B3986" s="11"/>
      <c r="D3986" s="21"/>
      <c r="E3986" s="22"/>
      <c r="G3986" s="23"/>
      <c r="H3986" s="24"/>
      <c r="Q3986" s="2"/>
      <c r="R3986" s="2"/>
    </row>
    <row r="3987" spans="1:18" ht="15.75" customHeight="1" x14ac:dyDescent="0.3">
      <c r="A3987" s="11"/>
      <c r="B3987" s="11"/>
      <c r="D3987" s="21"/>
      <c r="E3987" s="22"/>
      <c r="G3987" s="23"/>
      <c r="H3987" s="24"/>
      <c r="Q3987" s="2"/>
      <c r="R3987" s="2"/>
    </row>
    <row r="3988" spans="1:18" ht="15.75" customHeight="1" x14ac:dyDescent="0.3">
      <c r="A3988" s="11"/>
      <c r="B3988" s="11"/>
      <c r="D3988" s="21"/>
      <c r="E3988" s="22"/>
      <c r="G3988" s="23"/>
      <c r="H3988" s="24"/>
      <c r="Q3988" s="2"/>
      <c r="R3988" s="2"/>
    </row>
    <row r="3989" spans="1:18" ht="15.75" customHeight="1" x14ac:dyDescent="0.3">
      <c r="A3989" s="11"/>
      <c r="B3989" s="11"/>
      <c r="D3989" s="21"/>
      <c r="E3989" s="22"/>
      <c r="G3989" s="23"/>
      <c r="H3989" s="24"/>
      <c r="Q3989" s="2"/>
      <c r="R3989" s="2"/>
    </row>
    <row r="3990" spans="1:18" ht="15.75" customHeight="1" x14ac:dyDescent="0.3">
      <c r="A3990" s="11"/>
      <c r="B3990" s="11"/>
      <c r="D3990" s="21"/>
      <c r="E3990" s="22"/>
      <c r="G3990" s="23"/>
      <c r="H3990" s="24"/>
      <c r="Q3990" s="2"/>
      <c r="R3990" s="2"/>
    </row>
    <row r="3991" spans="1:18" ht="15.75" customHeight="1" x14ac:dyDescent="0.3">
      <c r="A3991" s="11"/>
      <c r="B3991" s="11"/>
      <c r="D3991" s="21"/>
      <c r="E3991" s="22"/>
      <c r="G3991" s="23"/>
      <c r="H3991" s="24"/>
      <c r="Q3991" s="2"/>
      <c r="R3991" s="2"/>
    </row>
    <row r="3992" spans="1:18" ht="15.75" customHeight="1" x14ac:dyDescent="0.3">
      <c r="A3992" s="11"/>
      <c r="B3992" s="11"/>
      <c r="D3992" s="21"/>
      <c r="E3992" s="22"/>
      <c r="G3992" s="23"/>
      <c r="H3992" s="24"/>
      <c r="Q3992" s="2"/>
      <c r="R3992" s="2"/>
    </row>
    <row r="3993" spans="1:18" ht="15.75" customHeight="1" x14ac:dyDescent="0.3">
      <c r="A3993" s="11"/>
      <c r="B3993" s="11"/>
      <c r="D3993" s="21"/>
      <c r="E3993" s="22"/>
      <c r="G3993" s="23"/>
      <c r="H3993" s="24"/>
      <c r="Q3993" s="2"/>
      <c r="R3993" s="2"/>
    </row>
    <row r="3994" spans="1:18" ht="15.75" customHeight="1" x14ac:dyDescent="0.3">
      <c r="A3994" s="11"/>
      <c r="B3994" s="11"/>
      <c r="D3994" s="21"/>
      <c r="E3994" s="22"/>
      <c r="G3994" s="23"/>
      <c r="H3994" s="24"/>
      <c r="Q3994" s="2"/>
      <c r="R3994" s="2"/>
    </row>
    <row r="3995" spans="1:18" ht="15.75" customHeight="1" x14ac:dyDescent="0.3">
      <c r="A3995" s="11"/>
      <c r="B3995" s="11"/>
      <c r="D3995" s="21"/>
      <c r="E3995" s="22"/>
      <c r="G3995" s="23"/>
      <c r="H3995" s="24"/>
      <c r="Q3995" s="2"/>
      <c r="R3995" s="2"/>
    </row>
    <row r="3996" spans="1:18" ht="15.75" customHeight="1" x14ac:dyDescent="0.3">
      <c r="A3996" s="11"/>
      <c r="B3996" s="11"/>
      <c r="D3996" s="21"/>
      <c r="E3996" s="22"/>
      <c r="G3996" s="23"/>
      <c r="H3996" s="24"/>
      <c r="Q3996" s="2"/>
      <c r="R3996" s="2"/>
    </row>
    <row r="3997" spans="1:18" ht="15.75" customHeight="1" x14ac:dyDescent="0.3">
      <c r="A3997" s="11"/>
      <c r="B3997" s="11"/>
      <c r="D3997" s="21"/>
      <c r="E3997" s="22"/>
      <c r="G3997" s="23"/>
      <c r="H3997" s="24"/>
      <c r="Q3997" s="2"/>
      <c r="R3997" s="2"/>
    </row>
    <row r="3998" spans="1:18" ht="15.75" customHeight="1" x14ac:dyDescent="0.3">
      <c r="A3998" s="11"/>
      <c r="B3998" s="11"/>
      <c r="D3998" s="21"/>
      <c r="E3998" s="22"/>
      <c r="G3998" s="23"/>
      <c r="H3998" s="24"/>
      <c r="Q3998" s="2"/>
      <c r="R3998" s="2"/>
    </row>
    <row r="3999" spans="1:18" ht="15.75" customHeight="1" x14ac:dyDescent="0.3">
      <c r="A3999" s="11"/>
      <c r="B3999" s="11"/>
      <c r="D3999" s="21"/>
      <c r="E3999" s="22"/>
      <c r="G3999" s="23"/>
      <c r="H3999" s="24"/>
      <c r="Q3999" s="2"/>
      <c r="R3999" s="2"/>
    </row>
    <row r="4000" spans="1:18" ht="15.75" customHeight="1" x14ac:dyDescent="0.3">
      <c r="A4000" s="11"/>
      <c r="B4000" s="11"/>
      <c r="D4000" s="21"/>
      <c r="E4000" s="22"/>
      <c r="G4000" s="23"/>
      <c r="H4000" s="24"/>
      <c r="Q4000" s="2"/>
      <c r="R4000" s="2"/>
    </row>
    <row r="4001" spans="1:18" ht="15.75" customHeight="1" x14ac:dyDescent="0.3">
      <c r="A4001" s="11"/>
      <c r="B4001" s="11"/>
      <c r="D4001" s="21"/>
      <c r="E4001" s="22"/>
      <c r="G4001" s="23"/>
      <c r="H4001" s="24"/>
      <c r="Q4001" s="2"/>
      <c r="R4001" s="2"/>
    </row>
    <row r="4002" spans="1:18" ht="15.75" customHeight="1" x14ac:dyDescent="0.3">
      <c r="A4002" s="11"/>
      <c r="B4002" s="11"/>
      <c r="D4002" s="21"/>
      <c r="E4002" s="22"/>
      <c r="G4002" s="23"/>
      <c r="H4002" s="24"/>
      <c r="Q4002" s="2"/>
      <c r="R4002" s="2"/>
    </row>
    <row r="4003" spans="1:18" ht="15.75" customHeight="1" x14ac:dyDescent="0.3">
      <c r="A4003" s="11"/>
      <c r="B4003" s="11"/>
      <c r="D4003" s="21"/>
      <c r="E4003" s="22"/>
      <c r="G4003" s="23"/>
      <c r="H4003" s="24"/>
      <c r="Q4003" s="2"/>
      <c r="R4003" s="2"/>
    </row>
    <row r="4004" spans="1:18" ht="15.75" customHeight="1" x14ac:dyDescent="0.3">
      <c r="A4004" s="11"/>
      <c r="B4004" s="11"/>
      <c r="D4004" s="21"/>
      <c r="E4004" s="22"/>
      <c r="G4004" s="23"/>
      <c r="H4004" s="24"/>
      <c r="Q4004" s="2"/>
      <c r="R4004" s="2"/>
    </row>
    <row r="4005" spans="1:18" ht="15.75" customHeight="1" x14ac:dyDescent="0.3">
      <c r="A4005" s="11"/>
      <c r="B4005" s="11"/>
      <c r="D4005" s="21"/>
      <c r="E4005" s="22"/>
      <c r="G4005" s="23"/>
      <c r="H4005" s="24"/>
      <c r="Q4005" s="2"/>
      <c r="R4005" s="2"/>
    </row>
    <row r="4006" spans="1:18" ht="15.75" customHeight="1" x14ac:dyDescent="0.3">
      <c r="A4006" s="11"/>
      <c r="B4006" s="11"/>
      <c r="D4006" s="21"/>
      <c r="E4006" s="22"/>
      <c r="G4006" s="23"/>
      <c r="H4006" s="24"/>
      <c r="Q4006" s="2"/>
      <c r="R4006" s="2"/>
    </row>
    <row r="4007" spans="1:18" ht="15.75" customHeight="1" x14ac:dyDescent="0.3">
      <c r="A4007" s="11"/>
      <c r="B4007" s="11"/>
      <c r="D4007" s="21"/>
      <c r="E4007" s="22"/>
      <c r="G4007" s="23"/>
      <c r="H4007" s="24"/>
      <c r="Q4007" s="2"/>
      <c r="R4007" s="2"/>
    </row>
    <row r="4008" spans="1:18" ht="15.75" customHeight="1" x14ac:dyDescent="0.3">
      <c r="A4008" s="11"/>
      <c r="B4008" s="11"/>
      <c r="D4008" s="21"/>
      <c r="E4008" s="22"/>
      <c r="G4008" s="23"/>
      <c r="H4008" s="24"/>
      <c r="Q4008" s="2"/>
      <c r="R4008" s="2"/>
    </row>
    <row r="4009" spans="1:18" ht="15.75" customHeight="1" x14ac:dyDescent="0.3">
      <c r="A4009" s="11"/>
      <c r="B4009" s="11"/>
      <c r="D4009" s="21"/>
      <c r="E4009" s="22"/>
      <c r="G4009" s="23"/>
      <c r="H4009" s="24"/>
      <c r="Q4009" s="2"/>
      <c r="R4009" s="2"/>
    </row>
    <row r="4010" spans="1:18" ht="15.75" customHeight="1" x14ac:dyDescent="0.3">
      <c r="A4010" s="11"/>
      <c r="B4010" s="11"/>
      <c r="D4010" s="21"/>
      <c r="E4010" s="22"/>
      <c r="G4010" s="23"/>
      <c r="H4010" s="24"/>
      <c r="Q4010" s="2"/>
      <c r="R4010" s="2"/>
    </row>
    <row r="4011" spans="1:18" ht="15.75" customHeight="1" x14ac:dyDescent="0.3">
      <c r="A4011" s="11"/>
      <c r="B4011" s="11"/>
      <c r="D4011" s="21"/>
      <c r="E4011" s="22"/>
      <c r="G4011" s="23"/>
      <c r="H4011" s="24"/>
      <c r="Q4011" s="2"/>
      <c r="R4011" s="2"/>
    </row>
    <row r="4012" spans="1:18" ht="15.75" customHeight="1" x14ac:dyDescent="0.3">
      <c r="A4012" s="11"/>
      <c r="B4012" s="11"/>
      <c r="D4012" s="21"/>
      <c r="E4012" s="22"/>
      <c r="G4012" s="23"/>
      <c r="H4012" s="24"/>
      <c r="Q4012" s="2"/>
      <c r="R4012" s="2"/>
    </row>
    <row r="4013" spans="1:18" ht="15.75" customHeight="1" x14ac:dyDescent="0.3">
      <c r="A4013" s="11"/>
      <c r="B4013" s="11"/>
      <c r="D4013" s="21"/>
      <c r="E4013" s="22"/>
      <c r="G4013" s="23"/>
      <c r="H4013" s="24"/>
      <c r="Q4013" s="2"/>
      <c r="R4013" s="2"/>
    </row>
    <row r="4014" spans="1:18" ht="15.75" customHeight="1" x14ac:dyDescent="0.3">
      <c r="A4014" s="11"/>
      <c r="B4014" s="11"/>
      <c r="D4014" s="21"/>
      <c r="E4014" s="22"/>
      <c r="G4014" s="23"/>
      <c r="H4014" s="24"/>
      <c r="Q4014" s="2"/>
      <c r="R4014" s="2"/>
    </row>
    <row r="4015" spans="1:18" ht="15.75" customHeight="1" x14ac:dyDescent="0.3">
      <c r="A4015" s="11"/>
      <c r="B4015" s="11"/>
      <c r="D4015" s="21"/>
      <c r="E4015" s="22"/>
      <c r="G4015" s="23"/>
      <c r="H4015" s="24"/>
      <c r="Q4015" s="2"/>
      <c r="R4015" s="2"/>
    </row>
    <row r="4016" spans="1:18" ht="15.75" customHeight="1" x14ac:dyDescent="0.3">
      <c r="A4016" s="11"/>
      <c r="B4016" s="11"/>
      <c r="D4016" s="21"/>
      <c r="E4016" s="22"/>
      <c r="G4016" s="23"/>
      <c r="H4016" s="24"/>
      <c r="Q4016" s="2"/>
      <c r="R4016" s="2"/>
    </row>
    <row r="4017" spans="1:18" ht="15.75" customHeight="1" x14ac:dyDescent="0.3">
      <c r="A4017" s="11"/>
      <c r="B4017" s="11"/>
      <c r="D4017" s="21"/>
      <c r="E4017" s="22"/>
      <c r="G4017" s="23"/>
      <c r="H4017" s="24"/>
      <c r="Q4017" s="2"/>
      <c r="R4017" s="2"/>
    </row>
    <row r="4018" spans="1:18" ht="15.75" customHeight="1" x14ac:dyDescent="0.3">
      <c r="A4018" s="11"/>
      <c r="B4018" s="11"/>
      <c r="D4018" s="21"/>
      <c r="E4018" s="22"/>
      <c r="G4018" s="23"/>
      <c r="H4018" s="24"/>
      <c r="Q4018" s="2"/>
      <c r="R4018" s="2"/>
    </row>
    <row r="4019" spans="1:18" ht="15.75" customHeight="1" x14ac:dyDescent="0.3">
      <c r="A4019" s="11"/>
      <c r="B4019" s="11"/>
      <c r="D4019" s="21"/>
      <c r="E4019" s="22"/>
      <c r="G4019" s="23"/>
      <c r="H4019" s="24"/>
      <c r="Q4019" s="2"/>
      <c r="R4019" s="2"/>
    </row>
    <row r="4020" spans="1:18" ht="15.75" customHeight="1" x14ac:dyDescent="0.3">
      <c r="A4020" s="11"/>
      <c r="B4020" s="11"/>
      <c r="D4020" s="21"/>
      <c r="E4020" s="22"/>
      <c r="G4020" s="23"/>
      <c r="H4020" s="24"/>
      <c r="Q4020" s="2"/>
      <c r="R4020" s="2"/>
    </row>
    <row r="4021" spans="1:18" ht="15.75" customHeight="1" x14ac:dyDescent="0.3">
      <c r="A4021" s="11"/>
      <c r="B4021" s="11"/>
      <c r="D4021" s="21"/>
      <c r="E4021" s="22"/>
      <c r="G4021" s="23"/>
      <c r="H4021" s="24"/>
      <c r="Q4021" s="2"/>
      <c r="R4021" s="2"/>
    </row>
    <row r="4022" spans="1:18" ht="15.75" customHeight="1" x14ac:dyDescent="0.3">
      <c r="A4022" s="11"/>
      <c r="B4022" s="11"/>
      <c r="D4022" s="21"/>
      <c r="E4022" s="22"/>
      <c r="G4022" s="23"/>
      <c r="H4022" s="24"/>
      <c r="Q4022" s="2"/>
      <c r="R4022" s="2"/>
    </row>
    <row r="4023" spans="1:18" ht="15.75" customHeight="1" x14ac:dyDescent="0.3">
      <c r="A4023" s="11"/>
      <c r="B4023" s="11"/>
      <c r="D4023" s="21"/>
      <c r="E4023" s="22"/>
      <c r="G4023" s="23"/>
      <c r="H4023" s="24"/>
      <c r="Q4023" s="2"/>
      <c r="R4023" s="2"/>
    </row>
    <row r="4024" spans="1:18" ht="15.75" customHeight="1" x14ac:dyDescent="0.3">
      <c r="A4024" s="11"/>
      <c r="B4024" s="11"/>
      <c r="D4024" s="21"/>
      <c r="E4024" s="22"/>
      <c r="G4024" s="23"/>
      <c r="H4024" s="24"/>
      <c r="Q4024" s="2"/>
      <c r="R4024" s="2"/>
    </row>
    <row r="4025" spans="1:18" ht="15.75" customHeight="1" x14ac:dyDescent="0.3">
      <c r="A4025" s="11"/>
      <c r="B4025" s="11"/>
      <c r="D4025" s="21"/>
      <c r="E4025" s="22"/>
      <c r="G4025" s="23"/>
      <c r="H4025" s="24"/>
      <c r="Q4025" s="2"/>
      <c r="R4025" s="2"/>
    </row>
    <row r="4026" spans="1:18" ht="15.75" customHeight="1" x14ac:dyDescent="0.3">
      <c r="A4026" s="11"/>
      <c r="B4026" s="11"/>
      <c r="D4026" s="21"/>
      <c r="E4026" s="22"/>
      <c r="G4026" s="23"/>
      <c r="H4026" s="24"/>
      <c r="Q4026" s="2"/>
      <c r="R4026" s="2"/>
    </row>
    <row r="4027" spans="1:18" ht="15.75" customHeight="1" x14ac:dyDescent="0.3">
      <c r="A4027" s="11"/>
      <c r="B4027" s="11"/>
      <c r="D4027" s="21"/>
      <c r="E4027" s="22"/>
      <c r="G4027" s="23"/>
      <c r="H4027" s="24"/>
      <c r="Q4027" s="2"/>
      <c r="R4027" s="2"/>
    </row>
    <row r="4028" spans="1:18" ht="15.75" customHeight="1" x14ac:dyDescent="0.3">
      <c r="A4028" s="11"/>
      <c r="B4028" s="11"/>
      <c r="D4028" s="21"/>
      <c r="E4028" s="22"/>
      <c r="G4028" s="23"/>
      <c r="H4028" s="24"/>
      <c r="Q4028" s="2"/>
      <c r="R4028" s="2"/>
    </row>
    <row r="4029" spans="1:18" ht="15.75" customHeight="1" x14ac:dyDescent="0.3">
      <c r="A4029" s="11"/>
      <c r="B4029" s="11"/>
      <c r="D4029" s="21"/>
      <c r="E4029" s="22"/>
      <c r="G4029" s="23"/>
      <c r="H4029" s="24"/>
      <c r="Q4029" s="2"/>
      <c r="R4029" s="2"/>
    </row>
    <row r="4030" spans="1:18" ht="15.75" customHeight="1" x14ac:dyDescent="0.3">
      <c r="A4030" s="11"/>
      <c r="B4030" s="11"/>
      <c r="D4030" s="21"/>
      <c r="E4030" s="22"/>
      <c r="G4030" s="23"/>
      <c r="H4030" s="24"/>
      <c r="Q4030" s="2"/>
      <c r="R4030" s="2"/>
    </row>
    <row r="4031" spans="1:18" ht="15.75" customHeight="1" x14ac:dyDescent="0.3">
      <c r="A4031" s="11"/>
      <c r="B4031" s="11"/>
      <c r="D4031" s="21"/>
      <c r="E4031" s="22"/>
      <c r="G4031" s="23"/>
      <c r="H4031" s="24"/>
      <c r="Q4031" s="2"/>
      <c r="R4031" s="2"/>
    </row>
    <row r="4032" spans="1:18" ht="15.75" customHeight="1" x14ac:dyDescent="0.3">
      <c r="A4032" s="11"/>
      <c r="B4032" s="11"/>
      <c r="D4032" s="21"/>
      <c r="E4032" s="22"/>
      <c r="G4032" s="23"/>
      <c r="H4032" s="24"/>
      <c r="Q4032" s="2"/>
      <c r="R4032" s="2"/>
    </row>
    <row r="4033" spans="1:18" ht="15.75" customHeight="1" x14ac:dyDescent="0.3">
      <c r="A4033" s="11"/>
      <c r="B4033" s="11"/>
      <c r="D4033" s="21"/>
      <c r="E4033" s="22"/>
      <c r="G4033" s="23"/>
      <c r="H4033" s="24"/>
      <c r="Q4033" s="2"/>
      <c r="R4033" s="2"/>
    </row>
    <row r="4034" spans="1:18" ht="15.75" customHeight="1" x14ac:dyDescent="0.3">
      <c r="A4034" s="11"/>
      <c r="B4034" s="11"/>
      <c r="D4034" s="21"/>
      <c r="E4034" s="22"/>
      <c r="G4034" s="23"/>
      <c r="H4034" s="24"/>
      <c r="Q4034" s="2"/>
      <c r="R4034" s="2"/>
    </row>
    <row r="4035" spans="1:18" ht="15.75" customHeight="1" x14ac:dyDescent="0.3">
      <c r="A4035" s="11"/>
      <c r="B4035" s="11"/>
      <c r="D4035" s="21"/>
      <c r="E4035" s="22"/>
      <c r="G4035" s="23"/>
      <c r="H4035" s="24"/>
      <c r="Q4035" s="2"/>
      <c r="R4035" s="2"/>
    </row>
    <row r="4036" spans="1:18" ht="15.75" customHeight="1" x14ac:dyDescent="0.3">
      <c r="A4036" s="11"/>
      <c r="B4036" s="11"/>
      <c r="D4036" s="21"/>
      <c r="E4036" s="22"/>
      <c r="G4036" s="23"/>
      <c r="H4036" s="24"/>
      <c r="Q4036" s="2"/>
      <c r="R4036" s="2"/>
    </row>
    <row r="4037" spans="1:18" ht="15.75" customHeight="1" x14ac:dyDescent="0.3">
      <c r="A4037" s="11"/>
      <c r="B4037" s="11"/>
      <c r="D4037" s="21"/>
      <c r="E4037" s="22"/>
      <c r="G4037" s="23"/>
      <c r="H4037" s="24"/>
      <c r="Q4037" s="2"/>
      <c r="R4037" s="2"/>
    </row>
    <row r="4038" spans="1:18" ht="15.75" customHeight="1" x14ac:dyDescent="0.3">
      <c r="A4038" s="11"/>
      <c r="B4038" s="11"/>
      <c r="D4038" s="21"/>
      <c r="E4038" s="22"/>
      <c r="G4038" s="23"/>
      <c r="H4038" s="24"/>
      <c r="Q4038" s="2"/>
      <c r="R4038" s="2"/>
    </row>
    <row r="4039" spans="1:18" ht="15.75" customHeight="1" x14ac:dyDescent="0.3">
      <c r="A4039" s="11"/>
      <c r="B4039" s="11"/>
      <c r="D4039" s="21"/>
      <c r="E4039" s="22"/>
      <c r="G4039" s="23"/>
      <c r="H4039" s="24"/>
      <c r="Q4039" s="2"/>
      <c r="R4039" s="2"/>
    </row>
    <row r="4040" spans="1:18" ht="15.75" customHeight="1" x14ac:dyDescent="0.3">
      <c r="A4040" s="11"/>
      <c r="B4040" s="11"/>
      <c r="D4040" s="21"/>
      <c r="E4040" s="22"/>
      <c r="G4040" s="23"/>
      <c r="H4040" s="24"/>
      <c r="Q4040" s="2"/>
      <c r="R4040" s="2"/>
    </row>
    <row r="4041" spans="1:18" ht="15.75" customHeight="1" x14ac:dyDescent="0.3">
      <c r="A4041" s="11"/>
      <c r="B4041" s="11"/>
      <c r="D4041" s="21"/>
      <c r="E4041" s="22"/>
      <c r="G4041" s="23"/>
      <c r="H4041" s="24"/>
      <c r="Q4041" s="2"/>
      <c r="R4041" s="2"/>
    </row>
    <row r="4042" spans="1:18" ht="15.75" customHeight="1" x14ac:dyDescent="0.3">
      <c r="A4042" s="11"/>
      <c r="B4042" s="11"/>
      <c r="D4042" s="21"/>
      <c r="E4042" s="22"/>
      <c r="G4042" s="23"/>
      <c r="H4042" s="24"/>
      <c r="Q4042" s="2"/>
      <c r="R4042" s="2"/>
    </row>
    <row r="4043" spans="1:18" ht="15.75" customHeight="1" x14ac:dyDescent="0.3">
      <c r="A4043" s="11"/>
      <c r="B4043" s="11"/>
      <c r="D4043" s="21"/>
      <c r="E4043" s="22"/>
      <c r="G4043" s="23"/>
      <c r="H4043" s="24"/>
      <c r="Q4043" s="2"/>
      <c r="R4043" s="2"/>
    </row>
    <row r="4044" spans="1:18" ht="15.75" customHeight="1" x14ac:dyDescent="0.3">
      <c r="A4044" s="11"/>
      <c r="B4044" s="11"/>
      <c r="D4044" s="21"/>
      <c r="E4044" s="22"/>
      <c r="G4044" s="23"/>
      <c r="H4044" s="24"/>
      <c r="Q4044" s="2"/>
      <c r="R4044" s="2"/>
    </row>
    <row r="4045" spans="1:18" ht="15.75" customHeight="1" x14ac:dyDescent="0.3">
      <c r="A4045" s="11"/>
      <c r="B4045" s="11"/>
      <c r="D4045" s="21"/>
      <c r="E4045" s="22"/>
      <c r="G4045" s="23"/>
      <c r="H4045" s="24"/>
      <c r="Q4045" s="2"/>
      <c r="R4045" s="2"/>
    </row>
    <row r="4046" spans="1:18" ht="15.75" customHeight="1" x14ac:dyDescent="0.3">
      <c r="A4046" s="11"/>
      <c r="B4046" s="11"/>
      <c r="D4046" s="21"/>
      <c r="E4046" s="22"/>
      <c r="G4046" s="23"/>
      <c r="H4046" s="24"/>
      <c r="Q4046" s="2"/>
      <c r="R4046" s="2"/>
    </row>
    <row r="4047" spans="1:18" ht="15.75" customHeight="1" x14ac:dyDescent="0.3">
      <c r="A4047" s="11"/>
      <c r="B4047" s="11"/>
      <c r="D4047" s="21"/>
      <c r="E4047" s="22"/>
      <c r="G4047" s="23"/>
      <c r="H4047" s="24"/>
      <c r="Q4047" s="2"/>
      <c r="R4047" s="2"/>
    </row>
    <row r="4048" spans="1:18" ht="15.75" customHeight="1" x14ac:dyDescent="0.3">
      <c r="A4048" s="11"/>
      <c r="B4048" s="11"/>
      <c r="D4048" s="21"/>
      <c r="E4048" s="22"/>
      <c r="G4048" s="23"/>
      <c r="H4048" s="24"/>
      <c r="Q4048" s="2"/>
      <c r="R4048" s="2"/>
    </row>
    <row r="4049" spans="1:18" ht="15.75" customHeight="1" x14ac:dyDescent="0.3">
      <c r="A4049" s="11"/>
      <c r="B4049" s="11"/>
      <c r="D4049" s="21"/>
      <c r="E4049" s="22"/>
      <c r="G4049" s="23"/>
      <c r="H4049" s="24"/>
      <c r="Q4049" s="2"/>
      <c r="R4049" s="2"/>
    </row>
    <row r="4050" spans="1:18" ht="15.75" customHeight="1" x14ac:dyDescent="0.3">
      <c r="A4050" s="11"/>
      <c r="B4050" s="11"/>
      <c r="D4050" s="21"/>
      <c r="E4050" s="22"/>
      <c r="G4050" s="23"/>
      <c r="H4050" s="24"/>
      <c r="Q4050" s="2"/>
      <c r="R4050" s="2"/>
    </row>
    <row r="4051" spans="1:18" ht="15.75" customHeight="1" x14ac:dyDescent="0.3">
      <c r="A4051" s="11"/>
      <c r="B4051" s="11"/>
      <c r="D4051" s="21"/>
      <c r="E4051" s="22"/>
      <c r="G4051" s="23"/>
      <c r="H4051" s="24"/>
      <c r="Q4051" s="2"/>
      <c r="R4051" s="2"/>
    </row>
    <row r="4052" spans="1:18" ht="15.75" customHeight="1" x14ac:dyDescent="0.3">
      <c r="A4052" s="11"/>
      <c r="B4052" s="11"/>
      <c r="D4052" s="21"/>
      <c r="E4052" s="22"/>
      <c r="G4052" s="23"/>
      <c r="H4052" s="24"/>
      <c r="Q4052" s="2"/>
      <c r="R4052" s="2"/>
    </row>
    <row r="4053" spans="1:18" ht="15.75" customHeight="1" x14ac:dyDescent="0.3">
      <c r="A4053" s="11"/>
      <c r="B4053" s="11"/>
      <c r="D4053" s="21"/>
      <c r="E4053" s="22"/>
      <c r="G4053" s="23"/>
      <c r="H4053" s="24"/>
      <c r="Q4053" s="2"/>
      <c r="R4053" s="2"/>
    </row>
    <row r="4054" spans="1:18" ht="15.75" customHeight="1" x14ac:dyDescent="0.3">
      <c r="A4054" s="11"/>
      <c r="B4054" s="11"/>
      <c r="D4054" s="21"/>
      <c r="E4054" s="22"/>
      <c r="G4054" s="23"/>
      <c r="H4054" s="24"/>
      <c r="Q4054" s="2"/>
      <c r="R4054" s="2"/>
    </row>
    <row r="4055" spans="1:18" ht="15.75" customHeight="1" x14ac:dyDescent="0.3">
      <c r="A4055" s="11"/>
      <c r="B4055" s="11"/>
      <c r="D4055" s="21"/>
      <c r="E4055" s="22"/>
      <c r="G4055" s="23"/>
      <c r="H4055" s="24"/>
      <c r="Q4055" s="2"/>
      <c r="R4055" s="2"/>
    </row>
    <row r="4056" spans="1:18" ht="15.75" customHeight="1" x14ac:dyDescent="0.3">
      <c r="A4056" s="11"/>
      <c r="B4056" s="11"/>
      <c r="D4056" s="21"/>
      <c r="E4056" s="22"/>
      <c r="G4056" s="23"/>
      <c r="H4056" s="24"/>
      <c r="Q4056" s="2"/>
      <c r="R4056" s="2"/>
    </row>
    <row r="4057" spans="1:18" ht="15.75" customHeight="1" x14ac:dyDescent="0.3">
      <c r="A4057" s="11"/>
      <c r="B4057" s="11"/>
      <c r="D4057" s="21"/>
      <c r="E4057" s="22"/>
      <c r="G4057" s="23"/>
      <c r="H4057" s="24"/>
      <c r="Q4057" s="2"/>
      <c r="R4057" s="2"/>
    </row>
    <row r="4058" spans="1:18" ht="15.75" customHeight="1" x14ac:dyDescent="0.3">
      <c r="A4058" s="11"/>
      <c r="B4058" s="11"/>
      <c r="D4058" s="21"/>
      <c r="E4058" s="22"/>
      <c r="G4058" s="23"/>
      <c r="H4058" s="24"/>
      <c r="Q4058" s="2"/>
      <c r="R4058" s="2"/>
    </row>
    <row r="4059" spans="1:18" ht="15.75" customHeight="1" x14ac:dyDescent="0.3">
      <c r="A4059" s="11"/>
      <c r="B4059" s="11"/>
      <c r="D4059" s="21"/>
      <c r="E4059" s="22"/>
      <c r="G4059" s="23"/>
      <c r="H4059" s="24"/>
      <c r="Q4059" s="2"/>
      <c r="R4059" s="2"/>
    </row>
    <row r="4060" spans="1:18" ht="15.75" customHeight="1" x14ac:dyDescent="0.3">
      <c r="A4060" s="11"/>
      <c r="B4060" s="11"/>
      <c r="D4060" s="21"/>
      <c r="E4060" s="22"/>
      <c r="G4060" s="23"/>
      <c r="H4060" s="24"/>
      <c r="Q4060" s="2"/>
      <c r="R4060" s="2"/>
    </row>
    <row r="4061" spans="1:18" ht="15.75" customHeight="1" x14ac:dyDescent="0.3">
      <c r="A4061" s="11"/>
      <c r="B4061" s="11"/>
      <c r="D4061" s="21"/>
      <c r="E4061" s="22"/>
      <c r="G4061" s="23"/>
      <c r="H4061" s="24"/>
      <c r="Q4061" s="2"/>
      <c r="R4061" s="2"/>
    </row>
    <row r="4062" spans="1:18" ht="15.75" customHeight="1" x14ac:dyDescent="0.3">
      <c r="A4062" s="11"/>
      <c r="B4062" s="11"/>
      <c r="D4062" s="21"/>
      <c r="E4062" s="22"/>
      <c r="G4062" s="23"/>
      <c r="H4062" s="24"/>
      <c r="Q4062" s="2"/>
      <c r="R4062" s="2"/>
    </row>
    <row r="4063" spans="1:18" ht="15.75" customHeight="1" x14ac:dyDescent="0.3">
      <c r="A4063" s="11"/>
      <c r="B4063" s="11"/>
      <c r="D4063" s="21"/>
      <c r="E4063" s="22"/>
      <c r="G4063" s="23"/>
      <c r="H4063" s="24"/>
      <c r="Q4063" s="2"/>
      <c r="R4063" s="2"/>
    </row>
    <row r="4064" spans="1:18" ht="15.75" customHeight="1" x14ac:dyDescent="0.3">
      <c r="A4064" s="11"/>
      <c r="B4064" s="11"/>
      <c r="D4064" s="21"/>
      <c r="E4064" s="22"/>
      <c r="G4064" s="23"/>
      <c r="H4064" s="24"/>
      <c r="Q4064" s="2"/>
      <c r="R4064" s="2"/>
    </row>
    <row r="4065" spans="1:18" ht="15.75" customHeight="1" x14ac:dyDescent="0.3">
      <c r="A4065" s="11"/>
      <c r="B4065" s="11"/>
      <c r="D4065" s="21"/>
      <c r="E4065" s="22"/>
      <c r="G4065" s="23"/>
      <c r="H4065" s="24"/>
      <c r="Q4065" s="2"/>
      <c r="R4065" s="2"/>
    </row>
    <row r="4066" spans="1:18" ht="15.75" customHeight="1" x14ac:dyDescent="0.3">
      <c r="A4066" s="11"/>
      <c r="B4066" s="11"/>
      <c r="D4066" s="21"/>
      <c r="E4066" s="22"/>
      <c r="G4066" s="23"/>
      <c r="H4066" s="24"/>
      <c r="Q4066" s="2"/>
      <c r="R4066" s="2"/>
    </row>
    <row r="4067" spans="1:18" ht="15.75" customHeight="1" x14ac:dyDescent="0.3">
      <c r="A4067" s="11"/>
      <c r="B4067" s="11"/>
      <c r="D4067" s="21"/>
      <c r="E4067" s="22"/>
      <c r="G4067" s="23"/>
      <c r="H4067" s="24"/>
      <c r="Q4067" s="2"/>
      <c r="R4067" s="2"/>
    </row>
    <row r="4068" spans="1:18" ht="15.75" customHeight="1" x14ac:dyDescent="0.3">
      <c r="A4068" s="11"/>
      <c r="B4068" s="11"/>
      <c r="D4068" s="21"/>
      <c r="E4068" s="22"/>
      <c r="G4068" s="23"/>
      <c r="H4068" s="24"/>
      <c r="Q4068" s="2"/>
      <c r="R4068" s="2"/>
    </row>
    <row r="4069" spans="1:18" ht="15.75" customHeight="1" x14ac:dyDescent="0.3">
      <c r="A4069" s="11"/>
      <c r="B4069" s="11"/>
      <c r="D4069" s="21"/>
      <c r="E4069" s="22"/>
      <c r="G4069" s="23"/>
      <c r="H4069" s="24"/>
      <c r="Q4069" s="2"/>
      <c r="R4069" s="2"/>
    </row>
    <row r="4070" spans="1:18" ht="15.75" customHeight="1" x14ac:dyDescent="0.3">
      <c r="A4070" s="11"/>
      <c r="B4070" s="11"/>
      <c r="D4070" s="21"/>
      <c r="E4070" s="22"/>
      <c r="G4070" s="23"/>
      <c r="H4070" s="24"/>
      <c r="Q4070" s="2"/>
      <c r="R4070" s="2"/>
    </row>
    <row r="4071" spans="1:18" ht="15.75" customHeight="1" x14ac:dyDescent="0.3">
      <c r="A4071" s="11"/>
      <c r="B4071" s="11"/>
      <c r="D4071" s="21"/>
      <c r="E4071" s="22"/>
      <c r="G4071" s="23"/>
      <c r="H4071" s="24"/>
      <c r="Q4071" s="2"/>
      <c r="R4071" s="2"/>
    </row>
    <row r="4072" spans="1:18" ht="15.75" customHeight="1" x14ac:dyDescent="0.3">
      <c r="A4072" s="11"/>
      <c r="B4072" s="11"/>
      <c r="D4072" s="21"/>
      <c r="E4072" s="22"/>
      <c r="G4072" s="23"/>
      <c r="H4072" s="24"/>
      <c r="Q4072" s="2"/>
      <c r="R4072" s="2"/>
    </row>
    <row r="4073" spans="1:18" ht="15.75" customHeight="1" x14ac:dyDescent="0.3">
      <c r="A4073" s="11"/>
      <c r="B4073" s="11"/>
      <c r="D4073" s="21"/>
      <c r="E4073" s="22"/>
      <c r="G4073" s="23"/>
      <c r="H4073" s="24"/>
      <c r="Q4073" s="2"/>
      <c r="R4073" s="2"/>
    </row>
    <row r="4074" spans="1:18" ht="15.75" customHeight="1" x14ac:dyDescent="0.3">
      <c r="A4074" s="11"/>
      <c r="B4074" s="11"/>
      <c r="D4074" s="21"/>
      <c r="E4074" s="22"/>
      <c r="G4074" s="23"/>
      <c r="H4074" s="24"/>
      <c r="Q4074" s="2"/>
      <c r="R4074" s="2"/>
    </row>
    <row r="4075" spans="1:18" ht="15.75" customHeight="1" x14ac:dyDescent="0.3">
      <c r="A4075" s="11"/>
      <c r="B4075" s="11"/>
      <c r="D4075" s="21"/>
      <c r="E4075" s="22"/>
      <c r="G4075" s="23"/>
      <c r="H4075" s="24"/>
      <c r="Q4075" s="2"/>
      <c r="R4075" s="2"/>
    </row>
    <row r="4076" spans="1:18" ht="15.75" customHeight="1" x14ac:dyDescent="0.3">
      <c r="A4076" s="11"/>
      <c r="B4076" s="11"/>
      <c r="D4076" s="21"/>
      <c r="E4076" s="22"/>
      <c r="G4076" s="23"/>
      <c r="H4076" s="24"/>
      <c r="Q4076" s="2"/>
      <c r="R4076" s="2"/>
    </row>
    <row r="4077" spans="1:18" ht="15.75" customHeight="1" x14ac:dyDescent="0.3">
      <c r="A4077" s="11"/>
      <c r="B4077" s="11"/>
      <c r="D4077" s="21"/>
      <c r="E4077" s="22"/>
      <c r="G4077" s="23"/>
      <c r="H4077" s="24"/>
      <c r="Q4077" s="2"/>
      <c r="R4077" s="2"/>
    </row>
    <row r="4078" spans="1:18" ht="15.75" customHeight="1" x14ac:dyDescent="0.3">
      <c r="A4078" s="11"/>
      <c r="B4078" s="11"/>
      <c r="D4078" s="21"/>
      <c r="E4078" s="22"/>
      <c r="G4078" s="23"/>
      <c r="H4078" s="24"/>
      <c r="Q4078" s="2"/>
      <c r="R4078" s="2"/>
    </row>
    <row r="4079" spans="1:18" ht="15.75" customHeight="1" x14ac:dyDescent="0.3">
      <c r="A4079" s="11"/>
      <c r="B4079" s="11"/>
      <c r="D4079" s="21"/>
      <c r="E4079" s="22"/>
      <c r="G4079" s="23"/>
      <c r="H4079" s="24"/>
      <c r="Q4079" s="2"/>
      <c r="R4079" s="2"/>
    </row>
    <row r="4080" spans="1:18" ht="15.75" customHeight="1" x14ac:dyDescent="0.3">
      <c r="A4080" s="11"/>
      <c r="B4080" s="11"/>
      <c r="D4080" s="21"/>
      <c r="E4080" s="22"/>
      <c r="G4080" s="23"/>
      <c r="H4080" s="24"/>
      <c r="Q4080" s="2"/>
      <c r="R4080" s="2"/>
    </row>
    <row r="4081" spans="1:18" ht="15.75" customHeight="1" x14ac:dyDescent="0.3">
      <c r="A4081" s="11"/>
      <c r="B4081" s="11"/>
      <c r="D4081" s="21"/>
      <c r="E4081" s="22"/>
      <c r="G4081" s="23"/>
      <c r="H4081" s="24"/>
      <c r="Q4081" s="2"/>
      <c r="R4081" s="2"/>
    </row>
    <row r="4082" spans="1:18" ht="15.75" customHeight="1" x14ac:dyDescent="0.3">
      <c r="A4082" s="11"/>
      <c r="B4082" s="11"/>
      <c r="D4082" s="21"/>
      <c r="E4082" s="22"/>
      <c r="G4082" s="23"/>
      <c r="H4082" s="24"/>
      <c r="Q4082" s="2"/>
      <c r="R4082" s="2"/>
    </row>
    <row r="4083" spans="1:18" ht="15.75" customHeight="1" x14ac:dyDescent="0.3">
      <c r="A4083" s="11"/>
      <c r="B4083" s="11"/>
      <c r="D4083" s="21"/>
      <c r="E4083" s="22"/>
      <c r="G4083" s="23"/>
      <c r="H4083" s="24"/>
      <c r="Q4083" s="2"/>
      <c r="R4083" s="2"/>
    </row>
    <row r="4084" spans="1:18" ht="15.75" customHeight="1" x14ac:dyDescent="0.3">
      <c r="A4084" s="11"/>
      <c r="B4084" s="11"/>
      <c r="D4084" s="21"/>
      <c r="E4084" s="22"/>
      <c r="G4084" s="23"/>
      <c r="H4084" s="24"/>
      <c r="Q4084" s="2"/>
      <c r="R4084" s="2"/>
    </row>
    <row r="4085" spans="1:18" ht="15.75" customHeight="1" x14ac:dyDescent="0.3">
      <c r="A4085" s="11"/>
      <c r="B4085" s="11"/>
      <c r="D4085" s="21"/>
      <c r="E4085" s="22"/>
      <c r="G4085" s="23"/>
      <c r="H4085" s="24"/>
      <c r="Q4085" s="2"/>
      <c r="R4085" s="2"/>
    </row>
    <row r="4086" spans="1:18" ht="15.75" customHeight="1" x14ac:dyDescent="0.3">
      <c r="A4086" s="11"/>
      <c r="B4086" s="11"/>
      <c r="D4086" s="21"/>
      <c r="E4086" s="22"/>
      <c r="G4086" s="23"/>
      <c r="H4086" s="24"/>
      <c r="Q4086" s="2"/>
      <c r="R4086" s="2"/>
    </row>
    <row r="4087" spans="1:18" ht="15.75" customHeight="1" x14ac:dyDescent="0.3">
      <c r="A4087" s="11"/>
      <c r="B4087" s="11"/>
      <c r="D4087" s="21"/>
      <c r="E4087" s="22"/>
      <c r="G4087" s="23"/>
      <c r="H4087" s="24"/>
      <c r="Q4087" s="2"/>
      <c r="R4087" s="2"/>
    </row>
    <row r="4088" spans="1:18" ht="15.75" customHeight="1" x14ac:dyDescent="0.3">
      <c r="A4088" s="11"/>
      <c r="B4088" s="11"/>
      <c r="D4088" s="21"/>
      <c r="E4088" s="22"/>
      <c r="G4088" s="23"/>
      <c r="H4088" s="24"/>
      <c r="Q4088" s="2"/>
      <c r="R4088" s="2"/>
    </row>
    <row r="4089" spans="1:18" ht="15.75" customHeight="1" x14ac:dyDescent="0.3">
      <c r="A4089" s="11"/>
      <c r="B4089" s="11"/>
      <c r="D4089" s="21"/>
      <c r="E4089" s="22"/>
      <c r="G4089" s="23"/>
      <c r="H4089" s="24"/>
      <c r="Q4089" s="2"/>
      <c r="R4089" s="2"/>
    </row>
    <row r="4090" spans="1:18" ht="15.75" customHeight="1" x14ac:dyDescent="0.3">
      <c r="A4090" s="11"/>
      <c r="B4090" s="11"/>
      <c r="D4090" s="21"/>
      <c r="E4090" s="22"/>
      <c r="G4090" s="23"/>
      <c r="H4090" s="24"/>
      <c r="Q4090" s="2"/>
      <c r="R4090" s="2"/>
    </row>
    <row r="4091" spans="1:18" ht="15.75" customHeight="1" x14ac:dyDescent="0.3">
      <c r="A4091" s="11"/>
      <c r="B4091" s="11"/>
      <c r="D4091" s="21"/>
      <c r="E4091" s="22"/>
      <c r="G4091" s="23"/>
      <c r="H4091" s="24"/>
      <c r="Q4091" s="2"/>
      <c r="R4091" s="2"/>
    </row>
    <row r="4092" spans="1:18" ht="15.75" customHeight="1" x14ac:dyDescent="0.3">
      <c r="A4092" s="11"/>
      <c r="B4092" s="11"/>
      <c r="D4092" s="21"/>
      <c r="E4092" s="22"/>
      <c r="G4092" s="23"/>
      <c r="H4092" s="24"/>
      <c r="Q4092" s="2"/>
      <c r="R4092" s="2"/>
    </row>
    <row r="4093" spans="1:18" ht="15.75" customHeight="1" x14ac:dyDescent="0.3">
      <c r="A4093" s="11"/>
      <c r="B4093" s="11"/>
      <c r="D4093" s="21"/>
      <c r="E4093" s="22"/>
      <c r="G4093" s="23"/>
      <c r="H4093" s="24"/>
      <c r="Q4093" s="2"/>
      <c r="R4093" s="2"/>
    </row>
    <row r="4094" spans="1:18" ht="15.75" customHeight="1" x14ac:dyDescent="0.3">
      <c r="A4094" s="11"/>
      <c r="B4094" s="11"/>
      <c r="D4094" s="21"/>
      <c r="E4094" s="22"/>
      <c r="G4094" s="23"/>
      <c r="H4094" s="24"/>
      <c r="Q4094" s="2"/>
      <c r="R4094" s="2"/>
    </row>
    <row r="4095" spans="1:18" ht="15.75" customHeight="1" x14ac:dyDescent="0.3">
      <c r="A4095" s="11"/>
      <c r="B4095" s="11"/>
      <c r="D4095" s="21"/>
      <c r="E4095" s="22"/>
      <c r="G4095" s="23"/>
      <c r="H4095" s="24"/>
      <c r="Q4095" s="2"/>
      <c r="R4095" s="2"/>
    </row>
    <row r="4096" spans="1:18" ht="15.75" customHeight="1" x14ac:dyDescent="0.3">
      <c r="A4096" s="11"/>
      <c r="B4096" s="11"/>
      <c r="D4096" s="21"/>
      <c r="E4096" s="22"/>
      <c r="G4096" s="23"/>
      <c r="H4096" s="24"/>
      <c r="Q4096" s="2"/>
      <c r="R4096" s="2"/>
    </row>
    <row r="4097" spans="1:18" ht="15.75" customHeight="1" x14ac:dyDescent="0.3">
      <c r="A4097" s="11"/>
      <c r="B4097" s="11"/>
      <c r="D4097" s="21"/>
      <c r="E4097" s="22"/>
      <c r="G4097" s="23"/>
      <c r="H4097" s="24"/>
      <c r="Q4097" s="2"/>
      <c r="R4097" s="2"/>
    </row>
    <row r="4098" spans="1:18" ht="15.75" customHeight="1" x14ac:dyDescent="0.3">
      <c r="A4098" s="11"/>
      <c r="B4098" s="11"/>
      <c r="D4098" s="21"/>
      <c r="E4098" s="22"/>
      <c r="G4098" s="23"/>
      <c r="H4098" s="24"/>
      <c r="Q4098" s="2"/>
      <c r="R4098" s="2"/>
    </row>
    <row r="4099" spans="1:18" ht="15.75" customHeight="1" x14ac:dyDescent="0.3">
      <c r="A4099" s="11"/>
      <c r="B4099" s="11"/>
      <c r="D4099" s="21"/>
      <c r="E4099" s="22"/>
      <c r="G4099" s="23"/>
      <c r="H4099" s="24"/>
      <c r="Q4099" s="2"/>
      <c r="R4099" s="2"/>
    </row>
    <row r="4100" spans="1:18" ht="15.75" customHeight="1" x14ac:dyDescent="0.3">
      <c r="A4100" s="11"/>
      <c r="B4100" s="11"/>
      <c r="D4100" s="21"/>
      <c r="E4100" s="22"/>
      <c r="G4100" s="23"/>
      <c r="H4100" s="24"/>
      <c r="Q4100" s="2"/>
      <c r="R4100" s="2"/>
    </row>
    <row r="4101" spans="1:18" ht="15.75" customHeight="1" x14ac:dyDescent="0.3">
      <c r="A4101" s="11"/>
      <c r="B4101" s="11"/>
      <c r="D4101" s="21"/>
      <c r="E4101" s="22"/>
      <c r="G4101" s="23"/>
      <c r="H4101" s="24"/>
      <c r="Q4101" s="2"/>
      <c r="R4101" s="2"/>
    </row>
    <row r="4102" spans="1:18" ht="15.75" customHeight="1" x14ac:dyDescent="0.3">
      <c r="A4102" s="11"/>
      <c r="B4102" s="11"/>
      <c r="D4102" s="21"/>
      <c r="E4102" s="22"/>
      <c r="G4102" s="23"/>
      <c r="H4102" s="24"/>
      <c r="Q4102" s="2"/>
      <c r="R4102" s="2"/>
    </row>
    <row r="4103" spans="1:18" ht="15.75" customHeight="1" x14ac:dyDescent="0.3">
      <c r="A4103" s="11"/>
      <c r="B4103" s="11"/>
      <c r="D4103" s="21"/>
      <c r="E4103" s="22"/>
      <c r="G4103" s="23"/>
      <c r="H4103" s="24"/>
      <c r="Q4103" s="2"/>
      <c r="R4103" s="2"/>
    </row>
    <row r="4104" spans="1:18" ht="15.75" customHeight="1" x14ac:dyDescent="0.3">
      <c r="A4104" s="11"/>
      <c r="B4104" s="11"/>
      <c r="D4104" s="21"/>
      <c r="E4104" s="22"/>
      <c r="G4104" s="23"/>
      <c r="H4104" s="24"/>
      <c r="Q4104" s="2"/>
      <c r="R4104" s="2"/>
    </row>
    <row r="4105" spans="1:18" ht="15.75" customHeight="1" x14ac:dyDescent="0.3">
      <c r="A4105" s="11"/>
      <c r="B4105" s="11"/>
      <c r="D4105" s="21"/>
      <c r="E4105" s="22"/>
      <c r="G4105" s="23"/>
      <c r="H4105" s="24"/>
      <c r="Q4105" s="2"/>
      <c r="R4105" s="2"/>
    </row>
    <row r="4106" spans="1:18" ht="15.75" customHeight="1" x14ac:dyDescent="0.3">
      <c r="A4106" s="11"/>
      <c r="B4106" s="11"/>
      <c r="D4106" s="21"/>
      <c r="E4106" s="22"/>
      <c r="G4106" s="23"/>
      <c r="H4106" s="24"/>
      <c r="Q4106" s="2"/>
      <c r="R4106" s="2"/>
    </row>
    <row r="4107" spans="1:18" ht="15.75" customHeight="1" x14ac:dyDescent="0.3">
      <c r="A4107" s="11"/>
      <c r="B4107" s="11"/>
      <c r="D4107" s="21"/>
      <c r="E4107" s="22"/>
      <c r="G4107" s="23"/>
      <c r="H4107" s="24"/>
      <c r="Q4107" s="2"/>
      <c r="R4107" s="2"/>
    </row>
    <row r="4108" spans="1:18" ht="15.75" customHeight="1" x14ac:dyDescent="0.3">
      <c r="A4108" s="11"/>
      <c r="B4108" s="11"/>
      <c r="D4108" s="21"/>
      <c r="E4108" s="22"/>
      <c r="G4108" s="23"/>
      <c r="H4108" s="24"/>
      <c r="Q4108" s="2"/>
      <c r="R4108" s="2"/>
    </row>
    <row r="4109" spans="1:18" ht="15.75" customHeight="1" x14ac:dyDescent="0.3">
      <c r="A4109" s="11"/>
      <c r="B4109" s="11"/>
      <c r="D4109" s="21"/>
      <c r="E4109" s="22"/>
      <c r="G4109" s="23"/>
      <c r="H4109" s="24"/>
      <c r="Q4109" s="2"/>
      <c r="R4109" s="2"/>
    </row>
    <row r="4110" spans="1:18" ht="15.75" customHeight="1" x14ac:dyDescent="0.3">
      <c r="A4110" s="11"/>
      <c r="B4110" s="11"/>
      <c r="D4110" s="21"/>
      <c r="E4110" s="22"/>
      <c r="G4110" s="23"/>
      <c r="H4110" s="24"/>
      <c r="Q4110" s="2"/>
      <c r="R4110" s="2"/>
    </row>
    <row r="4111" spans="1:18" ht="15.75" customHeight="1" x14ac:dyDescent="0.3">
      <c r="A4111" s="11"/>
      <c r="B4111" s="11"/>
      <c r="D4111" s="21"/>
      <c r="E4111" s="22"/>
      <c r="G4111" s="23"/>
      <c r="H4111" s="24"/>
      <c r="Q4111" s="2"/>
      <c r="R4111" s="2"/>
    </row>
    <row r="4112" spans="1:18" ht="15.75" customHeight="1" x14ac:dyDescent="0.3">
      <c r="A4112" s="11"/>
      <c r="B4112" s="11"/>
      <c r="D4112" s="21"/>
      <c r="E4112" s="22"/>
      <c r="G4112" s="23"/>
      <c r="H4112" s="24"/>
      <c r="Q4112" s="2"/>
      <c r="R4112" s="2"/>
    </row>
    <row r="4113" spans="1:18" ht="15.75" customHeight="1" x14ac:dyDescent="0.3">
      <c r="A4113" s="11"/>
      <c r="B4113" s="11"/>
      <c r="D4113" s="21"/>
      <c r="E4113" s="22"/>
      <c r="G4113" s="23"/>
      <c r="H4113" s="24"/>
      <c r="Q4113" s="2"/>
      <c r="R4113" s="2"/>
    </row>
    <row r="4114" spans="1:18" ht="15.75" customHeight="1" x14ac:dyDescent="0.3">
      <c r="A4114" s="11"/>
      <c r="B4114" s="11"/>
      <c r="D4114" s="21"/>
      <c r="E4114" s="22"/>
      <c r="G4114" s="23"/>
      <c r="H4114" s="24"/>
      <c r="Q4114" s="2"/>
      <c r="R4114" s="2"/>
    </row>
    <row r="4115" spans="1:18" ht="15.75" customHeight="1" x14ac:dyDescent="0.3">
      <c r="A4115" s="11"/>
      <c r="B4115" s="11"/>
      <c r="D4115" s="21"/>
      <c r="E4115" s="22"/>
      <c r="G4115" s="23"/>
      <c r="H4115" s="24"/>
      <c r="Q4115" s="2"/>
      <c r="R4115" s="2"/>
    </row>
    <row r="4116" spans="1:18" ht="15.75" customHeight="1" x14ac:dyDescent="0.3">
      <c r="A4116" s="11"/>
      <c r="B4116" s="11"/>
      <c r="D4116" s="21"/>
      <c r="E4116" s="22"/>
      <c r="G4116" s="23"/>
      <c r="H4116" s="24"/>
      <c r="Q4116" s="2"/>
      <c r="R4116" s="2"/>
    </row>
    <row r="4117" spans="1:18" ht="15.75" customHeight="1" x14ac:dyDescent="0.3">
      <c r="A4117" s="11"/>
      <c r="B4117" s="11"/>
      <c r="D4117" s="21"/>
      <c r="E4117" s="22"/>
      <c r="G4117" s="23"/>
      <c r="H4117" s="24"/>
      <c r="Q4117" s="2"/>
      <c r="R4117" s="2"/>
    </row>
    <row r="4118" spans="1:18" ht="15.75" customHeight="1" x14ac:dyDescent="0.3">
      <c r="A4118" s="11"/>
      <c r="B4118" s="11"/>
      <c r="D4118" s="21"/>
      <c r="E4118" s="22"/>
      <c r="G4118" s="23"/>
      <c r="H4118" s="24"/>
      <c r="Q4118" s="2"/>
      <c r="R4118" s="2"/>
    </row>
    <row r="4119" spans="1:18" ht="15.75" customHeight="1" x14ac:dyDescent="0.3">
      <c r="A4119" s="11"/>
      <c r="B4119" s="11"/>
      <c r="D4119" s="21"/>
      <c r="E4119" s="22"/>
      <c r="G4119" s="23"/>
      <c r="H4119" s="24"/>
      <c r="Q4119" s="2"/>
      <c r="R4119" s="2"/>
    </row>
    <row r="4120" spans="1:18" ht="15.75" customHeight="1" x14ac:dyDescent="0.3">
      <c r="A4120" s="11"/>
      <c r="B4120" s="11"/>
      <c r="D4120" s="21"/>
      <c r="E4120" s="22"/>
      <c r="G4120" s="23"/>
      <c r="H4120" s="24"/>
      <c r="Q4120" s="2"/>
      <c r="R4120" s="2"/>
    </row>
    <row r="4121" spans="1:18" ht="15.75" customHeight="1" x14ac:dyDescent="0.3">
      <c r="A4121" s="11"/>
      <c r="B4121" s="11"/>
      <c r="D4121" s="21"/>
      <c r="E4121" s="22"/>
      <c r="G4121" s="23"/>
      <c r="H4121" s="24"/>
      <c r="Q4121" s="2"/>
      <c r="R4121" s="2"/>
    </row>
    <row r="4122" spans="1:18" ht="15.75" customHeight="1" x14ac:dyDescent="0.3">
      <c r="A4122" s="11"/>
      <c r="B4122" s="11"/>
      <c r="D4122" s="21"/>
      <c r="E4122" s="22"/>
      <c r="G4122" s="23"/>
      <c r="H4122" s="24"/>
      <c r="Q4122" s="2"/>
      <c r="R4122" s="2"/>
    </row>
    <row r="4123" spans="1:18" ht="15.75" customHeight="1" x14ac:dyDescent="0.3">
      <c r="A4123" s="11"/>
      <c r="B4123" s="11"/>
      <c r="D4123" s="21"/>
      <c r="E4123" s="22"/>
      <c r="G4123" s="23"/>
      <c r="H4123" s="24"/>
      <c r="Q4123" s="2"/>
      <c r="R4123" s="2"/>
    </row>
    <row r="4124" spans="1:18" ht="15.75" customHeight="1" x14ac:dyDescent="0.3">
      <c r="A4124" s="11"/>
      <c r="B4124" s="11"/>
      <c r="D4124" s="21"/>
      <c r="E4124" s="22"/>
      <c r="G4124" s="23"/>
      <c r="H4124" s="24"/>
      <c r="Q4124" s="2"/>
      <c r="R4124" s="2"/>
    </row>
    <row r="4125" spans="1:18" ht="15.75" customHeight="1" x14ac:dyDescent="0.3">
      <c r="A4125" s="11"/>
      <c r="B4125" s="11"/>
      <c r="D4125" s="21"/>
      <c r="E4125" s="22"/>
      <c r="G4125" s="23"/>
      <c r="H4125" s="24"/>
      <c r="Q4125" s="2"/>
      <c r="R4125" s="2"/>
    </row>
    <row r="4126" spans="1:18" ht="15.75" customHeight="1" x14ac:dyDescent="0.3">
      <c r="A4126" s="11"/>
      <c r="B4126" s="11"/>
      <c r="D4126" s="21"/>
      <c r="E4126" s="22"/>
      <c r="G4126" s="23"/>
      <c r="H4126" s="24"/>
      <c r="Q4126" s="2"/>
      <c r="R4126" s="2"/>
    </row>
    <row r="4127" spans="1:18" ht="15.75" customHeight="1" x14ac:dyDescent="0.3">
      <c r="A4127" s="11"/>
      <c r="B4127" s="11"/>
      <c r="D4127" s="21"/>
      <c r="E4127" s="22"/>
      <c r="G4127" s="23"/>
      <c r="H4127" s="24"/>
      <c r="Q4127" s="2"/>
      <c r="R4127" s="2"/>
    </row>
    <row r="4128" spans="1:18" ht="15.75" customHeight="1" x14ac:dyDescent="0.3">
      <c r="A4128" s="11"/>
      <c r="B4128" s="11"/>
      <c r="D4128" s="21"/>
      <c r="E4128" s="22"/>
      <c r="G4128" s="23"/>
      <c r="H4128" s="24"/>
      <c r="Q4128" s="2"/>
      <c r="R4128" s="2"/>
    </row>
    <row r="4129" spans="1:18" ht="15.75" customHeight="1" x14ac:dyDescent="0.3">
      <c r="A4129" s="11"/>
      <c r="B4129" s="11"/>
      <c r="D4129" s="21"/>
      <c r="E4129" s="22"/>
      <c r="G4129" s="23"/>
      <c r="H4129" s="24"/>
      <c r="Q4129" s="2"/>
      <c r="R4129" s="2"/>
    </row>
    <row r="4130" spans="1:18" ht="15.75" customHeight="1" x14ac:dyDescent="0.3">
      <c r="A4130" s="11"/>
      <c r="B4130" s="11"/>
      <c r="D4130" s="21"/>
      <c r="E4130" s="22"/>
      <c r="G4130" s="23"/>
      <c r="H4130" s="24"/>
      <c r="Q4130" s="2"/>
      <c r="R4130" s="2"/>
    </row>
    <row r="4131" spans="1:18" ht="15.75" customHeight="1" x14ac:dyDescent="0.3">
      <c r="A4131" s="11"/>
      <c r="B4131" s="11"/>
      <c r="D4131" s="21"/>
      <c r="E4131" s="22"/>
      <c r="G4131" s="23"/>
      <c r="H4131" s="24"/>
      <c r="Q4131" s="2"/>
      <c r="R4131" s="2"/>
    </row>
    <row r="4132" spans="1:18" ht="15.75" customHeight="1" x14ac:dyDescent="0.3">
      <c r="A4132" s="11"/>
      <c r="B4132" s="11"/>
      <c r="D4132" s="21"/>
      <c r="E4132" s="22"/>
      <c r="G4132" s="23"/>
      <c r="H4132" s="24"/>
      <c r="Q4132" s="2"/>
      <c r="R4132" s="2"/>
    </row>
    <row r="4133" spans="1:18" ht="15.75" customHeight="1" x14ac:dyDescent="0.3">
      <c r="A4133" s="11"/>
      <c r="B4133" s="11"/>
      <c r="D4133" s="21"/>
      <c r="E4133" s="22"/>
      <c r="G4133" s="23"/>
      <c r="H4133" s="24"/>
      <c r="Q4133" s="2"/>
      <c r="R4133" s="2"/>
    </row>
    <row r="4134" spans="1:18" ht="15.75" customHeight="1" x14ac:dyDescent="0.3">
      <c r="A4134" s="11"/>
      <c r="B4134" s="11"/>
      <c r="D4134" s="21"/>
      <c r="E4134" s="22"/>
      <c r="G4134" s="23"/>
      <c r="H4134" s="24"/>
      <c r="Q4134" s="2"/>
      <c r="R4134" s="2"/>
    </row>
    <row r="4135" spans="1:18" ht="15.75" customHeight="1" x14ac:dyDescent="0.3">
      <c r="A4135" s="11"/>
      <c r="B4135" s="11"/>
      <c r="D4135" s="21"/>
      <c r="E4135" s="22"/>
      <c r="G4135" s="23"/>
      <c r="H4135" s="24"/>
      <c r="Q4135" s="2"/>
      <c r="R4135" s="2"/>
    </row>
    <row r="4136" spans="1:18" ht="15.75" customHeight="1" x14ac:dyDescent="0.3">
      <c r="A4136" s="11"/>
      <c r="B4136" s="11"/>
      <c r="D4136" s="21"/>
      <c r="E4136" s="22"/>
      <c r="G4136" s="23"/>
      <c r="H4136" s="24"/>
      <c r="Q4136" s="2"/>
      <c r="R4136" s="2"/>
    </row>
    <row r="4137" spans="1:18" ht="15.75" customHeight="1" x14ac:dyDescent="0.3">
      <c r="A4137" s="11"/>
      <c r="B4137" s="11"/>
      <c r="D4137" s="21"/>
      <c r="E4137" s="22"/>
      <c r="G4137" s="23"/>
      <c r="H4137" s="24"/>
      <c r="Q4137" s="2"/>
      <c r="R4137" s="2"/>
    </row>
    <row r="4138" spans="1:18" ht="15.75" customHeight="1" x14ac:dyDescent="0.3">
      <c r="A4138" s="11"/>
      <c r="B4138" s="11"/>
      <c r="D4138" s="21"/>
      <c r="E4138" s="22"/>
      <c r="G4138" s="23"/>
      <c r="H4138" s="24"/>
      <c r="Q4138" s="2"/>
      <c r="R4138" s="2"/>
    </row>
    <row r="4139" spans="1:18" ht="15.75" customHeight="1" x14ac:dyDescent="0.3">
      <c r="A4139" s="11"/>
      <c r="B4139" s="11"/>
      <c r="D4139" s="21"/>
      <c r="E4139" s="22"/>
      <c r="G4139" s="23"/>
      <c r="H4139" s="24"/>
      <c r="Q4139" s="2"/>
      <c r="R4139" s="2"/>
    </row>
    <row r="4140" spans="1:18" ht="15.75" customHeight="1" x14ac:dyDescent="0.3">
      <c r="A4140" s="11"/>
      <c r="B4140" s="11"/>
      <c r="D4140" s="21"/>
      <c r="E4140" s="22"/>
      <c r="G4140" s="23"/>
      <c r="H4140" s="24"/>
      <c r="Q4140" s="2"/>
      <c r="R4140" s="2"/>
    </row>
    <row r="4141" spans="1:18" ht="15.75" customHeight="1" x14ac:dyDescent="0.3">
      <c r="A4141" s="11"/>
      <c r="B4141" s="11"/>
      <c r="D4141" s="21"/>
      <c r="E4141" s="22"/>
      <c r="G4141" s="23"/>
      <c r="H4141" s="24"/>
      <c r="Q4141" s="2"/>
      <c r="R4141" s="2"/>
    </row>
    <row r="4142" spans="1:18" ht="15.75" customHeight="1" x14ac:dyDescent="0.3">
      <c r="A4142" s="11"/>
      <c r="B4142" s="11"/>
      <c r="D4142" s="21"/>
      <c r="E4142" s="22"/>
      <c r="G4142" s="23"/>
      <c r="H4142" s="24"/>
      <c r="Q4142" s="2"/>
      <c r="R4142" s="2"/>
    </row>
    <row r="4143" spans="1:18" ht="15.75" customHeight="1" x14ac:dyDescent="0.3">
      <c r="A4143" s="11"/>
      <c r="B4143" s="11"/>
      <c r="D4143" s="21"/>
      <c r="E4143" s="22"/>
      <c r="G4143" s="23"/>
      <c r="H4143" s="24"/>
      <c r="Q4143" s="2"/>
      <c r="R4143" s="2"/>
    </row>
    <row r="4144" spans="1:18" ht="15.75" customHeight="1" x14ac:dyDescent="0.3">
      <c r="A4144" s="11"/>
      <c r="B4144" s="11"/>
      <c r="D4144" s="21"/>
      <c r="E4144" s="22"/>
      <c r="G4144" s="23"/>
      <c r="H4144" s="24"/>
      <c r="Q4144" s="2"/>
      <c r="R4144" s="2"/>
    </row>
    <row r="4145" spans="1:18" ht="15.75" customHeight="1" x14ac:dyDescent="0.3">
      <c r="A4145" s="11"/>
      <c r="B4145" s="11"/>
      <c r="D4145" s="21"/>
      <c r="E4145" s="22"/>
      <c r="G4145" s="23"/>
      <c r="H4145" s="24"/>
      <c r="Q4145" s="2"/>
      <c r="R4145" s="2"/>
    </row>
    <row r="4146" spans="1:18" ht="15.75" customHeight="1" x14ac:dyDescent="0.3">
      <c r="A4146" s="11"/>
      <c r="B4146" s="11"/>
      <c r="D4146" s="21"/>
      <c r="E4146" s="22"/>
      <c r="G4146" s="23"/>
      <c r="H4146" s="24"/>
      <c r="Q4146" s="2"/>
      <c r="R4146" s="2"/>
    </row>
    <row r="4147" spans="1:18" ht="15.75" customHeight="1" x14ac:dyDescent="0.3">
      <c r="A4147" s="11"/>
      <c r="B4147" s="11"/>
      <c r="D4147" s="21"/>
      <c r="E4147" s="22"/>
      <c r="G4147" s="23"/>
      <c r="H4147" s="24"/>
      <c r="Q4147" s="2"/>
      <c r="R4147" s="2"/>
    </row>
    <row r="4148" spans="1:18" ht="15.75" customHeight="1" x14ac:dyDescent="0.3">
      <c r="A4148" s="11"/>
      <c r="B4148" s="11"/>
      <c r="D4148" s="21"/>
      <c r="E4148" s="22"/>
      <c r="G4148" s="23"/>
      <c r="H4148" s="24"/>
      <c r="Q4148" s="2"/>
      <c r="R4148" s="2"/>
    </row>
    <row r="4149" spans="1:18" ht="15.75" customHeight="1" x14ac:dyDescent="0.3">
      <c r="A4149" s="11"/>
      <c r="B4149" s="11"/>
      <c r="D4149" s="21"/>
      <c r="E4149" s="22"/>
      <c r="G4149" s="23"/>
      <c r="H4149" s="24"/>
      <c r="Q4149" s="2"/>
      <c r="R4149" s="2"/>
    </row>
    <row r="4150" spans="1:18" ht="15.75" customHeight="1" x14ac:dyDescent="0.3">
      <c r="A4150" s="11"/>
      <c r="B4150" s="11"/>
      <c r="D4150" s="21"/>
      <c r="E4150" s="22"/>
      <c r="G4150" s="23"/>
      <c r="H4150" s="24"/>
      <c r="Q4150" s="2"/>
      <c r="R4150" s="2"/>
    </row>
    <row r="4151" spans="1:18" ht="15.75" customHeight="1" x14ac:dyDescent="0.3">
      <c r="A4151" s="11"/>
      <c r="B4151" s="11"/>
      <c r="D4151" s="21"/>
      <c r="E4151" s="22"/>
      <c r="G4151" s="23"/>
      <c r="H4151" s="24"/>
      <c r="Q4151" s="2"/>
      <c r="R4151" s="2"/>
    </row>
    <row r="4152" spans="1:18" ht="15.75" customHeight="1" x14ac:dyDescent="0.3">
      <c r="A4152" s="11"/>
      <c r="B4152" s="11"/>
      <c r="D4152" s="21"/>
      <c r="E4152" s="22"/>
      <c r="G4152" s="23"/>
      <c r="H4152" s="24"/>
      <c r="Q4152" s="2"/>
      <c r="R4152" s="2"/>
    </row>
    <row r="4153" spans="1:18" ht="15.75" customHeight="1" x14ac:dyDescent="0.3">
      <c r="A4153" s="11"/>
      <c r="B4153" s="11"/>
      <c r="D4153" s="21"/>
      <c r="E4153" s="22"/>
      <c r="G4153" s="23"/>
      <c r="H4153" s="24"/>
      <c r="Q4153" s="2"/>
      <c r="R4153" s="2"/>
    </row>
    <row r="4154" spans="1:18" ht="15.75" customHeight="1" x14ac:dyDescent="0.3">
      <c r="A4154" s="11"/>
      <c r="B4154" s="11"/>
      <c r="D4154" s="21"/>
      <c r="E4154" s="22"/>
      <c r="G4154" s="23"/>
      <c r="H4154" s="24"/>
      <c r="Q4154" s="2"/>
      <c r="R4154" s="2"/>
    </row>
    <row r="4155" spans="1:18" ht="15.75" customHeight="1" x14ac:dyDescent="0.3">
      <c r="A4155" s="11"/>
      <c r="B4155" s="11"/>
      <c r="D4155" s="21"/>
      <c r="E4155" s="22"/>
      <c r="G4155" s="23"/>
      <c r="H4155" s="24"/>
      <c r="Q4155" s="2"/>
      <c r="R4155" s="2"/>
    </row>
    <row r="4156" spans="1:18" ht="15.75" customHeight="1" x14ac:dyDescent="0.3">
      <c r="A4156" s="11"/>
      <c r="B4156" s="11"/>
      <c r="D4156" s="21"/>
      <c r="E4156" s="22"/>
      <c r="G4156" s="23"/>
      <c r="H4156" s="24"/>
      <c r="Q4156" s="2"/>
      <c r="R4156" s="2"/>
    </row>
    <row r="4157" spans="1:18" ht="15.75" customHeight="1" x14ac:dyDescent="0.3">
      <c r="A4157" s="11"/>
      <c r="B4157" s="11"/>
      <c r="D4157" s="21"/>
      <c r="E4157" s="22"/>
      <c r="G4157" s="23"/>
      <c r="H4157" s="24"/>
      <c r="Q4157" s="2"/>
      <c r="R4157" s="2"/>
    </row>
    <row r="4158" spans="1:18" ht="15.75" customHeight="1" x14ac:dyDescent="0.3">
      <c r="A4158" s="11"/>
      <c r="B4158" s="11"/>
      <c r="D4158" s="21"/>
      <c r="E4158" s="22"/>
      <c r="G4158" s="23"/>
      <c r="H4158" s="24"/>
      <c r="Q4158" s="2"/>
      <c r="R4158" s="2"/>
    </row>
    <row r="4159" spans="1:18" ht="15.75" customHeight="1" x14ac:dyDescent="0.3">
      <c r="A4159" s="11"/>
      <c r="B4159" s="11"/>
      <c r="D4159" s="21"/>
      <c r="E4159" s="22"/>
      <c r="G4159" s="23"/>
      <c r="H4159" s="24"/>
      <c r="Q4159" s="2"/>
      <c r="R4159" s="2"/>
    </row>
    <row r="4160" spans="1:18" ht="15.75" customHeight="1" x14ac:dyDescent="0.3">
      <c r="A4160" s="11"/>
      <c r="B4160" s="11"/>
      <c r="D4160" s="21"/>
      <c r="E4160" s="22"/>
      <c r="G4160" s="23"/>
      <c r="H4160" s="24"/>
      <c r="Q4160" s="2"/>
      <c r="R4160" s="2"/>
    </row>
    <row r="4161" spans="1:18" ht="15.75" customHeight="1" x14ac:dyDescent="0.3">
      <c r="A4161" s="11"/>
      <c r="B4161" s="11"/>
      <c r="D4161" s="21"/>
      <c r="E4161" s="22"/>
      <c r="G4161" s="23"/>
      <c r="H4161" s="24"/>
      <c r="Q4161" s="2"/>
      <c r="R4161" s="2"/>
    </row>
    <row r="4162" spans="1:18" ht="15.75" customHeight="1" x14ac:dyDescent="0.3">
      <c r="A4162" s="11"/>
      <c r="B4162" s="11"/>
      <c r="D4162" s="21"/>
      <c r="E4162" s="22"/>
      <c r="G4162" s="23"/>
      <c r="H4162" s="24"/>
      <c r="Q4162" s="2"/>
      <c r="R4162" s="2"/>
    </row>
    <row r="4163" spans="1:18" ht="15.75" customHeight="1" x14ac:dyDescent="0.3">
      <c r="A4163" s="11"/>
      <c r="B4163" s="11"/>
      <c r="D4163" s="21"/>
      <c r="E4163" s="22"/>
      <c r="G4163" s="23"/>
      <c r="H4163" s="24"/>
      <c r="Q4163" s="2"/>
      <c r="R4163" s="2"/>
    </row>
    <row r="4164" spans="1:18" ht="15.75" customHeight="1" x14ac:dyDescent="0.3">
      <c r="A4164" s="11"/>
      <c r="B4164" s="11"/>
      <c r="D4164" s="21"/>
      <c r="E4164" s="22"/>
      <c r="G4164" s="23"/>
      <c r="H4164" s="24"/>
      <c r="Q4164" s="2"/>
      <c r="R4164" s="2"/>
    </row>
    <row r="4165" spans="1:18" ht="15.75" customHeight="1" x14ac:dyDescent="0.3">
      <c r="A4165" s="11"/>
      <c r="B4165" s="11"/>
      <c r="D4165" s="21"/>
      <c r="E4165" s="22"/>
      <c r="G4165" s="23"/>
      <c r="H4165" s="24"/>
      <c r="Q4165" s="2"/>
      <c r="R4165" s="2"/>
    </row>
    <row r="4166" spans="1:18" ht="15.75" customHeight="1" x14ac:dyDescent="0.3">
      <c r="A4166" s="11"/>
      <c r="B4166" s="11"/>
      <c r="D4166" s="21"/>
      <c r="E4166" s="22"/>
      <c r="G4166" s="23"/>
      <c r="H4166" s="24"/>
      <c r="Q4166" s="2"/>
      <c r="R4166" s="2"/>
    </row>
    <row r="4167" spans="1:18" ht="15.75" customHeight="1" x14ac:dyDescent="0.3">
      <c r="A4167" s="11"/>
      <c r="B4167" s="11"/>
      <c r="D4167" s="21"/>
      <c r="E4167" s="22"/>
      <c r="G4167" s="23"/>
      <c r="H4167" s="24"/>
      <c r="Q4167" s="2"/>
      <c r="R4167" s="2"/>
    </row>
    <row r="4168" spans="1:18" ht="15.75" customHeight="1" x14ac:dyDescent="0.3">
      <c r="A4168" s="11"/>
      <c r="B4168" s="11"/>
      <c r="D4168" s="21"/>
      <c r="E4168" s="22"/>
      <c r="G4168" s="23"/>
      <c r="H4168" s="24"/>
      <c r="Q4168" s="2"/>
      <c r="R4168" s="2"/>
    </row>
    <row r="4169" spans="1:18" ht="15.75" customHeight="1" x14ac:dyDescent="0.3">
      <c r="A4169" s="11"/>
      <c r="B4169" s="11"/>
      <c r="D4169" s="21"/>
      <c r="E4169" s="22"/>
      <c r="G4169" s="23"/>
      <c r="H4169" s="24"/>
      <c r="Q4169" s="2"/>
      <c r="R4169" s="2"/>
    </row>
    <row r="4170" spans="1:18" ht="15.75" customHeight="1" x14ac:dyDescent="0.3">
      <c r="A4170" s="11"/>
      <c r="B4170" s="11"/>
      <c r="D4170" s="21"/>
      <c r="E4170" s="22"/>
      <c r="G4170" s="23"/>
      <c r="H4170" s="24"/>
      <c r="Q4170" s="2"/>
      <c r="R4170" s="2"/>
    </row>
    <row r="4171" spans="1:18" ht="15.75" customHeight="1" x14ac:dyDescent="0.3">
      <c r="A4171" s="11"/>
      <c r="B4171" s="11"/>
      <c r="D4171" s="21"/>
      <c r="E4171" s="22"/>
      <c r="G4171" s="23"/>
      <c r="H4171" s="24"/>
      <c r="Q4171" s="2"/>
      <c r="R4171" s="2"/>
    </row>
    <row r="4172" spans="1:18" ht="15.75" customHeight="1" x14ac:dyDescent="0.3">
      <c r="A4172" s="11"/>
      <c r="B4172" s="11"/>
      <c r="D4172" s="21"/>
      <c r="E4172" s="22"/>
      <c r="G4172" s="23"/>
      <c r="H4172" s="24"/>
      <c r="Q4172" s="2"/>
      <c r="R4172" s="2"/>
    </row>
    <row r="4173" spans="1:18" ht="15.75" customHeight="1" x14ac:dyDescent="0.3">
      <c r="A4173" s="11"/>
      <c r="B4173" s="11"/>
      <c r="D4173" s="21"/>
      <c r="E4173" s="22"/>
      <c r="G4173" s="23"/>
      <c r="H4173" s="24"/>
      <c r="Q4173" s="2"/>
      <c r="R4173" s="2"/>
    </row>
    <row r="4174" spans="1:18" ht="15.75" customHeight="1" x14ac:dyDescent="0.3">
      <c r="A4174" s="11"/>
      <c r="B4174" s="11"/>
      <c r="D4174" s="21"/>
      <c r="E4174" s="22"/>
      <c r="G4174" s="23"/>
      <c r="H4174" s="24"/>
      <c r="Q4174" s="2"/>
      <c r="R4174" s="2"/>
    </row>
    <row r="4175" spans="1:18" ht="15.75" customHeight="1" x14ac:dyDescent="0.3">
      <c r="A4175" s="11"/>
      <c r="B4175" s="11"/>
      <c r="D4175" s="21"/>
      <c r="E4175" s="22"/>
      <c r="G4175" s="23"/>
      <c r="H4175" s="24"/>
      <c r="Q4175" s="2"/>
      <c r="R4175" s="2"/>
    </row>
    <row r="4176" spans="1:18" ht="15.75" customHeight="1" x14ac:dyDescent="0.3">
      <c r="A4176" s="11"/>
      <c r="B4176" s="11"/>
      <c r="D4176" s="21"/>
      <c r="E4176" s="22"/>
      <c r="G4176" s="23"/>
      <c r="H4176" s="24"/>
      <c r="Q4176" s="2"/>
      <c r="R4176" s="2"/>
    </row>
    <row r="4177" spans="1:18" ht="15.75" customHeight="1" x14ac:dyDescent="0.3">
      <c r="A4177" s="11"/>
      <c r="B4177" s="11"/>
      <c r="D4177" s="21"/>
      <c r="E4177" s="22"/>
      <c r="G4177" s="23"/>
      <c r="H4177" s="24"/>
      <c r="Q4177" s="2"/>
      <c r="R4177" s="2"/>
    </row>
    <row r="4178" spans="1:18" ht="15.75" customHeight="1" x14ac:dyDescent="0.3">
      <c r="A4178" s="11"/>
      <c r="B4178" s="11"/>
      <c r="D4178" s="21"/>
      <c r="E4178" s="22"/>
      <c r="G4178" s="23"/>
      <c r="H4178" s="24"/>
      <c r="Q4178" s="2"/>
      <c r="R4178" s="2"/>
    </row>
    <row r="4179" spans="1:18" ht="15.75" customHeight="1" x14ac:dyDescent="0.3">
      <c r="A4179" s="11"/>
      <c r="B4179" s="11"/>
      <c r="D4179" s="21"/>
      <c r="E4179" s="22"/>
      <c r="G4179" s="23"/>
      <c r="H4179" s="24"/>
      <c r="Q4179" s="2"/>
      <c r="R4179" s="2"/>
    </row>
    <row r="4180" spans="1:18" ht="15.75" customHeight="1" x14ac:dyDescent="0.3">
      <c r="A4180" s="11"/>
      <c r="B4180" s="11"/>
      <c r="D4180" s="21"/>
      <c r="E4180" s="22"/>
      <c r="G4180" s="23"/>
      <c r="H4180" s="24"/>
      <c r="Q4180" s="2"/>
      <c r="R4180" s="2"/>
    </row>
    <row r="4181" spans="1:18" ht="15.75" customHeight="1" x14ac:dyDescent="0.3">
      <c r="A4181" s="11"/>
      <c r="B4181" s="11"/>
      <c r="D4181" s="21"/>
      <c r="E4181" s="22"/>
      <c r="G4181" s="23"/>
      <c r="H4181" s="24"/>
      <c r="Q4181" s="2"/>
      <c r="R4181" s="2"/>
    </row>
    <row r="4182" spans="1:18" ht="15.75" customHeight="1" x14ac:dyDescent="0.3">
      <c r="A4182" s="11"/>
      <c r="B4182" s="11"/>
      <c r="D4182" s="21"/>
      <c r="E4182" s="22"/>
      <c r="G4182" s="23"/>
      <c r="H4182" s="24"/>
      <c r="Q4182" s="2"/>
      <c r="R4182" s="2"/>
    </row>
    <row r="4183" spans="1:18" ht="15.75" customHeight="1" x14ac:dyDescent="0.3">
      <c r="A4183" s="11"/>
      <c r="B4183" s="11"/>
      <c r="D4183" s="21"/>
      <c r="E4183" s="22"/>
      <c r="G4183" s="23"/>
      <c r="H4183" s="24"/>
      <c r="Q4183" s="2"/>
      <c r="R4183" s="2"/>
    </row>
    <row r="4184" spans="1:18" ht="15.75" customHeight="1" x14ac:dyDescent="0.3">
      <c r="A4184" s="11"/>
      <c r="B4184" s="11"/>
      <c r="D4184" s="21"/>
      <c r="E4184" s="22"/>
      <c r="G4184" s="23"/>
      <c r="H4184" s="24"/>
      <c r="Q4184" s="2"/>
      <c r="R4184" s="2"/>
    </row>
    <row r="4185" spans="1:18" ht="15.75" customHeight="1" x14ac:dyDescent="0.3">
      <c r="A4185" s="11"/>
      <c r="B4185" s="11"/>
      <c r="D4185" s="21"/>
      <c r="E4185" s="22"/>
      <c r="G4185" s="23"/>
      <c r="H4185" s="24"/>
      <c r="Q4185" s="2"/>
      <c r="R4185" s="2"/>
    </row>
    <row r="4186" spans="1:18" ht="15.75" customHeight="1" x14ac:dyDescent="0.3">
      <c r="A4186" s="11"/>
      <c r="B4186" s="11"/>
      <c r="D4186" s="21"/>
      <c r="E4186" s="22"/>
      <c r="G4186" s="23"/>
      <c r="H4186" s="24"/>
      <c r="Q4186" s="2"/>
      <c r="R4186" s="2"/>
    </row>
    <row r="4187" spans="1:18" ht="15.75" customHeight="1" x14ac:dyDescent="0.3">
      <c r="A4187" s="11"/>
      <c r="B4187" s="11"/>
      <c r="D4187" s="21"/>
      <c r="E4187" s="22"/>
      <c r="G4187" s="23"/>
      <c r="H4187" s="24"/>
      <c r="Q4187" s="2"/>
      <c r="R4187" s="2"/>
    </row>
    <row r="4188" spans="1:18" ht="15.75" customHeight="1" x14ac:dyDescent="0.3">
      <c r="A4188" s="11"/>
      <c r="B4188" s="11"/>
      <c r="D4188" s="21"/>
      <c r="E4188" s="22"/>
      <c r="G4188" s="23"/>
      <c r="H4188" s="24"/>
      <c r="Q4188" s="2"/>
      <c r="R4188" s="2"/>
    </row>
    <row r="4189" spans="1:18" ht="15.75" customHeight="1" x14ac:dyDescent="0.3">
      <c r="A4189" s="11"/>
      <c r="B4189" s="11"/>
      <c r="D4189" s="21"/>
      <c r="E4189" s="22"/>
      <c r="G4189" s="23"/>
      <c r="H4189" s="24"/>
      <c r="Q4189" s="2"/>
      <c r="R4189" s="2"/>
    </row>
    <row r="4190" spans="1:18" ht="15.75" customHeight="1" x14ac:dyDescent="0.3">
      <c r="A4190" s="11"/>
      <c r="B4190" s="11"/>
      <c r="D4190" s="21"/>
      <c r="E4190" s="22"/>
      <c r="G4190" s="23"/>
      <c r="H4190" s="24"/>
      <c r="Q4190" s="2"/>
      <c r="R4190" s="2"/>
    </row>
    <row r="4191" spans="1:18" ht="15.75" customHeight="1" x14ac:dyDescent="0.3">
      <c r="A4191" s="11"/>
      <c r="B4191" s="11"/>
      <c r="D4191" s="21"/>
      <c r="E4191" s="22"/>
      <c r="G4191" s="23"/>
      <c r="H4191" s="24"/>
      <c r="Q4191" s="2"/>
      <c r="R4191" s="2"/>
    </row>
    <row r="4192" spans="1:18" ht="15.75" customHeight="1" x14ac:dyDescent="0.3">
      <c r="A4192" s="11"/>
      <c r="B4192" s="11"/>
      <c r="D4192" s="21"/>
      <c r="E4192" s="22"/>
      <c r="G4192" s="23"/>
      <c r="H4192" s="24"/>
      <c r="Q4192" s="2"/>
      <c r="R4192" s="2"/>
    </row>
    <row r="4193" spans="1:18" ht="15.75" customHeight="1" x14ac:dyDescent="0.3">
      <c r="A4193" s="11"/>
      <c r="B4193" s="11"/>
      <c r="D4193" s="21"/>
      <c r="E4193" s="22"/>
      <c r="G4193" s="23"/>
      <c r="H4193" s="24"/>
      <c r="Q4193" s="2"/>
      <c r="R4193" s="2"/>
    </row>
    <row r="4194" spans="1:18" ht="15.75" customHeight="1" x14ac:dyDescent="0.3">
      <c r="A4194" s="11"/>
      <c r="B4194" s="11"/>
      <c r="D4194" s="21"/>
      <c r="E4194" s="22"/>
      <c r="G4194" s="23"/>
      <c r="H4194" s="24"/>
      <c r="Q4194" s="2"/>
      <c r="R4194" s="2"/>
    </row>
    <row r="4195" spans="1:18" ht="15.75" customHeight="1" x14ac:dyDescent="0.3">
      <c r="A4195" s="11"/>
      <c r="B4195" s="11"/>
      <c r="D4195" s="21"/>
      <c r="E4195" s="22"/>
      <c r="G4195" s="23"/>
      <c r="H4195" s="24"/>
      <c r="Q4195" s="2"/>
      <c r="R4195" s="2"/>
    </row>
    <row r="4196" spans="1:18" ht="15.75" customHeight="1" x14ac:dyDescent="0.3">
      <c r="A4196" s="11"/>
      <c r="B4196" s="11"/>
      <c r="D4196" s="21"/>
      <c r="E4196" s="22"/>
      <c r="G4196" s="23"/>
      <c r="H4196" s="24"/>
      <c r="Q4196" s="2"/>
      <c r="R4196" s="2"/>
    </row>
    <row r="4197" spans="1:18" ht="15.75" customHeight="1" x14ac:dyDescent="0.3">
      <c r="A4197" s="11"/>
      <c r="B4197" s="11"/>
      <c r="D4197" s="21"/>
      <c r="E4197" s="22"/>
      <c r="G4197" s="23"/>
      <c r="H4197" s="24"/>
      <c r="Q4197" s="2"/>
      <c r="R4197" s="2"/>
    </row>
    <row r="4198" spans="1:18" ht="15.75" customHeight="1" x14ac:dyDescent="0.3">
      <c r="A4198" s="11"/>
      <c r="B4198" s="11"/>
      <c r="D4198" s="21"/>
      <c r="E4198" s="22"/>
      <c r="G4198" s="23"/>
      <c r="H4198" s="24"/>
      <c r="Q4198" s="2"/>
      <c r="R4198" s="2"/>
    </row>
    <row r="4199" spans="1:18" ht="15.75" customHeight="1" x14ac:dyDescent="0.3">
      <c r="A4199" s="11"/>
      <c r="B4199" s="11"/>
      <c r="D4199" s="21"/>
      <c r="E4199" s="22"/>
      <c r="G4199" s="23"/>
      <c r="H4199" s="24"/>
      <c r="Q4199" s="2"/>
      <c r="R4199" s="2"/>
    </row>
    <row r="4200" spans="1:18" ht="15.75" customHeight="1" x14ac:dyDescent="0.3">
      <c r="A4200" s="11"/>
      <c r="B4200" s="11"/>
      <c r="D4200" s="21"/>
      <c r="E4200" s="22"/>
      <c r="G4200" s="23"/>
      <c r="H4200" s="24"/>
      <c r="Q4200" s="2"/>
      <c r="R4200" s="2"/>
    </row>
    <row r="4201" spans="1:18" ht="15.75" customHeight="1" x14ac:dyDescent="0.3">
      <c r="A4201" s="11"/>
      <c r="B4201" s="11"/>
      <c r="D4201" s="21"/>
      <c r="E4201" s="22"/>
      <c r="G4201" s="23"/>
      <c r="H4201" s="24"/>
      <c r="Q4201" s="2"/>
      <c r="R4201" s="2"/>
    </row>
    <row r="4202" spans="1:18" ht="15.75" customHeight="1" x14ac:dyDescent="0.3">
      <c r="A4202" s="11"/>
      <c r="B4202" s="11"/>
      <c r="D4202" s="21"/>
      <c r="E4202" s="22"/>
      <c r="G4202" s="23"/>
      <c r="H4202" s="24"/>
      <c r="Q4202" s="2"/>
      <c r="R4202" s="2"/>
    </row>
    <row r="4203" spans="1:18" ht="15.75" customHeight="1" x14ac:dyDescent="0.3">
      <c r="A4203" s="11"/>
      <c r="B4203" s="11"/>
      <c r="D4203" s="21"/>
      <c r="E4203" s="22"/>
      <c r="G4203" s="23"/>
      <c r="H4203" s="24"/>
      <c r="Q4203" s="2"/>
      <c r="R4203" s="2"/>
    </row>
    <row r="4204" spans="1:18" ht="15.75" customHeight="1" x14ac:dyDescent="0.3">
      <c r="A4204" s="11"/>
      <c r="B4204" s="11"/>
      <c r="D4204" s="21"/>
      <c r="E4204" s="22"/>
      <c r="G4204" s="23"/>
      <c r="H4204" s="24"/>
      <c r="Q4204" s="2"/>
      <c r="R4204" s="2"/>
    </row>
    <row r="4205" spans="1:18" ht="15.75" customHeight="1" x14ac:dyDescent="0.3">
      <c r="A4205" s="11"/>
      <c r="B4205" s="11"/>
      <c r="D4205" s="21"/>
      <c r="E4205" s="22"/>
      <c r="G4205" s="23"/>
      <c r="H4205" s="24"/>
      <c r="Q4205" s="2"/>
      <c r="R4205" s="2"/>
    </row>
    <row r="4206" spans="1:18" ht="15.75" customHeight="1" x14ac:dyDescent="0.3">
      <c r="A4206" s="11"/>
      <c r="B4206" s="11"/>
      <c r="D4206" s="21"/>
      <c r="E4206" s="22"/>
      <c r="G4206" s="23"/>
      <c r="H4206" s="24"/>
      <c r="Q4206" s="2"/>
      <c r="R4206" s="2"/>
    </row>
    <row r="4207" spans="1:18" ht="15.75" customHeight="1" x14ac:dyDescent="0.3">
      <c r="A4207" s="11"/>
      <c r="B4207" s="11"/>
      <c r="D4207" s="21"/>
      <c r="E4207" s="22"/>
      <c r="G4207" s="23"/>
      <c r="H4207" s="24"/>
      <c r="Q4207" s="2"/>
      <c r="R4207" s="2"/>
    </row>
    <row r="4208" spans="1:18" ht="15.75" customHeight="1" x14ac:dyDescent="0.3">
      <c r="A4208" s="11"/>
      <c r="B4208" s="11"/>
      <c r="D4208" s="21"/>
      <c r="E4208" s="22"/>
      <c r="G4208" s="23"/>
      <c r="H4208" s="24"/>
      <c r="Q4208" s="2"/>
      <c r="R4208" s="2"/>
    </row>
    <row r="4209" spans="1:18" ht="15.75" customHeight="1" x14ac:dyDescent="0.3">
      <c r="A4209" s="11"/>
      <c r="B4209" s="11"/>
      <c r="D4209" s="21"/>
      <c r="E4209" s="22"/>
      <c r="G4209" s="23"/>
      <c r="H4209" s="24"/>
      <c r="Q4209" s="2"/>
      <c r="R4209" s="2"/>
    </row>
    <row r="4210" spans="1:18" ht="15.75" customHeight="1" x14ac:dyDescent="0.3">
      <c r="A4210" s="11"/>
      <c r="B4210" s="11"/>
      <c r="D4210" s="21"/>
      <c r="E4210" s="22"/>
      <c r="G4210" s="23"/>
      <c r="H4210" s="24"/>
      <c r="Q4210" s="2"/>
      <c r="R4210" s="2"/>
    </row>
    <row r="4211" spans="1:18" ht="15.75" customHeight="1" x14ac:dyDescent="0.3">
      <c r="A4211" s="11"/>
      <c r="B4211" s="11"/>
      <c r="D4211" s="21"/>
      <c r="E4211" s="22"/>
      <c r="G4211" s="23"/>
      <c r="H4211" s="24"/>
      <c r="Q4211" s="2"/>
      <c r="R4211" s="2"/>
    </row>
    <row r="4212" spans="1:18" ht="15.75" customHeight="1" x14ac:dyDescent="0.3">
      <c r="A4212" s="11"/>
      <c r="B4212" s="11"/>
      <c r="D4212" s="21"/>
      <c r="E4212" s="22"/>
      <c r="G4212" s="23"/>
      <c r="H4212" s="24"/>
      <c r="Q4212" s="2"/>
      <c r="R4212" s="2"/>
    </row>
    <row r="4213" spans="1:18" ht="15.75" customHeight="1" x14ac:dyDescent="0.3">
      <c r="A4213" s="11"/>
      <c r="B4213" s="11"/>
      <c r="D4213" s="21"/>
      <c r="E4213" s="22"/>
      <c r="G4213" s="23"/>
      <c r="H4213" s="24"/>
      <c r="Q4213" s="2"/>
      <c r="R4213" s="2"/>
    </row>
    <row r="4214" spans="1:18" ht="15.75" customHeight="1" x14ac:dyDescent="0.3">
      <c r="A4214" s="11"/>
      <c r="B4214" s="11"/>
      <c r="D4214" s="21"/>
      <c r="E4214" s="22"/>
      <c r="G4214" s="23"/>
      <c r="H4214" s="24"/>
      <c r="Q4214" s="2"/>
      <c r="R4214" s="2"/>
    </row>
    <row r="4215" spans="1:18" ht="15.75" customHeight="1" x14ac:dyDescent="0.3">
      <c r="A4215" s="11"/>
      <c r="B4215" s="11"/>
      <c r="D4215" s="21"/>
      <c r="E4215" s="22"/>
      <c r="G4215" s="23"/>
      <c r="H4215" s="24"/>
      <c r="Q4215" s="2"/>
      <c r="R4215" s="2"/>
    </row>
    <row r="4216" spans="1:18" ht="15.75" customHeight="1" x14ac:dyDescent="0.3">
      <c r="A4216" s="11"/>
      <c r="B4216" s="11"/>
      <c r="D4216" s="21"/>
      <c r="E4216" s="22"/>
      <c r="G4216" s="23"/>
      <c r="H4216" s="24"/>
      <c r="Q4216" s="2"/>
      <c r="R4216" s="2"/>
    </row>
    <row r="4217" spans="1:18" ht="15.75" customHeight="1" x14ac:dyDescent="0.3">
      <c r="A4217" s="11"/>
      <c r="B4217" s="11"/>
      <c r="D4217" s="21"/>
      <c r="E4217" s="22"/>
      <c r="G4217" s="23"/>
      <c r="H4217" s="24"/>
      <c r="Q4217" s="2"/>
      <c r="R4217" s="2"/>
    </row>
    <row r="4218" spans="1:18" ht="15.75" customHeight="1" x14ac:dyDescent="0.3">
      <c r="A4218" s="11"/>
      <c r="B4218" s="11"/>
      <c r="D4218" s="21"/>
      <c r="E4218" s="22"/>
      <c r="G4218" s="23"/>
      <c r="H4218" s="24"/>
      <c r="Q4218" s="2"/>
      <c r="R4218" s="2"/>
    </row>
    <row r="4219" spans="1:18" ht="15.75" customHeight="1" x14ac:dyDescent="0.3">
      <c r="A4219" s="11"/>
      <c r="B4219" s="11"/>
      <c r="D4219" s="21"/>
      <c r="E4219" s="22"/>
      <c r="G4219" s="23"/>
      <c r="H4219" s="24"/>
      <c r="Q4219" s="2"/>
      <c r="R4219" s="2"/>
    </row>
    <row r="4220" spans="1:18" ht="15.75" customHeight="1" x14ac:dyDescent="0.3">
      <c r="A4220" s="11"/>
      <c r="B4220" s="11"/>
      <c r="D4220" s="21"/>
      <c r="E4220" s="22"/>
      <c r="G4220" s="23"/>
      <c r="H4220" s="24"/>
      <c r="Q4220" s="2"/>
      <c r="R4220" s="2"/>
    </row>
    <row r="4221" spans="1:18" ht="15.75" customHeight="1" x14ac:dyDescent="0.3">
      <c r="A4221" s="11"/>
      <c r="B4221" s="11"/>
      <c r="D4221" s="21"/>
      <c r="E4221" s="22"/>
      <c r="G4221" s="23"/>
      <c r="H4221" s="24"/>
      <c r="Q4221" s="2"/>
      <c r="R4221" s="2"/>
    </row>
    <row r="4222" spans="1:18" ht="15.75" customHeight="1" x14ac:dyDescent="0.3">
      <c r="A4222" s="11"/>
      <c r="B4222" s="11"/>
      <c r="D4222" s="21"/>
      <c r="E4222" s="22"/>
      <c r="G4222" s="23"/>
      <c r="H4222" s="24"/>
      <c r="Q4222" s="2"/>
      <c r="R4222" s="2"/>
    </row>
    <row r="4223" spans="1:18" ht="15.75" customHeight="1" x14ac:dyDescent="0.3">
      <c r="A4223" s="11"/>
      <c r="B4223" s="11"/>
      <c r="D4223" s="21"/>
      <c r="E4223" s="22"/>
      <c r="G4223" s="23"/>
      <c r="H4223" s="24"/>
      <c r="Q4223" s="2"/>
      <c r="R4223" s="2"/>
    </row>
    <row r="4224" spans="1:18" ht="15.75" customHeight="1" x14ac:dyDescent="0.3">
      <c r="A4224" s="11"/>
      <c r="B4224" s="11"/>
      <c r="D4224" s="21"/>
      <c r="E4224" s="22"/>
      <c r="G4224" s="23"/>
      <c r="H4224" s="24"/>
      <c r="Q4224" s="2"/>
      <c r="R4224" s="2"/>
    </row>
    <row r="4225" spans="1:18" ht="15.75" customHeight="1" x14ac:dyDescent="0.3">
      <c r="A4225" s="11"/>
      <c r="B4225" s="11"/>
      <c r="D4225" s="21"/>
      <c r="E4225" s="22"/>
      <c r="G4225" s="23"/>
      <c r="H4225" s="24"/>
      <c r="Q4225" s="2"/>
      <c r="R4225" s="2"/>
    </row>
    <row r="4226" spans="1:18" ht="15.75" customHeight="1" x14ac:dyDescent="0.3">
      <c r="A4226" s="11"/>
      <c r="B4226" s="11"/>
      <c r="D4226" s="21"/>
      <c r="E4226" s="22"/>
      <c r="G4226" s="23"/>
      <c r="H4226" s="24"/>
      <c r="Q4226" s="2"/>
      <c r="R4226" s="2"/>
    </row>
    <row r="4227" spans="1:18" ht="15.75" customHeight="1" x14ac:dyDescent="0.3">
      <c r="A4227" s="11"/>
      <c r="B4227" s="11"/>
      <c r="D4227" s="21"/>
      <c r="E4227" s="22"/>
      <c r="G4227" s="23"/>
      <c r="H4227" s="24"/>
      <c r="Q4227" s="2"/>
      <c r="R4227" s="2"/>
    </row>
    <row r="4228" spans="1:18" ht="15.75" customHeight="1" x14ac:dyDescent="0.3">
      <c r="A4228" s="11"/>
      <c r="B4228" s="11"/>
      <c r="D4228" s="21"/>
      <c r="E4228" s="22"/>
      <c r="G4228" s="23"/>
      <c r="H4228" s="24"/>
      <c r="Q4228" s="2"/>
      <c r="R4228" s="2"/>
    </row>
    <row r="4229" spans="1:18" ht="15.75" customHeight="1" x14ac:dyDescent="0.3">
      <c r="A4229" s="11"/>
      <c r="B4229" s="11"/>
      <c r="D4229" s="21"/>
      <c r="E4229" s="22"/>
      <c r="G4229" s="23"/>
      <c r="H4229" s="24"/>
      <c r="Q4229" s="2"/>
      <c r="R4229" s="2"/>
    </row>
    <row r="4230" spans="1:18" ht="15.75" customHeight="1" x14ac:dyDescent="0.3">
      <c r="A4230" s="11"/>
      <c r="B4230" s="11"/>
      <c r="D4230" s="21"/>
      <c r="E4230" s="22"/>
      <c r="G4230" s="23"/>
      <c r="H4230" s="24"/>
      <c r="Q4230" s="2"/>
      <c r="R4230" s="2"/>
    </row>
    <row r="4231" spans="1:18" ht="15.75" customHeight="1" x14ac:dyDescent="0.3">
      <c r="A4231" s="11"/>
      <c r="B4231" s="11"/>
      <c r="D4231" s="21"/>
      <c r="E4231" s="22"/>
      <c r="G4231" s="23"/>
      <c r="H4231" s="24"/>
      <c r="Q4231" s="2"/>
      <c r="R4231" s="2"/>
    </row>
    <row r="4232" spans="1:18" ht="15.75" customHeight="1" x14ac:dyDescent="0.3">
      <c r="A4232" s="11"/>
      <c r="B4232" s="11"/>
      <c r="D4232" s="21"/>
      <c r="E4232" s="22"/>
      <c r="G4232" s="23"/>
      <c r="H4232" s="24"/>
      <c r="Q4232" s="2"/>
      <c r="R4232" s="2"/>
    </row>
    <row r="4233" spans="1:18" ht="15.75" customHeight="1" x14ac:dyDescent="0.3">
      <c r="A4233" s="11"/>
      <c r="B4233" s="11"/>
      <c r="D4233" s="21"/>
      <c r="E4233" s="22"/>
      <c r="G4233" s="23"/>
      <c r="H4233" s="24"/>
      <c r="Q4233" s="2"/>
      <c r="R4233" s="2"/>
    </row>
    <row r="4234" spans="1:18" ht="15.75" customHeight="1" x14ac:dyDescent="0.3">
      <c r="A4234" s="11"/>
      <c r="B4234" s="11"/>
      <c r="D4234" s="21"/>
      <c r="E4234" s="22"/>
      <c r="G4234" s="23"/>
      <c r="H4234" s="24"/>
      <c r="Q4234" s="2"/>
      <c r="R4234" s="2"/>
    </row>
    <row r="4235" spans="1:18" ht="15.75" customHeight="1" x14ac:dyDescent="0.3">
      <c r="A4235" s="11"/>
      <c r="B4235" s="11"/>
      <c r="D4235" s="21"/>
      <c r="E4235" s="22"/>
      <c r="G4235" s="23"/>
      <c r="H4235" s="24"/>
      <c r="Q4235" s="2"/>
      <c r="R4235" s="2"/>
    </row>
    <row r="4236" spans="1:18" ht="15.75" customHeight="1" x14ac:dyDescent="0.3">
      <c r="A4236" s="11"/>
      <c r="B4236" s="11"/>
      <c r="D4236" s="21"/>
      <c r="E4236" s="22"/>
      <c r="G4236" s="23"/>
      <c r="H4236" s="24"/>
      <c r="Q4236" s="2"/>
      <c r="R4236" s="2"/>
    </row>
    <row r="4237" spans="1:18" ht="15.75" customHeight="1" x14ac:dyDescent="0.3">
      <c r="A4237" s="11"/>
      <c r="B4237" s="11"/>
      <c r="D4237" s="21"/>
      <c r="E4237" s="22"/>
      <c r="G4237" s="23"/>
      <c r="H4237" s="24"/>
      <c r="Q4237" s="2"/>
      <c r="R4237" s="2"/>
    </row>
    <row r="4238" spans="1:18" ht="15.75" customHeight="1" x14ac:dyDescent="0.3">
      <c r="A4238" s="11"/>
      <c r="B4238" s="11"/>
      <c r="D4238" s="21"/>
      <c r="E4238" s="22"/>
      <c r="G4238" s="23"/>
      <c r="H4238" s="24"/>
      <c r="Q4238" s="2"/>
      <c r="R4238" s="2"/>
    </row>
    <row r="4239" spans="1:18" ht="15.75" customHeight="1" x14ac:dyDescent="0.3">
      <c r="A4239" s="11"/>
      <c r="B4239" s="11"/>
      <c r="D4239" s="21"/>
      <c r="E4239" s="22"/>
      <c r="G4239" s="23"/>
      <c r="H4239" s="24"/>
      <c r="Q4239" s="2"/>
      <c r="R4239" s="2"/>
    </row>
    <row r="4240" spans="1:18" ht="15.75" customHeight="1" x14ac:dyDescent="0.3">
      <c r="A4240" s="11"/>
      <c r="B4240" s="11"/>
      <c r="D4240" s="21"/>
      <c r="E4240" s="22"/>
      <c r="G4240" s="23"/>
      <c r="H4240" s="24"/>
      <c r="Q4240" s="2"/>
      <c r="R4240" s="2"/>
    </row>
    <row r="4241" spans="1:18" ht="15.75" customHeight="1" x14ac:dyDescent="0.3">
      <c r="A4241" s="11"/>
      <c r="B4241" s="11"/>
      <c r="D4241" s="21"/>
      <c r="E4241" s="22"/>
      <c r="G4241" s="23"/>
      <c r="H4241" s="24"/>
      <c r="Q4241" s="2"/>
      <c r="R4241" s="2"/>
    </row>
    <row r="4242" spans="1:18" ht="15.75" customHeight="1" x14ac:dyDescent="0.3">
      <c r="A4242" s="11"/>
      <c r="B4242" s="11"/>
      <c r="D4242" s="21"/>
      <c r="E4242" s="22"/>
      <c r="G4242" s="23"/>
      <c r="H4242" s="24"/>
      <c r="Q4242" s="2"/>
      <c r="R4242" s="2"/>
    </row>
    <row r="4243" spans="1:18" ht="15.75" customHeight="1" x14ac:dyDescent="0.3">
      <c r="A4243" s="11"/>
      <c r="B4243" s="11"/>
      <c r="D4243" s="21"/>
      <c r="E4243" s="22"/>
      <c r="G4243" s="23"/>
      <c r="H4243" s="24"/>
      <c r="Q4243" s="2"/>
      <c r="R4243" s="2"/>
    </row>
    <row r="4244" spans="1:18" ht="15.75" customHeight="1" x14ac:dyDescent="0.3">
      <c r="A4244" s="11"/>
      <c r="B4244" s="11"/>
      <c r="D4244" s="21"/>
      <c r="E4244" s="22"/>
      <c r="G4244" s="23"/>
      <c r="H4244" s="24"/>
      <c r="Q4244" s="2"/>
      <c r="R4244" s="2"/>
    </row>
    <row r="4245" spans="1:18" ht="15.75" customHeight="1" x14ac:dyDescent="0.3">
      <c r="A4245" s="11"/>
      <c r="B4245" s="11"/>
      <c r="D4245" s="21"/>
      <c r="E4245" s="22"/>
      <c r="G4245" s="23"/>
      <c r="H4245" s="24"/>
      <c r="Q4245" s="2"/>
      <c r="R4245" s="2"/>
    </row>
    <row r="4246" spans="1:18" ht="15.75" customHeight="1" x14ac:dyDescent="0.3">
      <c r="A4246" s="11"/>
      <c r="B4246" s="11"/>
      <c r="D4246" s="21"/>
      <c r="E4246" s="22"/>
      <c r="G4246" s="23"/>
      <c r="H4246" s="24"/>
      <c r="Q4246" s="2"/>
      <c r="R4246" s="2"/>
    </row>
    <row r="4247" spans="1:18" ht="15.75" customHeight="1" x14ac:dyDescent="0.3">
      <c r="A4247" s="11"/>
      <c r="B4247" s="11"/>
      <c r="D4247" s="21"/>
      <c r="E4247" s="22"/>
      <c r="G4247" s="23"/>
      <c r="H4247" s="24"/>
      <c r="Q4247" s="2"/>
      <c r="R4247" s="2"/>
    </row>
    <row r="4248" spans="1:18" ht="15.75" customHeight="1" x14ac:dyDescent="0.3">
      <c r="A4248" s="11"/>
      <c r="B4248" s="11"/>
      <c r="D4248" s="21"/>
      <c r="E4248" s="22"/>
      <c r="G4248" s="23"/>
      <c r="H4248" s="24"/>
      <c r="Q4248" s="2"/>
      <c r="R4248" s="2"/>
    </row>
    <row r="4249" spans="1:18" ht="15.75" customHeight="1" x14ac:dyDescent="0.3">
      <c r="A4249" s="11"/>
      <c r="B4249" s="11"/>
      <c r="D4249" s="21"/>
      <c r="E4249" s="22"/>
      <c r="G4249" s="23"/>
      <c r="H4249" s="24"/>
      <c r="Q4249" s="2"/>
      <c r="R4249" s="2"/>
    </row>
    <row r="4250" spans="1:18" ht="15.75" customHeight="1" x14ac:dyDescent="0.3">
      <c r="A4250" s="11"/>
      <c r="B4250" s="11"/>
      <c r="D4250" s="21"/>
      <c r="E4250" s="22"/>
      <c r="G4250" s="23"/>
      <c r="H4250" s="24"/>
      <c r="Q4250" s="2"/>
      <c r="R4250" s="2"/>
    </row>
    <row r="4251" spans="1:18" ht="15.75" customHeight="1" x14ac:dyDescent="0.3">
      <c r="A4251" s="11"/>
      <c r="B4251" s="11"/>
      <c r="D4251" s="21"/>
      <c r="E4251" s="22"/>
      <c r="G4251" s="23"/>
      <c r="H4251" s="24"/>
      <c r="Q4251" s="2"/>
      <c r="R4251" s="2"/>
    </row>
    <row r="4252" spans="1:18" ht="15.75" customHeight="1" x14ac:dyDescent="0.3">
      <c r="A4252" s="11"/>
      <c r="B4252" s="11"/>
      <c r="D4252" s="21"/>
      <c r="E4252" s="22"/>
      <c r="G4252" s="23"/>
      <c r="H4252" s="24"/>
      <c r="Q4252" s="2"/>
      <c r="R4252" s="2"/>
    </row>
    <row r="4253" spans="1:18" ht="15.75" customHeight="1" x14ac:dyDescent="0.3">
      <c r="A4253" s="11"/>
      <c r="B4253" s="11"/>
      <c r="D4253" s="21"/>
      <c r="E4253" s="22"/>
      <c r="G4253" s="23"/>
      <c r="H4253" s="24"/>
      <c r="Q4253" s="2"/>
      <c r="R4253" s="2"/>
    </row>
    <row r="4254" spans="1:18" ht="15.75" customHeight="1" x14ac:dyDescent="0.3">
      <c r="A4254" s="11"/>
      <c r="B4254" s="11"/>
      <c r="D4254" s="21"/>
      <c r="E4254" s="22"/>
      <c r="G4254" s="23"/>
      <c r="H4254" s="24"/>
      <c r="Q4254" s="2"/>
      <c r="R4254" s="2"/>
    </row>
    <row r="4255" spans="1:18" ht="15.75" customHeight="1" x14ac:dyDescent="0.3">
      <c r="A4255" s="11"/>
      <c r="B4255" s="11"/>
      <c r="D4255" s="21"/>
      <c r="E4255" s="22"/>
      <c r="G4255" s="23"/>
      <c r="H4255" s="24"/>
      <c r="Q4255" s="2"/>
      <c r="R4255" s="2"/>
    </row>
    <row r="4256" spans="1:18" ht="15.75" customHeight="1" x14ac:dyDescent="0.3">
      <c r="A4256" s="11"/>
      <c r="B4256" s="11"/>
      <c r="D4256" s="21"/>
      <c r="E4256" s="22"/>
      <c r="G4256" s="23"/>
      <c r="H4256" s="24"/>
      <c r="Q4256" s="2"/>
      <c r="R4256" s="2"/>
    </row>
    <row r="4257" spans="1:18" ht="15.75" customHeight="1" x14ac:dyDescent="0.3">
      <c r="A4257" s="11"/>
      <c r="B4257" s="11"/>
      <c r="D4257" s="21"/>
      <c r="E4257" s="22"/>
      <c r="G4257" s="23"/>
      <c r="H4257" s="24"/>
      <c r="Q4257" s="2"/>
      <c r="R4257" s="2"/>
    </row>
    <row r="4258" spans="1:18" ht="15.75" customHeight="1" x14ac:dyDescent="0.3">
      <c r="A4258" s="11"/>
      <c r="B4258" s="11"/>
      <c r="D4258" s="21"/>
      <c r="E4258" s="22"/>
      <c r="G4258" s="23"/>
      <c r="H4258" s="24"/>
      <c r="Q4258" s="2"/>
      <c r="R4258" s="2"/>
    </row>
    <row r="4259" spans="1:18" ht="15.75" customHeight="1" x14ac:dyDescent="0.3">
      <c r="A4259" s="11"/>
      <c r="B4259" s="11"/>
      <c r="D4259" s="21"/>
      <c r="E4259" s="22"/>
      <c r="G4259" s="23"/>
      <c r="H4259" s="24"/>
      <c r="Q4259" s="2"/>
      <c r="R4259" s="2"/>
    </row>
    <row r="4260" spans="1:18" ht="15.75" customHeight="1" x14ac:dyDescent="0.3">
      <c r="A4260" s="11"/>
      <c r="B4260" s="11"/>
      <c r="D4260" s="21"/>
      <c r="E4260" s="22"/>
      <c r="G4260" s="23"/>
      <c r="H4260" s="24"/>
      <c r="Q4260" s="2"/>
      <c r="R4260" s="2"/>
    </row>
    <row r="4261" spans="1:18" ht="15.75" customHeight="1" x14ac:dyDescent="0.3">
      <c r="A4261" s="11"/>
      <c r="B4261" s="11"/>
      <c r="D4261" s="21"/>
      <c r="E4261" s="22"/>
      <c r="G4261" s="23"/>
      <c r="H4261" s="24"/>
      <c r="Q4261" s="2"/>
      <c r="R4261" s="2"/>
    </row>
    <row r="4262" spans="1:18" ht="15.75" customHeight="1" x14ac:dyDescent="0.3">
      <c r="A4262" s="11"/>
      <c r="B4262" s="11"/>
      <c r="D4262" s="21"/>
      <c r="E4262" s="22"/>
      <c r="G4262" s="23"/>
      <c r="H4262" s="24"/>
      <c r="Q4262" s="2"/>
      <c r="R4262" s="2"/>
    </row>
    <row r="4263" spans="1:18" ht="15.75" customHeight="1" x14ac:dyDescent="0.3">
      <c r="A4263" s="11"/>
      <c r="B4263" s="11"/>
      <c r="D4263" s="21"/>
      <c r="E4263" s="22"/>
      <c r="G4263" s="23"/>
      <c r="H4263" s="24"/>
      <c r="Q4263" s="2"/>
      <c r="R4263" s="2"/>
    </row>
    <row r="4264" spans="1:18" ht="15.75" customHeight="1" x14ac:dyDescent="0.3">
      <c r="A4264" s="11"/>
      <c r="B4264" s="11"/>
      <c r="D4264" s="21"/>
      <c r="E4264" s="22"/>
      <c r="G4264" s="23"/>
      <c r="H4264" s="24"/>
      <c r="Q4264" s="2"/>
      <c r="R4264" s="2"/>
    </row>
    <row r="4265" spans="1:18" ht="15.75" customHeight="1" x14ac:dyDescent="0.3">
      <c r="A4265" s="11"/>
      <c r="B4265" s="11"/>
      <c r="D4265" s="21"/>
      <c r="E4265" s="22"/>
      <c r="G4265" s="23"/>
      <c r="H4265" s="24"/>
      <c r="Q4265" s="2"/>
      <c r="R4265" s="2"/>
    </row>
    <row r="4266" spans="1:18" ht="15.75" customHeight="1" x14ac:dyDescent="0.3">
      <c r="A4266" s="11"/>
      <c r="B4266" s="11"/>
      <c r="D4266" s="21"/>
      <c r="E4266" s="22"/>
      <c r="G4266" s="23"/>
      <c r="H4266" s="24"/>
      <c r="Q4266" s="2"/>
      <c r="R4266" s="2"/>
    </row>
    <row r="4267" spans="1:18" ht="15.75" customHeight="1" x14ac:dyDescent="0.3">
      <c r="A4267" s="11"/>
      <c r="B4267" s="11"/>
      <c r="D4267" s="21"/>
      <c r="E4267" s="22"/>
      <c r="G4267" s="23"/>
      <c r="H4267" s="24"/>
      <c r="Q4267" s="2"/>
      <c r="R4267" s="2"/>
    </row>
    <row r="4268" spans="1:18" ht="15.75" customHeight="1" x14ac:dyDescent="0.3">
      <c r="A4268" s="11"/>
      <c r="B4268" s="11"/>
      <c r="D4268" s="21"/>
      <c r="E4268" s="22"/>
      <c r="G4268" s="23"/>
      <c r="H4268" s="24"/>
      <c r="Q4268" s="2"/>
      <c r="R4268" s="2"/>
    </row>
    <row r="4269" spans="1:18" ht="15.75" customHeight="1" x14ac:dyDescent="0.3">
      <c r="A4269" s="11"/>
      <c r="B4269" s="11"/>
      <c r="D4269" s="21"/>
      <c r="E4269" s="22"/>
      <c r="G4269" s="23"/>
      <c r="H4269" s="24"/>
      <c r="Q4269" s="2"/>
      <c r="R4269" s="2"/>
    </row>
    <row r="4270" spans="1:18" ht="15.75" customHeight="1" x14ac:dyDescent="0.3">
      <c r="A4270" s="11"/>
      <c r="B4270" s="11"/>
      <c r="D4270" s="21"/>
      <c r="E4270" s="22"/>
      <c r="G4270" s="23"/>
      <c r="H4270" s="24"/>
      <c r="Q4270" s="2"/>
      <c r="R4270" s="2"/>
    </row>
    <row r="4271" spans="1:18" ht="15.75" customHeight="1" x14ac:dyDescent="0.3">
      <c r="A4271" s="11"/>
      <c r="B4271" s="11"/>
      <c r="D4271" s="21"/>
      <c r="E4271" s="22"/>
      <c r="G4271" s="23"/>
      <c r="H4271" s="24"/>
      <c r="Q4271" s="2"/>
      <c r="R4271" s="2"/>
    </row>
    <row r="4272" spans="1:18" ht="15.75" customHeight="1" x14ac:dyDescent="0.3">
      <c r="A4272" s="11"/>
      <c r="B4272" s="11"/>
      <c r="D4272" s="21"/>
      <c r="E4272" s="22"/>
      <c r="G4272" s="23"/>
      <c r="H4272" s="24"/>
      <c r="Q4272" s="2"/>
      <c r="R4272" s="2"/>
    </row>
    <row r="4273" spans="1:18" ht="15.75" customHeight="1" x14ac:dyDescent="0.3">
      <c r="A4273" s="11"/>
      <c r="B4273" s="11"/>
      <c r="D4273" s="21"/>
      <c r="E4273" s="22"/>
      <c r="G4273" s="23"/>
      <c r="H4273" s="24"/>
      <c r="Q4273" s="2"/>
      <c r="R4273" s="2"/>
    </row>
    <row r="4274" spans="1:18" ht="15.75" customHeight="1" x14ac:dyDescent="0.3">
      <c r="A4274" s="11"/>
      <c r="B4274" s="11"/>
      <c r="D4274" s="21"/>
      <c r="E4274" s="22"/>
      <c r="G4274" s="23"/>
      <c r="H4274" s="24"/>
      <c r="Q4274" s="2"/>
      <c r="R4274" s="2"/>
    </row>
    <row r="4275" spans="1:18" ht="15.75" customHeight="1" x14ac:dyDescent="0.3">
      <c r="A4275" s="11"/>
      <c r="B4275" s="11"/>
      <c r="D4275" s="21"/>
      <c r="E4275" s="22"/>
      <c r="G4275" s="23"/>
      <c r="H4275" s="24"/>
      <c r="Q4275" s="2"/>
      <c r="R4275" s="2"/>
    </row>
    <row r="4276" spans="1:18" ht="15.75" customHeight="1" x14ac:dyDescent="0.3">
      <c r="A4276" s="11"/>
      <c r="B4276" s="11"/>
      <c r="D4276" s="21"/>
      <c r="E4276" s="22"/>
      <c r="G4276" s="23"/>
      <c r="H4276" s="24"/>
      <c r="Q4276" s="2"/>
      <c r="R4276" s="2"/>
    </row>
    <row r="4277" spans="1:18" ht="15.75" customHeight="1" x14ac:dyDescent="0.3">
      <c r="A4277" s="11"/>
      <c r="B4277" s="11"/>
      <c r="D4277" s="21"/>
      <c r="E4277" s="22"/>
      <c r="G4277" s="23"/>
      <c r="H4277" s="24"/>
      <c r="Q4277" s="2"/>
      <c r="R4277" s="2"/>
    </row>
    <row r="4278" spans="1:18" ht="15.75" customHeight="1" x14ac:dyDescent="0.3">
      <c r="A4278" s="11"/>
      <c r="B4278" s="11"/>
      <c r="D4278" s="21"/>
      <c r="E4278" s="22"/>
      <c r="G4278" s="23"/>
      <c r="H4278" s="24"/>
      <c r="Q4278" s="2"/>
      <c r="R4278" s="2"/>
    </row>
    <row r="4279" spans="1:18" ht="15.75" customHeight="1" x14ac:dyDescent="0.3">
      <c r="A4279" s="11"/>
      <c r="B4279" s="11"/>
      <c r="D4279" s="21"/>
      <c r="E4279" s="22"/>
      <c r="G4279" s="23"/>
      <c r="H4279" s="24"/>
      <c r="Q4279" s="2"/>
      <c r="R4279" s="2"/>
    </row>
    <row r="4280" spans="1:18" ht="15.75" customHeight="1" x14ac:dyDescent="0.3">
      <c r="A4280" s="11"/>
      <c r="B4280" s="11"/>
      <c r="D4280" s="21"/>
      <c r="E4280" s="22"/>
      <c r="G4280" s="23"/>
      <c r="H4280" s="24"/>
      <c r="Q4280" s="2"/>
      <c r="R4280" s="2"/>
    </row>
    <row r="4281" spans="1:18" ht="15.75" customHeight="1" x14ac:dyDescent="0.3">
      <c r="A4281" s="11"/>
      <c r="B4281" s="11"/>
      <c r="D4281" s="21"/>
      <c r="E4281" s="22"/>
      <c r="G4281" s="23"/>
      <c r="H4281" s="24"/>
      <c r="Q4281" s="2"/>
      <c r="R4281" s="2"/>
    </row>
    <row r="4282" spans="1:18" ht="15.75" customHeight="1" x14ac:dyDescent="0.3">
      <c r="A4282" s="11"/>
      <c r="B4282" s="11"/>
      <c r="D4282" s="21"/>
      <c r="E4282" s="22"/>
      <c r="G4282" s="23"/>
      <c r="H4282" s="24"/>
      <c r="Q4282" s="2"/>
      <c r="R4282" s="2"/>
    </row>
    <row r="4283" spans="1:18" ht="15.75" customHeight="1" x14ac:dyDescent="0.3">
      <c r="A4283" s="11"/>
      <c r="B4283" s="11"/>
      <c r="D4283" s="21"/>
      <c r="E4283" s="22"/>
      <c r="G4283" s="23"/>
      <c r="H4283" s="24"/>
      <c r="Q4283" s="2"/>
      <c r="R4283" s="2"/>
    </row>
    <row r="4284" spans="1:18" ht="15.75" customHeight="1" x14ac:dyDescent="0.3">
      <c r="A4284" s="11"/>
      <c r="B4284" s="11"/>
      <c r="D4284" s="21"/>
      <c r="E4284" s="22"/>
      <c r="G4284" s="23"/>
      <c r="H4284" s="24"/>
      <c r="Q4284" s="2"/>
      <c r="R4284" s="2"/>
    </row>
    <row r="4285" spans="1:18" ht="15.75" customHeight="1" x14ac:dyDescent="0.3">
      <c r="A4285" s="11"/>
      <c r="B4285" s="11"/>
      <c r="D4285" s="21"/>
      <c r="E4285" s="22"/>
      <c r="G4285" s="23"/>
      <c r="H4285" s="24"/>
      <c r="Q4285" s="2"/>
      <c r="R4285" s="2"/>
    </row>
    <row r="4286" spans="1:18" ht="15.75" customHeight="1" x14ac:dyDescent="0.3">
      <c r="A4286" s="11"/>
      <c r="B4286" s="11"/>
      <c r="D4286" s="21"/>
      <c r="E4286" s="22"/>
      <c r="G4286" s="23"/>
      <c r="H4286" s="24"/>
      <c r="Q4286" s="2"/>
      <c r="R4286" s="2"/>
    </row>
    <row r="4287" spans="1:18" ht="15.75" customHeight="1" x14ac:dyDescent="0.3">
      <c r="A4287" s="11"/>
      <c r="B4287" s="11"/>
      <c r="D4287" s="21"/>
      <c r="E4287" s="22"/>
      <c r="G4287" s="23"/>
      <c r="H4287" s="24"/>
      <c r="Q4287" s="2"/>
      <c r="R4287" s="2"/>
    </row>
    <row r="4288" spans="1:18" ht="15.75" customHeight="1" x14ac:dyDescent="0.3">
      <c r="A4288" s="11"/>
      <c r="B4288" s="11"/>
      <c r="D4288" s="21"/>
      <c r="E4288" s="22"/>
      <c r="G4288" s="23"/>
      <c r="H4288" s="24"/>
      <c r="Q4288" s="2"/>
      <c r="R4288" s="2"/>
    </row>
    <row r="4289" spans="1:18" ht="15.75" customHeight="1" x14ac:dyDescent="0.3">
      <c r="A4289" s="11"/>
      <c r="B4289" s="11"/>
      <c r="D4289" s="21"/>
      <c r="E4289" s="22"/>
      <c r="G4289" s="23"/>
      <c r="H4289" s="24"/>
      <c r="Q4289" s="2"/>
      <c r="R4289" s="2"/>
    </row>
    <row r="4290" spans="1:18" ht="15.75" customHeight="1" x14ac:dyDescent="0.3">
      <c r="A4290" s="11"/>
      <c r="B4290" s="11"/>
      <c r="D4290" s="21"/>
      <c r="E4290" s="22"/>
      <c r="G4290" s="23"/>
      <c r="H4290" s="24"/>
      <c r="Q4290" s="2"/>
      <c r="R4290" s="2"/>
    </row>
    <row r="4291" spans="1:18" ht="15.75" customHeight="1" x14ac:dyDescent="0.3">
      <c r="A4291" s="11"/>
      <c r="B4291" s="11"/>
      <c r="D4291" s="21"/>
      <c r="E4291" s="22"/>
      <c r="G4291" s="23"/>
      <c r="H4291" s="24"/>
      <c r="Q4291" s="2"/>
      <c r="R4291" s="2"/>
    </row>
    <row r="4292" spans="1:18" ht="15.75" customHeight="1" x14ac:dyDescent="0.3">
      <c r="A4292" s="11"/>
      <c r="B4292" s="11"/>
      <c r="D4292" s="21"/>
      <c r="E4292" s="22"/>
      <c r="G4292" s="23"/>
      <c r="H4292" s="24"/>
      <c r="Q4292" s="2"/>
      <c r="R4292" s="2"/>
    </row>
    <row r="4293" spans="1:18" ht="15.75" customHeight="1" x14ac:dyDescent="0.3">
      <c r="A4293" s="11"/>
      <c r="B4293" s="11"/>
      <c r="D4293" s="21"/>
      <c r="E4293" s="22"/>
      <c r="G4293" s="23"/>
      <c r="H4293" s="24"/>
      <c r="Q4293" s="2"/>
      <c r="R4293" s="2"/>
    </row>
    <row r="4294" spans="1:18" ht="15.75" customHeight="1" x14ac:dyDescent="0.3">
      <c r="A4294" s="11"/>
      <c r="B4294" s="11"/>
      <c r="D4294" s="21"/>
      <c r="E4294" s="22"/>
      <c r="G4294" s="23"/>
      <c r="H4294" s="24"/>
      <c r="Q4294" s="2"/>
      <c r="R4294" s="2"/>
    </row>
    <row r="4295" spans="1:18" ht="15.75" customHeight="1" x14ac:dyDescent="0.3">
      <c r="A4295" s="11"/>
      <c r="B4295" s="11"/>
      <c r="D4295" s="21"/>
      <c r="E4295" s="22"/>
      <c r="G4295" s="23"/>
      <c r="H4295" s="24"/>
      <c r="Q4295" s="2"/>
      <c r="R4295" s="2"/>
    </row>
    <row r="4296" spans="1:18" ht="15.75" customHeight="1" x14ac:dyDescent="0.3">
      <c r="A4296" s="11"/>
      <c r="B4296" s="11"/>
      <c r="D4296" s="21"/>
      <c r="E4296" s="22"/>
      <c r="G4296" s="23"/>
      <c r="H4296" s="24"/>
      <c r="Q4296" s="2"/>
      <c r="R4296" s="2"/>
    </row>
    <row r="4297" spans="1:18" ht="15.75" customHeight="1" x14ac:dyDescent="0.3">
      <c r="A4297" s="11"/>
      <c r="B4297" s="11"/>
      <c r="D4297" s="21"/>
      <c r="E4297" s="22"/>
      <c r="G4297" s="23"/>
      <c r="H4297" s="24"/>
      <c r="Q4297" s="2"/>
      <c r="R4297" s="2"/>
    </row>
    <row r="4298" spans="1:18" ht="15.75" customHeight="1" x14ac:dyDescent="0.3">
      <c r="A4298" s="11"/>
      <c r="B4298" s="11"/>
      <c r="D4298" s="21"/>
      <c r="E4298" s="22"/>
      <c r="G4298" s="23"/>
      <c r="H4298" s="24"/>
      <c r="Q4298" s="2"/>
      <c r="R4298" s="2"/>
    </row>
    <row r="4299" spans="1:18" ht="15.75" customHeight="1" x14ac:dyDescent="0.3">
      <c r="A4299" s="11"/>
      <c r="B4299" s="11"/>
      <c r="D4299" s="21"/>
      <c r="E4299" s="22"/>
      <c r="G4299" s="23"/>
      <c r="H4299" s="24"/>
      <c r="Q4299" s="2"/>
      <c r="R4299" s="2"/>
    </row>
    <row r="4300" spans="1:18" ht="15.75" customHeight="1" x14ac:dyDescent="0.3">
      <c r="A4300" s="11"/>
      <c r="B4300" s="11"/>
      <c r="D4300" s="21"/>
      <c r="E4300" s="22"/>
      <c r="G4300" s="23"/>
      <c r="H4300" s="24"/>
      <c r="Q4300" s="2"/>
      <c r="R4300" s="2"/>
    </row>
    <row r="4301" spans="1:18" ht="15.75" customHeight="1" x14ac:dyDescent="0.3">
      <c r="A4301" s="11"/>
      <c r="B4301" s="11"/>
      <c r="D4301" s="21"/>
      <c r="E4301" s="22"/>
      <c r="G4301" s="23"/>
      <c r="H4301" s="24"/>
      <c r="Q4301" s="2"/>
      <c r="R4301" s="2"/>
    </row>
    <row r="4302" spans="1:18" ht="15.75" customHeight="1" x14ac:dyDescent="0.3">
      <c r="A4302" s="11"/>
      <c r="B4302" s="11"/>
      <c r="D4302" s="21"/>
      <c r="E4302" s="22"/>
      <c r="G4302" s="23"/>
      <c r="H4302" s="24"/>
      <c r="Q4302" s="2"/>
      <c r="R4302" s="2"/>
    </row>
    <row r="4303" spans="1:18" ht="15.75" customHeight="1" x14ac:dyDescent="0.3">
      <c r="A4303" s="11"/>
      <c r="B4303" s="11"/>
      <c r="D4303" s="21"/>
      <c r="E4303" s="22"/>
      <c r="G4303" s="23"/>
      <c r="H4303" s="24"/>
      <c r="Q4303" s="2"/>
      <c r="R4303" s="2"/>
    </row>
    <row r="4304" spans="1:18" ht="15.75" customHeight="1" x14ac:dyDescent="0.3">
      <c r="A4304" s="11"/>
      <c r="B4304" s="11"/>
      <c r="D4304" s="21"/>
      <c r="E4304" s="22"/>
      <c r="G4304" s="23"/>
      <c r="H4304" s="24"/>
      <c r="Q4304" s="2"/>
      <c r="R4304" s="2"/>
    </row>
    <row r="4305" spans="1:18" ht="15.75" customHeight="1" x14ac:dyDescent="0.3">
      <c r="A4305" s="11"/>
      <c r="B4305" s="11"/>
      <c r="D4305" s="21"/>
      <c r="E4305" s="22"/>
      <c r="G4305" s="23"/>
      <c r="H4305" s="24"/>
      <c r="Q4305" s="2"/>
      <c r="R4305" s="2"/>
    </row>
    <row r="4306" spans="1:18" ht="15.75" customHeight="1" x14ac:dyDescent="0.3">
      <c r="A4306" s="11"/>
      <c r="B4306" s="11"/>
      <c r="D4306" s="21"/>
      <c r="E4306" s="22"/>
      <c r="G4306" s="23"/>
      <c r="H4306" s="24"/>
      <c r="Q4306" s="2"/>
      <c r="R4306" s="2"/>
    </row>
    <row r="4307" spans="1:18" ht="15.75" customHeight="1" x14ac:dyDescent="0.3">
      <c r="A4307" s="11"/>
      <c r="B4307" s="11"/>
      <c r="D4307" s="21"/>
      <c r="E4307" s="22"/>
      <c r="G4307" s="23"/>
      <c r="H4307" s="24"/>
      <c r="Q4307" s="2"/>
      <c r="R4307" s="2"/>
    </row>
    <row r="4308" spans="1:18" ht="15.75" customHeight="1" x14ac:dyDescent="0.3">
      <c r="A4308" s="11"/>
      <c r="B4308" s="11"/>
      <c r="D4308" s="21"/>
      <c r="E4308" s="22"/>
      <c r="G4308" s="23"/>
      <c r="H4308" s="24"/>
      <c r="Q4308" s="2"/>
      <c r="R4308" s="2"/>
    </row>
    <row r="4309" spans="1:18" ht="15.75" customHeight="1" x14ac:dyDescent="0.3">
      <c r="A4309" s="11"/>
      <c r="B4309" s="11"/>
      <c r="D4309" s="21"/>
      <c r="E4309" s="22"/>
      <c r="G4309" s="23"/>
      <c r="H4309" s="24"/>
      <c r="Q4309" s="2"/>
      <c r="R4309" s="2"/>
    </row>
    <row r="4310" spans="1:18" ht="15.75" customHeight="1" x14ac:dyDescent="0.3">
      <c r="A4310" s="11"/>
      <c r="B4310" s="11"/>
      <c r="D4310" s="21"/>
      <c r="E4310" s="22"/>
      <c r="G4310" s="23"/>
      <c r="H4310" s="24"/>
      <c r="Q4310" s="2"/>
      <c r="R4310" s="2"/>
    </row>
    <row r="4311" spans="1:18" ht="15.75" customHeight="1" x14ac:dyDescent="0.3">
      <c r="A4311" s="11"/>
      <c r="B4311" s="11"/>
      <c r="D4311" s="21"/>
      <c r="E4311" s="22"/>
      <c r="G4311" s="23"/>
      <c r="H4311" s="24"/>
      <c r="Q4311" s="2"/>
      <c r="R4311" s="2"/>
    </row>
    <row r="4312" spans="1:18" ht="15.75" customHeight="1" x14ac:dyDescent="0.3">
      <c r="A4312" s="11"/>
      <c r="B4312" s="11"/>
      <c r="D4312" s="21"/>
      <c r="E4312" s="22"/>
      <c r="G4312" s="23"/>
      <c r="H4312" s="24"/>
      <c r="Q4312" s="2"/>
      <c r="R4312" s="2"/>
    </row>
    <row r="4313" spans="1:18" ht="15.75" customHeight="1" x14ac:dyDescent="0.3">
      <c r="A4313" s="11"/>
      <c r="B4313" s="11"/>
      <c r="D4313" s="21"/>
      <c r="E4313" s="22"/>
      <c r="G4313" s="23"/>
      <c r="H4313" s="24"/>
      <c r="Q4313" s="2"/>
      <c r="R4313" s="2"/>
    </row>
    <row r="4314" spans="1:18" ht="15.75" customHeight="1" x14ac:dyDescent="0.3">
      <c r="A4314" s="11"/>
      <c r="B4314" s="11"/>
      <c r="D4314" s="21"/>
      <c r="E4314" s="22"/>
      <c r="G4314" s="23"/>
      <c r="H4314" s="24"/>
      <c r="Q4314" s="2"/>
      <c r="R4314" s="2"/>
    </row>
    <row r="4315" spans="1:18" ht="15.75" customHeight="1" x14ac:dyDescent="0.3">
      <c r="A4315" s="11"/>
      <c r="B4315" s="11"/>
      <c r="D4315" s="21"/>
      <c r="E4315" s="22"/>
      <c r="G4315" s="23"/>
      <c r="H4315" s="24"/>
      <c r="Q4315" s="2"/>
      <c r="R4315" s="2"/>
    </row>
    <row r="4316" spans="1:18" ht="15.75" customHeight="1" x14ac:dyDescent="0.3">
      <c r="A4316" s="11"/>
      <c r="B4316" s="11"/>
      <c r="D4316" s="21"/>
      <c r="E4316" s="22"/>
      <c r="G4316" s="23"/>
      <c r="H4316" s="24"/>
      <c r="Q4316" s="2"/>
      <c r="R4316" s="2"/>
    </row>
    <row r="4317" spans="1:18" ht="15.75" customHeight="1" x14ac:dyDescent="0.3">
      <c r="A4317" s="11"/>
      <c r="B4317" s="11"/>
      <c r="D4317" s="21"/>
      <c r="E4317" s="22"/>
      <c r="G4317" s="23"/>
      <c r="H4317" s="24"/>
      <c r="Q4317" s="2"/>
      <c r="R4317" s="2"/>
    </row>
    <row r="4318" spans="1:18" ht="15.75" customHeight="1" x14ac:dyDescent="0.3">
      <c r="A4318" s="11"/>
      <c r="B4318" s="11"/>
      <c r="D4318" s="21"/>
      <c r="E4318" s="22"/>
      <c r="G4318" s="23"/>
      <c r="H4318" s="24"/>
      <c r="Q4318" s="2"/>
      <c r="R4318" s="2"/>
    </row>
    <row r="4319" spans="1:18" ht="15.75" customHeight="1" x14ac:dyDescent="0.3">
      <c r="A4319" s="11"/>
      <c r="B4319" s="11"/>
      <c r="D4319" s="21"/>
      <c r="E4319" s="22"/>
      <c r="G4319" s="23"/>
      <c r="H4319" s="24"/>
      <c r="Q4319" s="2"/>
      <c r="R4319" s="2"/>
    </row>
    <row r="4320" spans="1:18" ht="15.75" customHeight="1" x14ac:dyDescent="0.3">
      <c r="A4320" s="11"/>
      <c r="B4320" s="11"/>
      <c r="D4320" s="21"/>
      <c r="E4320" s="22"/>
      <c r="G4320" s="23"/>
      <c r="H4320" s="24"/>
      <c r="Q4320" s="2"/>
      <c r="R4320" s="2"/>
    </row>
    <row r="4321" spans="1:18" ht="15.75" customHeight="1" x14ac:dyDescent="0.3">
      <c r="A4321" s="11"/>
      <c r="B4321" s="11"/>
      <c r="D4321" s="21"/>
      <c r="E4321" s="22"/>
      <c r="G4321" s="23"/>
      <c r="H4321" s="24"/>
      <c r="Q4321" s="2"/>
      <c r="R4321" s="2"/>
    </row>
    <row r="4322" spans="1:18" ht="15.75" customHeight="1" x14ac:dyDescent="0.3">
      <c r="A4322" s="11"/>
      <c r="B4322" s="11"/>
      <c r="D4322" s="21"/>
      <c r="E4322" s="22"/>
      <c r="G4322" s="23"/>
      <c r="H4322" s="24"/>
      <c r="Q4322" s="2"/>
      <c r="R4322" s="2"/>
    </row>
    <row r="4323" spans="1:18" ht="15.75" customHeight="1" x14ac:dyDescent="0.3">
      <c r="A4323" s="11"/>
      <c r="B4323" s="11"/>
      <c r="D4323" s="21"/>
      <c r="E4323" s="22"/>
      <c r="G4323" s="23"/>
      <c r="H4323" s="24"/>
      <c r="Q4323" s="2"/>
      <c r="R4323" s="2"/>
    </row>
    <row r="4324" spans="1:18" ht="15.75" customHeight="1" x14ac:dyDescent="0.3">
      <c r="A4324" s="11"/>
      <c r="B4324" s="11"/>
      <c r="D4324" s="21"/>
      <c r="E4324" s="22"/>
      <c r="G4324" s="23"/>
      <c r="H4324" s="24"/>
      <c r="Q4324" s="2"/>
      <c r="R4324" s="2"/>
    </row>
    <row r="4325" spans="1:18" ht="15.75" customHeight="1" x14ac:dyDescent="0.3">
      <c r="A4325" s="11"/>
      <c r="B4325" s="11"/>
      <c r="D4325" s="21"/>
      <c r="E4325" s="22"/>
      <c r="G4325" s="23"/>
      <c r="H4325" s="24"/>
      <c r="Q4325" s="2"/>
      <c r="R4325" s="2"/>
    </row>
    <row r="4326" spans="1:18" ht="15.75" customHeight="1" x14ac:dyDescent="0.3">
      <c r="A4326" s="11"/>
      <c r="B4326" s="11"/>
      <c r="D4326" s="21"/>
      <c r="E4326" s="22"/>
      <c r="G4326" s="23"/>
      <c r="H4326" s="24"/>
      <c r="Q4326" s="2"/>
      <c r="R4326" s="2"/>
    </row>
    <row r="4327" spans="1:18" ht="15.75" customHeight="1" x14ac:dyDescent="0.3">
      <c r="A4327" s="11"/>
      <c r="B4327" s="11"/>
      <c r="D4327" s="21"/>
      <c r="E4327" s="22"/>
      <c r="G4327" s="23"/>
      <c r="H4327" s="24"/>
      <c r="Q4327" s="2"/>
      <c r="R4327" s="2"/>
    </row>
    <row r="4328" spans="1:18" ht="15.75" customHeight="1" x14ac:dyDescent="0.3">
      <c r="A4328" s="11"/>
      <c r="B4328" s="11"/>
      <c r="D4328" s="21"/>
      <c r="E4328" s="22"/>
      <c r="G4328" s="23"/>
      <c r="H4328" s="24"/>
      <c r="Q4328" s="2"/>
      <c r="R4328" s="2"/>
    </row>
    <row r="4329" spans="1:18" ht="15.75" customHeight="1" x14ac:dyDescent="0.3">
      <c r="A4329" s="11"/>
      <c r="B4329" s="11"/>
      <c r="D4329" s="21"/>
      <c r="E4329" s="22"/>
      <c r="G4329" s="23"/>
      <c r="H4329" s="24"/>
      <c r="Q4329" s="2"/>
      <c r="R4329" s="2"/>
    </row>
    <row r="4330" spans="1:18" ht="15.75" customHeight="1" x14ac:dyDescent="0.3">
      <c r="A4330" s="11"/>
      <c r="B4330" s="11"/>
      <c r="D4330" s="21"/>
      <c r="E4330" s="22"/>
      <c r="G4330" s="23"/>
      <c r="H4330" s="24"/>
      <c r="Q4330" s="2"/>
      <c r="R4330" s="2"/>
    </row>
    <row r="4331" spans="1:18" ht="15.75" customHeight="1" x14ac:dyDescent="0.3">
      <c r="A4331" s="11"/>
      <c r="B4331" s="11"/>
      <c r="D4331" s="21"/>
      <c r="E4331" s="22"/>
      <c r="G4331" s="23"/>
      <c r="H4331" s="24"/>
      <c r="Q4331" s="2"/>
      <c r="R4331" s="2"/>
    </row>
    <row r="4332" spans="1:18" ht="15.75" customHeight="1" x14ac:dyDescent="0.3">
      <c r="A4332" s="11"/>
      <c r="B4332" s="11"/>
      <c r="D4332" s="21"/>
      <c r="E4332" s="22"/>
      <c r="G4332" s="23"/>
      <c r="H4332" s="24"/>
      <c r="Q4332" s="2"/>
      <c r="R4332" s="2"/>
    </row>
    <row r="4333" spans="1:18" ht="15.75" customHeight="1" x14ac:dyDescent="0.3">
      <c r="A4333" s="11"/>
      <c r="B4333" s="11"/>
      <c r="D4333" s="21"/>
      <c r="E4333" s="22"/>
      <c r="G4333" s="23"/>
      <c r="H4333" s="24"/>
      <c r="Q4333" s="2"/>
      <c r="R4333" s="2"/>
    </row>
    <row r="4334" spans="1:18" ht="15.75" customHeight="1" x14ac:dyDescent="0.3">
      <c r="A4334" s="11"/>
      <c r="B4334" s="11"/>
      <c r="D4334" s="21"/>
      <c r="E4334" s="22"/>
      <c r="G4334" s="23"/>
      <c r="H4334" s="24"/>
      <c r="Q4334" s="2"/>
      <c r="R4334" s="2"/>
    </row>
    <row r="4335" spans="1:18" ht="15.75" customHeight="1" x14ac:dyDescent="0.3">
      <c r="A4335" s="11"/>
      <c r="B4335" s="11"/>
      <c r="D4335" s="21"/>
      <c r="E4335" s="22"/>
      <c r="G4335" s="23"/>
      <c r="H4335" s="24"/>
      <c r="Q4335" s="2"/>
      <c r="R4335" s="2"/>
    </row>
    <row r="4336" spans="1:18" ht="15.75" customHeight="1" x14ac:dyDescent="0.3">
      <c r="A4336" s="11"/>
      <c r="B4336" s="11"/>
      <c r="D4336" s="21"/>
      <c r="E4336" s="22"/>
      <c r="G4336" s="23"/>
      <c r="H4336" s="24"/>
      <c r="Q4336" s="2"/>
      <c r="R4336" s="2"/>
    </row>
    <row r="4337" spans="1:18" ht="15.75" customHeight="1" x14ac:dyDescent="0.3">
      <c r="A4337" s="11"/>
      <c r="B4337" s="11"/>
      <c r="D4337" s="21"/>
      <c r="E4337" s="22"/>
      <c r="G4337" s="23"/>
      <c r="H4337" s="24"/>
      <c r="Q4337" s="2"/>
      <c r="R4337" s="2"/>
    </row>
    <row r="4338" spans="1:18" ht="15.75" customHeight="1" x14ac:dyDescent="0.3">
      <c r="A4338" s="11"/>
      <c r="B4338" s="11"/>
      <c r="D4338" s="21"/>
      <c r="E4338" s="22"/>
      <c r="G4338" s="23"/>
      <c r="H4338" s="24"/>
      <c r="Q4338" s="2"/>
      <c r="R4338" s="2"/>
    </row>
    <row r="4339" spans="1:18" ht="15.75" customHeight="1" x14ac:dyDescent="0.3">
      <c r="A4339" s="11"/>
      <c r="B4339" s="11"/>
      <c r="D4339" s="21"/>
      <c r="E4339" s="22"/>
      <c r="G4339" s="23"/>
      <c r="H4339" s="24"/>
      <c r="Q4339" s="2"/>
      <c r="R4339" s="2"/>
    </row>
    <row r="4340" spans="1:18" ht="15.75" customHeight="1" x14ac:dyDescent="0.3">
      <c r="A4340" s="11"/>
      <c r="B4340" s="11"/>
      <c r="D4340" s="21"/>
      <c r="E4340" s="22"/>
      <c r="G4340" s="23"/>
      <c r="H4340" s="24"/>
      <c r="Q4340" s="2"/>
      <c r="R4340" s="2"/>
    </row>
    <row r="4341" spans="1:18" ht="15.75" customHeight="1" x14ac:dyDescent="0.3">
      <c r="A4341" s="11"/>
      <c r="B4341" s="11"/>
      <c r="D4341" s="21"/>
      <c r="E4341" s="22"/>
      <c r="G4341" s="23"/>
      <c r="H4341" s="24"/>
      <c r="Q4341" s="2"/>
      <c r="R4341" s="2"/>
    </row>
    <row r="4342" spans="1:18" ht="15.75" customHeight="1" x14ac:dyDescent="0.3">
      <c r="A4342" s="11"/>
      <c r="B4342" s="11"/>
      <c r="D4342" s="21"/>
      <c r="E4342" s="22"/>
      <c r="G4342" s="23"/>
      <c r="H4342" s="24"/>
      <c r="Q4342" s="2"/>
      <c r="R4342" s="2"/>
    </row>
    <row r="4343" spans="1:18" ht="15.75" customHeight="1" x14ac:dyDescent="0.3">
      <c r="A4343" s="11"/>
      <c r="B4343" s="11"/>
      <c r="D4343" s="21"/>
      <c r="E4343" s="22"/>
      <c r="G4343" s="23"/>
      <c r="H4343" s="24"/>
      <c r="Q4343" s="2"/>
      <c r="R4343" s="2"/>
    </row>
    <row r="4344" spans="1:18" ht="15.75" customHeight="1" x14ac:dyDescent="0.3">
      <c r="A4344" s="11"/>
      <c r="B4344" s="11"/>
      <c r="D4344" s="21"/>
      <c r="E4344" s="22"/>
      <c r="G4344" s="23"/>
      <c r="H4344" s="24"/>
      <c r="Q4344" s="2"/>
      <c r="R4344" s="2"/>
    </row>
    <row r="4345" spans="1:18" ht="15.75" customHeight="1" x14ac:dyDescent="0.3">
      <c r="A4345" s="11"/>
      <c r="B4345" s="11"/>
      <c r="D4345" s="21"/>
      <c r="E4345" s="22"/>
      <c r="G4345" s="23"/>
      <c r="H4345" s="24"/>
      <c r="Q4345" s="2"/>
      <c r="R4345" s="2"/>
    </row>
    <row r="4346" spans="1:18" ht="15.75" customHeight="1" x14ac:dyDescent="0.3">
      <c r="A4346" s="11"/>
      <c r="B4346" s="11"/>
      <c r="D4346" s="21"/>
      <c r="E4346" s="22"/>
      <c r="G4346" s="23"/>
      <c r="H4346" s="24"/>
      <c r="Q4346" s="2"/>
      <c r="R4346" s="2"/>
    </row>
    <row r="4347" spans="1:18" ht="15.75" customHeight="1" x14ac:dyDescent="0.3">
      <c r="A4347" s="11"/>
      <c r="B4347" s="11"/>
      <c r="D4347" s="21"/>
      <c r="E4347" s="22"/>
      <c r="G4347" s="23"/>
      <c r="H4347" s="24"/>
      <c r="Q4347" s="2"/>
      <c r="R4347" s="2"/>
    </row>
    <row r="4348" spans="1:18" ht="15.75" customHeight="1" x14ac:dyDescent="0.3">
      <c r="A4348" s="11"/>
      <c r="B4348" s="11"/>
      <c r="D4348" s="21"/>
      <c r="E4348" s="22"/>
      <c r="G4348" s="23"/>
      <c r="H4348" s="24"/>
      <c r="Q4348" s="2"/>
      <c r="R4348" s="2"/>
    </row>
    <row r="4349" spans="1:18" ht="15.75" customHeight="1" x14ac:dyDescent="0.3">
      <c r="A4349" s="11"/>
      <c r="B4349" s="11"/>
      <c r="D4349" s="21"/>
      <c r="E4349" s="22"/>
      <c r="G4349" s="23"/>
      <c r="H4349" s="24"/>
      <c r="Q4349" s="2"/>
      <c r="R4349" s="2"/>
    </row>
    <row r="4350" spans="1:18" ht="15.75" customHeight="1" x14ac:dyDescent="0.3">
      <c r="A4350" s="11"/>
      <c r="B4350" s="11"/>
      <c r="D4350" s="21"/>
      <c r="E4350" s="22"/>
      <c r="G4350" s="23"/>
      <c r="H4350" s="24"/>
      <c r="Q4350" s="2"/>
      <c r="R4350" s="2"/>
    </row>
    <row r="4351" spans="1:18" ht="15.75" customHeight="1" x14ac:dyDescent="0.3">
      <c r="A4351" s="11"/>
      <c r="B4351" s="11"/>
      <c r="D4351" s="21"/>
      <c r="E4351" s="22"/>
      <c r="G4351" s="23"/>
      <c r="H4351" s="24"/>
      <c r="Q4351" s="2"/>
      <c r="R4351" s="2"/>
    </row>
    <row r="4352" spans="1:18" ht="15.75" customHeight="1" x14ac:dyDescent="0.3">
      <c r="A4352" s="11"/>
      <c r="B4352" s="11"/>
      <c r="D4352" s="21"/>
      <c r="E4352" s="22"/>
      <c r="G4352" s="23"/>
      <c r="H4352" s="24"/>
      <c r="Q4352" s="2"/>
      <c r="R4352" s="2"/>
    </row>
    <row r="4353" spans="1:18" ht="15.75" customHeight="1" x14ac:dyDescent="0.3">
      <c r="A4353" s="11"/>
      <c r="B4353" s="11"/>
      <c r="D4353" s="21"/>
      <c r="E4353" s="22"/>
      <c r="G4353" s="23"/>
      <c r="H4353" s="24"/>
      <c r="Q4353" s="2"/>
      <c r="R4353" s="2"/>
    </row>
    <row r="4354" spans="1:18" ht="15.75" customHeight="1" x14ac:dyDescent="0.3">
      <c r="A4354" s="11"/>
      <c r="B4354" s="11"/>
      <c r="D4354" s="21"/>
      <c r="E4354" s="22"/>
      <c r="G4354" s="23"/>
      <c r="H4354" s="24"/>
      <c r="Q4354" s="2"/>
      <c r="R4354" s="2"/>
    </row>
    <row r="4355" spans="1:18" ht="15.75" customHeight="1" x14ac:dyDescent="0.3">
      <c r="A4355" s="11"/>
      <c r="B4355" s="11"/>
      <c r="D4355" s="21"/>
      <c r="E4355" s="22"/>
      <c r="G4355" s="23"/>
      <c r="H4355" s="24"/>
      <c r="Q4355" s="2"/>
      <c r="R4355" s="2"/>
    </row>
    <row r="4356" spans="1:18" ht="15.75" customHeight="1" x14ac:dyDescent="0.3">
      <c r="A4356" s="11"/>
      <c r="B4356" s="11"/>
      <c r="D4356" s="21"/>
      <c r="E4356" s="22"/>
      <c r="G4356" s="23"/>
      <c r="H4356" s="24"/>
      <c r="Q4356" s="2"/>
      <c r="R4356" s="2"/>
    </row>
    <row r="4357" spans="1:18" ht="15.75" customHeight="1" x14ac:dyDescent="0.3">
      <c r="A4357" s="11"/>
      <c r="B4357" s="11"/>
      <c r="D4357" s="21"/>
      <c r="E4357" s="22"/>
      <c r="G4357" s="23"/>
      <c r="H4357" s="24"/>
      <c r="Q4357" s="2"/>
      <c r="R4357" s="2"/>
    </row>
    <row r="4358" spans="1:18" ht="15.75" customHeight="1" x14ac:dyDescent="0.3">
      <c r="A4358" s="11"/>
      <c r="B4358" s="11"/>
      <c r="D4358" s="21"/>
      <c r="E4358" s="22"/>
      <c r="G4358" s="23"/>
      <c r="H4358" s="24"/>
      <c r="Q4358" s="2"/>
      <c r="R4358" s="2"/>
    </row>
    <row r="4359" spans="1:18" ht="15.75" customHeight="1" x14ac:dyDescent="0.3">
      <c r="A4359" s="11"/>
      <c r="B4359" s="11"/>
      <c r="D4359" s="21"/>
      <c r="E4359" s="22"/>
      <c r="G4359" s="23"/>
      <c r="H4359" s="24"/>
      <c r="Q4359" s="2"/>
      <c r="R4359" s="2"/>
    </row>
    <row r="4360" spans="1:18" ht="15.75" customHeight="1" x14ac:dyDescent="0.3">
      <c r="A4360" s="11"/>
      <c r="B4360" s="11"/>
      <c r="D4360" s="21"/>
      <c r="E4360" s="22"/>
      <c r="G4360" s="23"/>
      <c r="H4360" s="24"/>
      <c r="Q4360" s="2"/>
      <c r="R4360" s="2"/>
    </row>
    <row r="4361" spans="1:18" ht="15.75" customHeight="1" x14ac:dyDescent="0.3">
      <c r="A4361" s="11"/>
      <c r="B4361" s="11"/>
      <c r="D4361" s="21"/>
      <c r="E4361" s="22"/>
      <c r="G4361" s="23"/>
      <c r="H4361" s="24"/>
      <c r="Q4361" s="2"/>
      <c r="R4361" s="2"/>
    </row>
    <row r="4362" spans="1:18" ht="15.75" customHeight="1" x14ac:dyDescent="0.3">
      <c r="A4362" s="11"/>
      <c r="B4362" s="11"/>
      <c r="D4362" s="21"/>
      <c r="E4362" s="22"/>
      <c r="G4362" s="23"/>
      <c r="H4362" s="24"/>
      <c r="Q4362" s="2"/>
      <c r="R4362" s="2"/>
    </row>
    <row r="4363" spans="1:18" ht="15.75" customHeight="1" x14ac:dyDescent="0.3">
      <c r="A4363" s="11"/>
      <c r="B4363" s="11"/>
      <c r="D4363" s="21"/>
      <c r="E4363" s="22"/>
      <c r="G4363" s="23"/>
      <c r="H4363" s="24"/>
      <c r="Q4363" s="2"/>
      <c r="R4363" s="2"/>
    </row>
    <row r="4364" spans="1:18" ht="15.75" customHeight="1" x14ac:dyDescent="0.3">
      <c r="A4364" s="11"/>
      <c r="B4364" s="11"/>
      <c r="D4364" s="21"/>
      <c r="E4364" s="22"/>
      <c r="G4364" s="23"/>
      <c r="H4364" s="24"/>
      <c r="Q4364" s="2"/>
      <c r="R4364" s="2"/>
    </row>
    <row r="4365" spans="1:18" ht="15.75" customHeight="1" x14ac:dyDescent="0.3">
      <c r="A4365" s="11"/>
      <c r="B4365" s="11"/>
      <c r="D4365" s="21"/>
      <c r="E4365" s="22"/>
      <c r="G4365" s="23"/>
      <c r="H4365" s="24"/>
      <c r="Q4365" s="2"/>
      <c r="R4365" s="2"/>
    </row>
    <row r="4366" spans="1:18" ht="15.75" customHeight="1" x14ac:dyDescent="0.3">
      <c r="A4366" s="11"/>
      <c r="B4366" s="11"/>
      <c r="D4366" s="21"/>
      <c r="E4366" s="22"/>
      <c r="G4366" s="23"/>
      <c r="H4366" s="24"/>
      <c r="Q4366" s="2"/>
      <c r="R4366" s="2"/>
    </row>
    <row r="4367" spans="1:18" ht="15.75" customHeight="1" x14ac:dyDescent="0.3">
      <c r="A4367" s="11"/>
      <c r="B4367" s="11"/>
      <c r="D4367" s="21"/>
      <c r="E4367" s="22"/>
      <c r="G4367" s="23"/>
      <c r="H4367" s="24"/>
      <c r="Q4367" s="2"/>
      <c r="R4367" s="2"/>
    </row>
    <row r="4368" spans="1:18" ht="15.75" customHeight="1" x14ac:dyDescent="0.3">
      <c r="A4368" s="11"/>
      <c r="B4368" s="11"/>
      <c r="D4368" s="21"/>
      <c r="E4368" s="22"/>
      <c r="G4368" s="23"/>
      <c r="H4368" s="24"/>
      <c r="Q4368" s="2"/>
      <c r="R4368" s="2"/>
    </row>
    <row r="4369" spans="1:18" ht="15.75" customHeight="1" x14ac:dyDescent="0.3">
      <c r="A4369" s="11"/>
      <c r="B4369" s="11"/>
      <c r="D4369" s="21"/>
      <c r="E4369" s="22"/>
      <c r="G4369" s="23"/>
      <c r="H4369" s="24"/>
      <c r="Q4369" s="2"/>
      <c r="R4369" s="2"/>
    </row>
    <row r="4370" spans="1:18" ht="15.75" customHeight="1" x14ac:dyDescent="0.3">
      <c r="A4370" s="11"/>
      <c r="B4370" s="11"/>
      <c r="D4370" s="21"/>
      <c r="E4370" s="22"/>
      <c r="G4370" s="23"/>
      <c r="H4370" s="24"/>
      <c r="Q4370" s="2"/>
      <c r="R4370" s="2"/>
    </row>
    <row r="4371" spans="1:18" ht="15.75" customHeight="1" x14ac:dyDescent="0.3">
      <c r="A4371" s="11"/>
      <c r="B4371" s="11"/>
      <c r="D4371" s="21"/>
      <c r="E4371" s="22"/>
      <c r="G4371" s="23"/>
      <c r="H4371" s="24"/>
      <c r="Q4371" s="2"/>
      <c r="R4371" s="2"/>
    </row>
    <row r="4372" spans="1:18" ht="15.75" customHeight="1" x14ac:dyDescent="0.3">
      <c r="A4372" s="11"/>
      <c r="B4372" s="11"/>
      <c r="D4372" s="21"/>
      <c r="E4372" s="22"/>
      <c r="G4372" s="23"/>
      <c r="H4372" s="24"/>
      <c r="Q4372" s="2"/>
      <c r="R4372" s="2"/>
    </row>
    <row r="4373" spans="1:18" ht="15.75" customHeight="1" x14ac:dyDescent="0.3">
      <c r="A4373" s="11"/>
      <c r="B4373" s="11"/>
      <c r="D4373" s="21"/>
      <c r="E4373" s="22"/>
      <c r="G4373" s="23"/>
      <c r="H4373" s="24"/>
      <c r="Q4373" s="2"/>
      <c r="R4373" s="2"/>
    </row>
    <row r="4374" spans="1:18" ht="15.75" customHeight="1" x14ac:dyDescent="0.3">
      <c r="A4374" s="11"/>
      <c r="B4374" s="11"/>
      <c r="D4374" s="21"/>
      <c r="E4374" s="22"/>
      <c r="G4374" s="23"/>
      <c r="H4374" s="24"/>
      <c r="Q4374" s="2"/>
      <c r="R4374" s="2"/>
    </row>
    <row r="4375" spans="1:18" ht="15.75" customHeight="1" x14ac:dyDescent="0.3">
      <c r="A4375" s="11"/>
      <c r="B4375" s="11"/>
      <c r="D4375" s="21"/>
      <c r="E4375" s="22"/>
      <c r="G4375" s="23"/>
      <c r="H4375" s="24"/>
      <c r="Q4375" s="2"/>
      <c r="R4375" s="2"/>
    </row>
    <row r="4376" spans="1:18" ht="15.75" customHeight="1" x14ac:dyDescent="0.3">
      <c r="A4376" s="11"/>
      <c r="B4376" s="11"/>
      <c r="D4376" s="21"/>
      <c r="E4376" s="22"/>
      <c r="G4376" s="23"/>
      <c r="H4376" s="24"/>
      <c r="Q4376" s="2"/>
      <c r="R4376" s="2"/>
    </row>
    <row r="4377" spans="1:18" ht="15.75" customHeight="1" x14ac:dyDescent="0.3">
      <c r="A4377" s="11"/>
      <c r="B4377" s="11"/>
      <c r="D4377" s="21"/>
      <c r="E4377" s="22"/>
      <c r="G4377" s="23"/>
      <c r="H4377" s="24"/>
      <c r="Q4377" s="2"/>
      <c r="R4377" s="2"/>
    </row>
    <row r="4378" spans="1:18" ht="15.75" customHeight="1" x14ac:dyDescent="0.3">
      <c r="A4378" s="11"/>
      <c r="B4378" s="11"/>
      <c r="D4378" s="21"/>
      <c r="E4378" s="22"/>
      <c r="G4378" s="23"/>
      <c r="H4378" s="24"/>
      <c r="Q4378" s="2"/>
      <c r="R4378" s="2"/>
    </row>
    <row r="4379" spans="1:18" ht="15.75" customHeight="1" x14ac:dyDescent="0.3">
      <c r="A4379" s="11"/>
      <c r="B4379" s="11"/>
      <c r="D4379" s="21"/>
      <c r="E4379" s="22"/>
      <c r="G4379" s="23"/>
      <c r="H4379" s="24"/>
      <c r="Q4379" s="2"/>
      <c r="R4379" s="2"/>
    </row>
    <row r="4380" spans="1:18" ht="15.75" customHeight="1" x14ac:dyDescent="0.3">
      <c r="A4380" s="11"/>
      <c r="B4380" s="11"/>
      <c r="D4380" s="21"/>
      <c r="E4380" s="22"/>
      <c r="G4380" s="23"/>
      <c r="H4380" s="24"/>
      <c r="Q4380" s="2"/>
      <c r="R4380" s="2"/>
    </row>
    <row r="4381" spans="1:18" ht="15.75" customHeight="1" x14ac:dyDescent="0.3">
      <c r="A4381" s="11"/>
      <c r="B4381" s="11"/>
      <c r="D4381" s="21"/>
      <c r="E4381" s="22"/>
      <c r="G4381" s="23"/>
      <c r="H4381" s="24"/>
      <c r="Q4381" s="2"/>
      <c r="R4381" s="2"/>
    </row>
    <row r="4382" spans="1:18" ht="15.75" customHeight="1" x14ac:dyDescent="0.3">
      <c r="A4382" s="11"/>
      <c r="B4382" s="11"/>
      <c r="D4382" s="21"/>
      <c r="E4382" s="22"/>
      <c r="G4382" s="23"/>
      <c r="H4382" s="24"/>
      <c r="Q4382" s="2"/>
      <c r="R4382" s="2"/>
    </row>
    <row r="4383" spans="1:18" ht="15.75" customHeight="1" x14ac:dyDescent="0.3">
      <c r="A4383" s="11"/>
      <c r="B4383" s="11"/>
      <c r="D4383" s="21"/>
      <c r="E4383" s="22"/>
      <c r="G4383" s="23"/>
      <c r="H4383" s="24"/>
      <c r="Q4383" s="2"/>
      <c r="R4383" s="2"/>
    </row>
    <row r="4384" spans="1:18" ht="15.75" customHeight="1" x14ac:dyDescent="0.3">
      <c r="A4384" s="11"/>
      <c r="B4384" s="11"/>
      <c r="D4384" s="21"/>
      <c r="E4384" s="22"/>
      <c r="G4384" s="23"/>
      <c r="H4384" s="24"/>
      <c r="Q4384" s="2"/>
      <c r="R4384" s="2"/>
    </row>
    <row r="4385" spans="1:18" ht="15.75" customHeight="1" x14ac:dyDescent="0.3">
      <c r="A4385" s="11"/>
      <c r="B4385" s="11"/>
      <c r="D4385" s="21"/>
      <c r="E4385" s="22"/>
      <c r="G4385" s="23"/>
      <c r="H4385" s="24"/>
      <c r="Q4385" s="2"/>
      <c r="R4385" s="2"/>
    </row>
    <row r="4386" spans="1:18" ht="15.75" customHeight="1" x14ac:dyDescent="0.3">
      <c r="A4386" s="11"/>
      <c r="B4386" s="11"/>
      <c r="D4386" s="21"/>
      <c r="E4386" s="22"/>
      <c r="G4386" s="23"/>
      <c r="H4386" s="24"/>
      <c r="Q4386" s="2"/>
      <c r="R4386" s="2"/>
    </row>
    <row r="4387" spans="1:18" ht="15.75" customHeight="1" x14ac:dyDescent="0.3">
      <c r="A4387" s="11"/>
      <c r="B4387" s="11"/>
      <c r="D4387" s="21"/>
      <c r="E4387" s="22"/>
      <c r="G4387" s="23"/>
      <c r="H4387" s="24"/>
      <c r="Q4387" s="2"/>
      <c r="R4387" s="2"/>
    </row>
    <row r="4388" spans="1:18" ht="15.75" customHeight="1" x14ac:dyDescent="0.3">
      <c r="A4388" s="11"/>
      <c r="B4388" s="11"/>
      <c r="D4388" s="21"/>
      <c r="E4388" s="22"/>
      <c r="G4388" s="23"/>
      <c r="H4388" s="24"/>
      <c r="Q4388" s="2"/>
      <c r="R4388" s="2"/>
    </row>
    <row r="4389" spans="1:18" ht="15.75" customHeight="1" x14ac:dyDescent="0.3">
      <c r="A4389" s="11"/>
      <c r="B4389" s="11"/>
      <c r="D4389" s="21"/>
      <c r="E4389" s="22"/>
      <c r="G4389" s="23"/>
      <c r="H4389" s="24"/>
      <c r="Q4389" s="2"/>
      <c r="R4389" s="2"/>
    </row>
    <row r="4390" spans="1:18" ht="15.75" customHeight="1" x14ac:dyDescent="0.3">
      <c r="A4390" s="11"/>
      <c r="B4390" s="11"/>
      <c r="D4390" s="21"/>
      <c r="E4390" s="22"/>
      <c r="G4390" s="23"/>
      <c r="H4390" s="24"/>
      <c r="Q4390" s="2"/>
      <c r="R4390" s="2"/>
    </row>
    <row r="4391" spans="1:18" ht="15.75" customHeight="1" x14ac:dyDescent="0.3">
      <c r="A4391" s="11"/>
      <c r="B4391" s="11"/>
      <c r="D4391" s="21"/>
      <c r="E4391" s="22"/>
      <c r="G4391" s="23"/>
      <c r="H4391" s="24"/>
      <c r="Q4391" s="2"/>
      <c r="R4391" s="2"/>
    </row>
    <row r="4392" spans="1:18" ht="15.75" customHeight="1" x14ac:dyDescent="0.3">
      <c r="A4392" s="11"/>
      <c r="B4392" s="11"/>
      <c r="D4392" s="21"/>
      <c r="E4392" s="22"/>
      <c r="G4392" s="23"/>
      <c r="H4392" s="24"/>
      <c r="Q4392" s="2"/>
      <c r="R4392" s="2"/>
    </row>
    <row r="4393" spans="1:18" ht="15.75" customHeight="1" x14ac:dyDescent="0.3">
      <c r="A4393" s="11"/>
      <c r="B4393" s="11"/>
      <c r="D4393" s="21"/>
      <c r="E4393" s="22"/>
      <c r="G4393" s="23"/>
      <c r="H4393" s="24"/>
      <c r="Q4393" s="2"/>
      <c r="R4393" s="2"/>
    </row>
    <row r="4394" spans="1:18" ht="15.75" customHeight="1" x14ac:dyDescent="0.3">
      <c r="A4394" s="11"/>
      <c r="B4394" s="11"/>
      <c r="D4394" s="21"/>
      <c r="E4394" s="22"/>
      <c r="G4394" s="23"/>
      <c r="H4394" s="24"/>
      <c r="Q4394" s="2"/>
      <c r="R4394" s="2"/>
    </row>
    <row r="4395" spans="1:18" ht="15.75" customHeight="1" x14ac:dyDescent="0.3">
      <c r="A4395" s="11"/>
      <c r="B4395" s="11"/>
      <c r="D4395" s="21"/>
      <c r="E4395" s="22"/>
      <c r="G4395" s="23"/>
      <c r="H4395" s="24"/>
      <c r="Q4395" s="2"/>
      <c r="R4395" s="2"/>
    </row>
    <row r="4396" spans="1:18" ht="15.75" customHeight="1" x14ac:dyDescent="0.3">
      <c r="A4396" s="11"/>
      <c r="B4396" s="11"/>
      <c r="D4396" s="21"/>
      <c r="E4396" s="22"/>
      <c r="G4396" s="23"/>
      <c r="H4396" s="24"/>
      <c r="Q4396" s="2"/>
      <c r="R4396" s="2"/>
    </row>
    <row r="4397" spans="1:18" ht="15.75" customHeight="1" x14ac:dyDescent="0.3">
      <c r="A4397" s="11"/>
      <c r="B4397" s="11"/>
      <c r="D4397" s="21"/>
      <c r="E4397" s="22"/>
      <c r="G4397" s="23"/>
      <c r="H4397" s="24"/>
      <c r="Q4397" s="2"/>
      <c r="R4397" s="2"/>
    </row>
    <row r="4398" spans="1:18" ht="15.75" customHeight="1" x14ac:dyDescent="0.3">
      <c r="A4398" s="11"/>
      <c r="B4398" s="11"/>
      <c r="D4398" s="21"/>
      <c r="E4398" s="22"/>
      <c r="G4398" s="23"/>
      <c r="H4398" s="24"/>
      <c r="Q4398" s="2"/>
      <c r="R4398" s="2"/>
    </row>
    <row r="4399" spans="1:18" ht="15.75" customHeight="1" x14ac:dyDescent="0.3">
      <c r="A4399" s="11"/>
      <c r="B4399" s="11"/>
      <c r="D4399" s="21"/>
      <c r="E4399" s="22"/>
      <c r="G4399" s="23"/>
      <c r="H4399" s="24"/>
      <c r="Q4399" s="2"/>
      <c r="R4399" s="2"/>
    </row>
    <row r="4400" spans="1:18" ht="15.75" customHeight="1" x14ac:dyDescent="0.3">
      <c r="A4400" s="11"/>
      <c r="B4400" s="11"/>
      <c r="D4400" s="21"/>
      <c r="E4400" s="22"/>
      <c r="G4400" s="23"/>
      <c r="H4400" s="24"/>
      <c r="Q4400" s="2"/>
      <c r="R4400" s="2"/>
    </row>
    <row r="4401" spans="1:18" ht="15.75" customHeight="1" x14ac:dyDescent="0.3">
      <c r="A4401" s="11"/>
      <c r="B4401" s="11"/>
      <c r="D4401" s="21"/>
      <c r="E4401" s="22"/>
      <c r="G4401" s="23"/>
      <c r="H4401" s="24"/>
      <c r="Q4401" s="2"/>
      <c r="R4401" s="2"/>
    </row>
    <row r="4402" spans="1:18" ht="15.75" customHeight="1" x14ac:dyDescent="0.3">
      <c r="A4402" s="11"/>
      <c r="B4402" s="11"/>
      <c r="D4402" s="21"/>
      <c r="E4402" s="22"/>
      <c r="G4402" s="23"/>
      <c r="H4402" s="24"/>
      <c r="Q4402" s="2"/>
      <c r="R4402" s="2"/>
    </row>
    <row r="4403" spans="1:18" ht="15.75" customHeight="1" x14ac:dyDescent="0.3">
      <c r="A4403" s="11"/>
      <c r="B4403" s="11"/>
      <c r="D4403" s="21"/>
      <c r="E4403" s="22"/>
      <c r="G4403" s="23"/>
      <c r="H4403" s="24"/>
      <c r="Q4403" s="2"/>
      <c r="R4403" s="2"/>
    </row>
    <row r="4404" spans="1:18" ht="15.75" customHeight="1" x14ac:dyDescent="0.3">
      <c r="A4404" s="11"/>
      <c r="B4404" s="11"/>
      <c r="D4404" s="21"/>
      <c r="E4404" s="22"/>
      <c r="G4404" s="23"/>
      <c r="H4404" s="24"/>
      <c r="Q4404" s="2"/>
      <c r="R4404" s="2"/>
    </row>
    <row r="4405" spans="1:18" ht="15.75" customHeight="1" x14ac:dyDescent="0.3">
      <c r="A4405" s="11"/>
      <c r="B4405" s="11"/>
      <c r="D4405" s="21"/>
      <c r="E4405" s="22"/>
      <c r="G4405" s="23"/>
      <c r="H4405" s="24"/>
      <c r="Q4405" s="2"/>
      <c r="R4405" s="2"/>
    </row>
    <row r="4406" spans="1:18" ht="15.75" customHeight="1" x14ac:dyDescent="0.3">
      <c r="A4406" s="11"/>
      <c r="B4406" s="11"/>
      <c r="D4406" s="21"/>
      <c r="E4406" s="22"/>
      <c r="G4406" s="23"/>
      <c r="H4406" s="24"/>
      <c r="Q4406" s="2"/>
      <c r="R4406" s="2"/>
    </row>
    <row r="4407" spans="1:18" ht="15.75" customHeight="1" x14ac:dyDescent="0.3">
      <c r="A4407" s="11"/>
      <c r="B4407" s="11"/>
      <c r="D4407" s="21"/>
      <c r="E4407" s="22"/>
      <c r="G4407" s="23"/>
      <c r="H4407" s="24"/>
      <c r="Q4407" s="2"/>
      <c r="R4407" s="2"/>
    </row>
    <row r="4408" spans="1:18" ht="15.75" customHeight="1" x14ac:dyDescent="0.3">
      <c r="A4408" s="11"/>
      <c r="B4408" s="11"/>
      <c r="D4408" s="21"/>
      <c r="E4408" s="22"/>
      <c r="G4408" s="23"/>
      <c r="H4408" s="24"/>
      <c r="Q4408" s="2"/>
      <c r="R4408" s="2"/>
    </row>
    <row r="4409" spans="1:18" ht="15.75" customHeight="1" x14ac:dyDescent="0.3">
      <c r="A4409" s="11"/>
      <c r="B4409" s="11"/>
      <c r="D4409" s="21"/>
      <c r="E4409" s="22"/>
      <c r="G4409" s="23"/>
      <c r="H4409" s="24"/>
      <c r="Q4409" s="2"/>
      <c r="R4409" s="2"/>
    </row>
    <row r="4410" spans="1:18" ht="15.75" customHeight="1" x14ac:dyDescent="0.3">
      <c r="A4410" s="11"/>
      <c r="B4410" s="11"/>
      <c r="D4410" s="21"/>
      <c r="E4410" s="22"/>
      <c r="G4410" s="23"/>
      <c r="H4410" s="24"/>
      <c r="Q4410" s="2"/>
      <c r="R4410" s="2"/>
    </row>
    <row r="4411" spans="1:18" ht="15.75" customHeight="1" x14ac:dyDescent="0.3">
      <c r="A4411" s="11"/>
      <c r="B4411" s="11"/>
      <c r="D4411" s="21"/>
      <c r="E4411" s="22"/>
      <c r="G4411" s="23"/>
      <c r="H4411" s="24"/>
      <c r="Q4411" s="2"/>
      <c r="R4411" s="2"/>
    </row>
    <row r="4412" spans="1:18" ht="15.75" customHeight="1" x14ac:dyDescent="0.3">
      <c r="A4412" s="11"/>
      <c r="B4412" s="11"/>
      <c r="D4412" s="21"/>
      <c r="E4412" s="22"/>
      <c r="G4412" s="23"/>
      <c r="H4412" s="24"/>
      <c r="Q4412" s="2"/>
      <c r="R4412" s="2"/>
    </row>
    <row r="4413" spans="1:18" ht="15.75" customHeight="1" x14ac:dyDescent="0.3">
      <c r="A4413" s="11"/>
      <c r="B4413" s="11"/>
      <c r="D4413" s="21"/>
      <c r="E4413" s="22"/>
      <c r="G4413" s="23"/>
      <c r="H4413" s="24"/>
      <c r="Q4413" s="2"/>
      <c r="R4413" s="2"/>
    </row>
    <row r="4414" spans="1:18" ht="15.75" customHeight="1" x14ac:dyDescent="0.3">
      <c r="A4414" s="11"/>
      <c r="B4414" s="11"/>
      <c r="D4414" s="21"/>
      <c r="E4414" s="22"/>
      <c r="G4414" s="23"/>
      <c r="H4414" s="24"/>
      <c r="Q4414" s="2"/>
      <c r="R4414" s="2"/>
    </row>
    <row r="4415" spans="1:18" ht="15.75" customHeight="1" x14ac:dyDescent="0.3">
      <c r="A4415" s="11"/>
      <c r="B4415" s="11"/>
      <c r="D4415" s="21"/>
      <c r="E4415" s="22"/>
      <c r="G4415" s="23"/>
      <c r="H4415" s="24"/>
      <c r="Q4415" s="2"/>
      <c r="R4415" s="2"/>
    </row>
    <row r="4416" spans="1:18" ht="15.75" customHeight="1" x14ac:dyDescent="0.3">
      <c r="A4416" s="11"/>
      <c r="B4416" s="11"/>
      <c r="D4416" s="21"/>
      <c r="E4416" s="22"/>
      <c r="G4416" s="23"/>
      <c r="H4416" s="24"/>
      <c r="Q4416" s="2"/>
      <c r="R4416" s="2"/>
    </row>
    <row r="4417" spans="1:18" ht="15.75" customHeight="1" x14ac:dyDescent="0.3">
      <c r="A4417" s="11"/>
      <c r="B4417" s="11"/>
      <c r="D4417" s="21"/>
      <c r="E4417" s="22"/>
      <c r="G4417" s="23"/>
      <c r="H4417" s="24"/>
      <c r="Q4417" s="2"/>
      <c r="R4417" s="2"/>
    </row>
    <row r="4418" spans="1:18" ht="15.75" customHeight="1" x14ac:dyDescent="0.3">
      <c r="A4418" s="11"/>
      <c r="B4418" s="11"/>
      <c r="D4418" s="21"/>
      <c r="E4418" s="22"/>
      <c r="G4418" s="23"/>
      <c r="H4418" s="24"/>
      <c r="Q4418" s="2"/>
      <c r="R4418" s="2"/>
    </row>
    <row r="4419" spans="1:18" ht="15.75" customHeight="1" x14ac:dyDescent="0.3">
      <c r="A4419" s="11"/>
      <c r="B4419" s="11"/>
      <c r="D4419" s="21"/>
      <c r="E4419" s="22"/>
      <c r="G4419" s="23"/>
      <c r="H4419" s="24"/>
      <c r="Q4419" s="2"/>
      <c r="R4419" s="2"/>
    </row>
    <row r="4420" spans="1:18" ht="15.75" customHeight="1" x14ac:dyDescent="0.3">
      <c r="A4420" s="11"/>
      <c r="B4420" s="11"/>
      <c r="D4420" s="21"/>
      <c r="E4420" s="22"/>
      <c r="G4420" s="23"/>
      <c r="H4420" s="24"/>
      <c r="Q4420" s="2"/>
      <c r="R4420" s="2"/>
    </row>
    <row r="4421" spans="1:18" ht="15.75" customHeight="1" x14ac:dyDescent="0.3">
      <c r="A4421" s="11"/>
      <c r="B4421" s="11"/>
      <c r="D4421" s="21"/>
      <c r="E4421" s="22"/>
      <c r="G4421" s="23"/>
      <c r="H4421" s="24"/>
      <c r="Q4421" s="2"/>
      <c r="R4421" s="2"/>
    </row>
    <row r="4422" spans="1:18" ht="15.75" customHeight="1" x14ac:dyDescent="0.3">
      <c r="A4422" s="11"/>
      <c r="B4422" s="11"/>
      <c r="D4422" s="21"/>
      <c r="E4422" s="22"/>
      <c r="G4422" s="23"/>
      <c r="H4422" s="24"/>
      <c r="Q4422" s="2"/>
      <c r="R4422" s="2"/>
    </row>
    <row r="4423" spans="1:18" ht="15.75" customHeight="1" x14ac:dyDescent="0.3">
      <c r="A4423" s="11"/>
      <c r="B4423" s="11"/>
      <c r="D4423" s="21"/>
      <c r="E4423" s="22"/>
      <c r="G4423" s="23"/>
      <c r="H4423" s="24"/>
      <c r="Q4423" s="2"/>
      <c r="R4423" s="2"/>
    </row>
    <row r="4424" spans="1:18" ht="15.75" customHeight="1" x14ac:dyDescent="0.3">
      <c r="A4424" s="11"/>
      <c r="B4424" s="11"/>
      <c r="D4424" s="21"/>
      <c r="E4424" s="22"/>
      <c r="G4424" s="23"/>
      <c r="H4424" s="24"/>
      <c r="Q4424" s="2"/>
      <c r="R4424" s="2"/>
    </row>
    <row r="4425" spans="1:18" ht="15.75" customHeight="1" x14ac:dyDescent="0.3">
      <c r="A4425" s="11"/>
      <c r="B4425" s="11"/>
      <c r="D4425" s="21"/>
      <c r="E4425" s="22"/>
      <c r="G4425" s="23"/>
      <c r="H4425" s="24"/>
      <c r="Q4425" s="2"/>
      <c r="R4425" s="2"/>
    </row>
    <row r="4426" spans="1:18" ht="15.75" customHeight="1" x14ac:dyDescent="0.3">
      <c r="A4426" s="11"/>
      <c r="B4426" s="11"/>
      <c r="D4426" s="21"/>
      <c r="E4426" s="22"/>
      <c r="G4426" s="23"/>
      <c r="H4426" s="24"/>
      <c r="Q4426" s="2"/>
      <c r="R4426" s="2"/>
    </row>
    <row r="4427" spans="1:18" ht="15.75" customHeight="1" x14ac:dyDescent="0.3">
      <c r="A4427" s="11"/>
      <c r="B4427" s="11"/>
      <c r="D4427" s="21"/>
      <c r="E4427" s="22"/>
      <c r="G4427" s="23"/>
      <c r="H4427" s="24"/>
      <c r="Q4427" s="2"/>
      <c r="R4427" s="2"/>
    </row>
    <row r="4428" spans="1:18" ht="15.75" customHeight="1" x14ac:dyDescent="0.3">
      <c r="A4428" s="11"/>
      <c r="B4428" s="11"/>
      <c r="D4428" s="21"/>
      <c r="E4428" s="22"/>
      <c r="G4428" s="23"/>
      <c r="H4428" s="24"/>
      <c r="Q4428" s="2"/>
      <c r="R4428" s="2"/>
    </row>
    <row r="4429" spans="1:18" ht="15.75" customHeight="1" x14ac:dyDescent="0.3">
      <c r="A4429" s="11"/>
      <c r="B4429" s="11"/>
      <c r="D4429" s="21"/>
      <c r="E4429" s="22"/>
      <c r="G4429" s="23"/>
      <c r="H4429" s="24"/>
      <c r="Q4429" s="2"/>
      <c r="R4429" s="2"/>
    </row>
    <row r="4430" spans="1:18" ht="15.75" customHeight="1" x14ac:dyDescent="0.3">
      <c r="A4430" s="11"/>
      <c r="B4430" s="11"/>
      <c r="D4430" s="21"/>
      <c r="E4430" s="22"/>
      <c r="G4430" s="23"/>
      <c r="H4430" s="24"/>
      <c r="Q4430" s="2"/>
      <c r="R4430" s="2"/>
    </row>
    <row r="4431" spans="1:18" ht="15.75" customHeight="1" x14ac:dyDescent="0.3">
      <c r="A4431" s="11"/>
      <c r="B4431" s="11"/>
      <c r="D4431" s="21"/>
      <c r="E4431" s="22"/>
      <c r="G4431" s="23"/>
      <c r="H4431" s="24"/>
      <c r="Q4431" s="2"/>
      <c r="R4431" s="2"/>
    </row>
    <row r="4432" spans="1:18" ht="15.75" customHeight="1" x14ac:dyDescent="0.3">
      <c r="A4432" s="11"/>
      <c r="B4432" s="11"/>
      <c r="D4432" s="21"/>
      <c r="E4432" s="22"/>
      <c r="G4432" s="23"/>
      <c r="H4432" s="24"/>
      <c r="Q4432" s="2"/>
      <c r="R4432" s="2"/>
    </row>
    <row r="4433" spans="1:18" ht="15.75" customHeight="1" x14ac:dyDescent="0.3">
      <c r="A4433" s="11"/>
      <c r="B4433" s="11"/>
      <c r="D4433" s="21"/>
      <c r="E4433" s="22"/>
      <c r="G4433" s="23"/>
      <c r="H4433" s="24"/>
      <c r="Q4433" s="2"/>
      <c r="R4433" s="2"/>
    </row>
    <row r="4434" spans="1:18" ht="15.75" customHeight="1" x14ac:dyDescent="0.3">
      <c r="A4434" s="11"/>
      <c r="B4434" s="11"/>
      <c r="D4434" s="21"/>
      <c r="E4434" s="22"/>
      <c r="G4434" s="23"/>
      <c r="H4434" s="24"/>
      <c r="Q4434" s="2"/>
      <c r="R4434" s="2"/>
    </row>
    <row r="4435" spans="1:18" ht="15.75" customHeight="1" x14ac:dyDescent="0.3">
      <c r="A4435" s="11"/>
      <c r="B4435" s="11"/>
      <c r="D4435" s="21"/>
      <c r="E4435" s="22"/>
      <c r="G4435" s="23"/>
      <c r="H4435" s="24"/>
      <c r="Q4435" s="2"/>
      <c r="R4435" s="2"/>
    </row>
    <row r="4436" spans="1:18" ht="15.75" customHeight="1" x14ac:dyDescent="0.3">
      <c r="A4436" s="11"/>
      <c r="B4436" s="11"/>
      <c r="D4436" s="21"/>
      <c r="E4436" s="22"/>
      <c r="G4436" s="23"/>
      <c r="H4436" s="24"/>
      <c r="Q4436" s="2"/>
      <c r="R4436" s="2"/>
    </row>
    <row r="4437" spans="1:18" ht="15.75" customHeight="1" x14ac:dyDescent="0.3">
      <c r="A4437" s="11"/>
      <c r="B4437" s="11"/>
      <c r="D4437" s="21"/>
      <c r="E4437" s="22"/>
      <c r="G4437" s="23"/>
      <c r="H4437" s="24"/>
      <c r="Q4437" s="2"/>
      <c r="R4437" s="2"/>
    </row>
    <row r="4438" spans="1:18" ht="15.75" customHeight="1" x14ac:dyDescent="0.3">
      <c r="A4438" s="11"/>
      <c r="B4438" s="11"/>
      <c r="D4438" s="21"/>
      <c r="E4438" s="22"/>
      <c r="G4438" s="23"/>
      <c r="H4438" s="24"/>
      <c r="Q4438" s="2"/>
      <c r="R4438" s="2"/>
    </row>
    <row r="4439" spans="1:18" ht="15.75" customHeight="1" x14ac:dyDescent="0.3">
      <c r="A4439" s="11"/>
      <c r="B4439" s="11"/>
      <c r="D4439" s="21"/>
      <c r="E4439" s="22"/>
      <c r="G4439" s="23"/>
      <c r="H4439" s="24"/>
      <c r="Q4439" s="2"/>
      <c r="R4439" s="2"/>
    </row>
    <row r="4440" spans="1:18" ht="15.75" customHeight="1" x14ac:dyDescent="0.3">
      <c r="A4440" s="11"/>
      <c r="B4440" s="11"/>
      <c r="D4440" s="21"/>
      <c r="E4440" s="22"/>
      <c r="G4440" s="23"/>
      <c r="H4440" s="24"/>
      <c r="Q4440" s="2"/>
      <c r="R4440" s="2"/>
    </row>
    <row r="4441" spans="1:18" ht="15.75" customHeight="1" x14ac:dyDescent="0.3">
      <c r="A4441" s="11"/>
      <c r="B4441" s="11"/>
      <c r="D4441" s="21"/>
      <c r="E4441" s="22"/>
      <c r="G4441" s="23"/>
      <c r="H4441" s="24"/>
      <c r="Q4441" s="2"/>
      <c r="R4441" s="2"/>
    </row>
    <row r="4442" spans="1:18" ht="15.75" customHeight="1" x14ac:dyDescent="0.3">
      <c r="A4442" s="11"/>
      <c r="B4442" s="11"/>
      <c r="D4442" s="21"/>
      <c r="E4442" s="22"/>
      <c r="G4442" s="23"/>
      <c r="H4442" s="24"/>
      <c r="Q4442" s="2"/>
      <c r="R4442" s="2"/>
    </row>
    <row r="4443" spans="1:18" ht="15.75" customHeight="1" x14ac:dyDescent="0.3">
      <c r="A4443" s="11"/>
      <c r="B4443" s="11"/>
      <c r="D4443" s="21"/>
      <c r="E4443" s="22"/>
      <c r="G4443" s="23"/>
      <c r="H4443" s="24"/>
      <c r="Q4443" s="2"/>
      <c r="R4443" s="2"/>
    </row>
    <row r="4444" spans="1:18" ht="15.75" customHeight="1" x14ac:dyDescent="0.3">
      <c r="A4444" s="11"/>
      <c r="B4444" s="11"/>
      <c r="D4444" s="21"/>
      <c r="E4444" s="22"/>
      <c r="G4444" s="23"/>
      <c r="H4444" s="24"/>
      <c r="Q4444" s="2"/>
      <c r="R4444" s="2"/>
    </row>
    <row r="4445" spans="1:18" ht="15.75" customHeight="1" x14ac:dyDescent="0.3">
      <c r="A4445" s="11"/>
      <c r="B4445" s="11"/>
      <c r="D4445" s="21"/>
      <c r="E4445" s="22"/>
      <c r="G4445" s="23"/>
      <c r="H4445" s="24"/>
      <c r="Q4445" s="2"/>
      <c r="R4445" s="2"/>
    </row>
    <row r="4446" spans="1:18" ht="15.75" customHeight="1" x14ac:dyDescent="0.3">
      <c r="A4446" s="11"/>
      <c r="B4446" s="11"/>
      <c r="D4446" s="21"/>
      <c r="E4446" s="22"/>
      <c r="G4446" s="23"/>
      <c r="H4446" s="24"/>
      <c r="Q4446" s="2"/>
      <c r="R4446" s="2"/>
    </row>
    <row r="4447" spans="1:18" ht="15.75" customHeight="1" x14ac:dyDescent="0.3">
      <c r="A4447" s="11"/>
      <c r="B4447" s="11"/>
      <c r="D4447" s="21"/>
      <c r="E4447" s="22"/>
      <c r="G4447" s="23"/>
      <c r="H4447" s="24"/>
      <c r="Q4447" s="2"/>
      <c r="R4447" s="2"/>
    </row>
    <row r="4448" spans="1:18" ht="15.75" customHeight="1" x14ac:dyDescent="0.3">
      <c r="A4448" s="11"/>
      <c r="B4448" s="11"/>
      <c r="D4448" s="21"/>
      <c r="E4448" s="22"/>
      <c r="G4448" s="23"/>
      <c r="H4448" s="24"/>
      <c r="Q4448" s="2"/>
      <c r="R4448" s="2"/>
    </row>
    <row r="4449" spans="1:18" ht="15.75" customHeight="1" x14ac:dyDescent="0.3">
      <c r="A4449" s="11"/>
      <c r="B4449" s="11"/>
      <c r="D4449" s="21"/>
      <c r="E4449" s="22"/>
      <c r="G4449" s="23"/>
      <c r="H4449" s="24"/>
      <c r="Q4449" s="2"/>
      <c r="R4449" s="2"/>
    </row>
    <row r="4450" spans="1:18" ht="15.75" customHeight="1" x14ac:dyDescent="0.3">
      <c r="A4450" s="11"/>
      <c r="B4450" s="11"/>
      <c r="D4450" s="21"/>
      <c r="E4450" s="22"/>
      <c r="G4450" s="23"/>
      <c r="H4450" s="24"/>
      <c r="Q4450" s="2"/>
      <c r="R4450" s="2"/>
    </row>
    <row r="4451" spans="1:18" ht="15.75" customHeight="1" x14ac:dyDescent="0.3">
      <c r="A4451" s="11"/>
      <c r="B4451" s="11"/>
      <c r="D4451" s="21"/>
      <c r="E4451" s="22"/>
      <c r="G4451" s="23"/>
      <c r="H4451" s="24"/>
      <c r="Q4451" s="2"/>
      <c r="R4451" s="2"/>
    </row>
    <row r="4452" spans="1:18" ht="15.75" customHeight="1" x14ac:dyDescent="0.3">
      <c r="A4452" s="11"/>
      <c r="B4452" s="11"/>
      <c r="D4452" s="21"/>
      <c r="E4452" s="22"/>
      <c r="G4452" s="23"/>
      <c r="H4452" s="24"/>
      <c r="Q4452" s="2"/>
      <c r="R4452" s="2"/>
    </row>
    <row r="4453" spans="1:18" ht="15.75" customHeight="1" x14ac:dyDescent="0.3">
      <c r="A4453" s="11"/>
      <c r="B4453" s="11"/>
      <c r="D4453" s="21"/>
      <c r="E4453" s="22"/>
      <c r="G4453" s="23"/>
      <c r="H4453" s="24"/>
      <c r="Q4453" s="2"/>
      <c r="R4453" s="2"/>
    </row>
    <row r="4454" spans="1:18" ht="15.75" customHeight="1" x14ac:dyDescent="0.3">
      <c r="A4454" s="11"/>
      <c r="B4454" s="11"/>
      <c r="D4454" s="21"/>
      <c r="E4454" s="22"/>
      <c r="G4454" s="23"/>
      <c r="H4454" s="24"/>
      <c r="Q4454" s="2"/>
      <c r="R4454" s="2"/>
    </row>
    <row r="4455" spans="1:18" ht="15.75" customHeight="1" x14ac:dyDescent="0.3">
      <c r="A4455" s="11"/>
      <c r="B4455" s="11"/>
      <c r="D4455" s="21"/>
      <c r="E4455" s="22"/>
      <c r="G4455" s="23"/>
      <c r="H4455" s="24"/>
      <c r="Q4455" s="2"/>
      <c r="R4455" s="2"/>
    </row>
    <row r="4456" spans="1:18" ht="15.75" customHeight="1" x14ac:dyDescent="0.3">
      <c r="A4456" s="11"/>
      <c r="B4456" s="11"/>
      <c r="D4456" s="21"/>
      <c r="E4456" s="22"/>
      <c r="G4456" s="23"/>
      <c r="H4456" s="24"/>
      <c r="Q4456" s="2"/>
      <c r="R4456" s="2"/>
    </row>
    <row r="4457" spans="1:18" ht="15.75" customHeight="1" x14ac:dyDescent="0.3">
      <c r="A4457" s="11"/>
      <c r="B4457" s="11"/>
      <c r="D4457" s="21"/>
      <c r="E4457" s="22"/>
      <c r="G4457" s="23"/>
      <c r="H4457" s="24"/>
      <c r="Q4457" s="2"/>
      <c r="R4457" s="2"/>
    </row>
    <row r="4458" spans="1:18" ht="15.75" customHeight="1" x14ac:dyDescent="0.3">
      <c r="A4458" s="11"/>
      <c r="B4458" s="11"/>
      <c r="D4458" s="21"/>
      <c r="E4458" s="22"/>
      <c r="G4458" s="23"/>
      <c r="H4458" s="24"/>
      <c r="Q4458" s="2"/>
      <c r="R4458" s="2"/>
    </row>
    <row r="4459" spans="1:18" ht="15.75" customHeight="1" x14ac:dyDescent="0.3">
      <c r="A4459" s="11"/>
      <c r="B4459" s="11"/>
      <c r="D4459" s="21"/>
      <c r="E4459" s="22"/>
      <c r="G4459" s="23"/>
      <c r="H4459" s="24"/>
      <c r="Q4459" s="2"/>
      <c r="R4459" s="2"/>
    </row>
    <row r="4460" spans="1:18" ht="15.75" customHeight="1" x14ac:dyDescent="0.3">
      <c r="A4460" s="11"/>
      <c r="B4460" s="11"/>
      <c r="D4460" s="21"/>
      <c r="E4460" s="22"/>
      <c r="G4460" s="23"/>
      <c r="H4460" s="24"/>
      <c r="Q4460" s="2"/>
      <c r="R4460" s="2"/>
    </row>
    <row r="4461" spans="1:18" ht="15.75" customHeight="1" x14ac:dyDescent="0.3">
      <c r="A4461" s="11"/>
      <c r="B4461" s="11"/>
      <c r="D4461" s="21"/>
      <c r="E4461" s="22"/>
      <c r="G4461" s="23"/>
      <c r="H4461" s="24"/>
      <c r="Q4461" s="2"/>
      <c r="R4461" s="2"/>
    </row>
    <row r="4462" spans="1:18" ht="15.75" customHeight="1" x14ac:dyDescent="0.3">
      <c r="A4462" s="11"/>
      <c r="B4462" s="11"/>
      <c r="D4462" s="21"/>
      <c r="E4462" s="22"/>
      <c r="G4462" s="23"/>
      <c r="H4462" s="24"/>
      <c r="Q4462" s="2"/>
      <c r="R4462" s="2"/>
    </row>
    <row r="4463" spans="1:18" ht="15.75" customHeight="1" x14ac:dyDescent="0.3">
      <c r="A4463" s="11"/>
      <c r="B4463" s="11"/>
      <c r="D4463" s="21"/>
      <c r="E4463" s="22"/>
      <c r="G4463" s="23"/>
      <c r="H4463" s="24"/>
      <c r="Q4463" s="2"/>
      <c r="R4463" s="2"/>
    </row>
    <row r="4464" spans="1:18" ht="15.75" customHeight="1" x14ac:dyDescent="0.3">
      <c r="A4464" s="11"/>
      <c r="B4464" s="11"/>
      <c r="D4464" s="21"/>
      <c r="E4464" s="22"/>
      <c r="G4464" s="23"/>
      <c r="H4464" s="24"/>
      <c r="Q4464" s="2"/>
      <c r="R4464" s="2"/>
    </row>
    <row r="4465" spans="1:18" ht="15.75" customHeight="1" x14ac:dyDescent="0.3">
      <c r="A4465" s="11"/>
      <c r="B4465" s="11"/>
      <c r="D4465" s="21"/>
      <c r="E4465" s="22"/>
      <c r="G4465" s="23"/>
      <c r="H4465" s="24"/>
      <c r="Q4465" s="2"/>
      <c r="R4465" s="2"/>
    </row>
    <row r="4466" spans="1:18" ht="15.75" customHeight="1" x14ac:dyDescent="0.3">
      <c r="A4466" s="11"/>
      <c r="B4466" s="11"/>
      <c r="D4466" s="21"/>
      <c r="E4466" s="22"/>
      <c r="G4466" s="23"/>
      <c r="H4466" s="24"/>
      <c r="Q4466" s="2"/>
      <c r="R4466" s="2"/>
    </row>
    <row r="4467" spans="1:18" ht="15.75" customHeight="1" x14ac:dyDescent="0.3">
      <c r="A4467" s="11"/>
      <c r="B4467" s="11"/>
      <c r="D4467" s="21"/>
      <c r="E4467" s="22"/>
      <c r="G4467" s="23"/>
      <c r="H4467" s="24"/>
      <c r="Q4467" s="2"/>
      <c r="R4467" s="2"/>
    </row>
    <row r="4468" spans="1:18" ht="15.75" customHeight="1" x14ac:dyDescent="0.3">
      <c r="A4468" s="11"/>
      <c r="B4468" s="11"/>
      <c r="D4468" s="21"/>
      <c r="E4468" s="22"/>
      <c r="G4468" s="23"/>
      <c r="H4468" s="24"/>
      <c r="Q4468" s="2"/>
      <c r="R4468" s="2"/>
    </row>
    <row r="4469" spans="1:18" ht="15.75" customHeight="1" x14ac:dyDescent="0.3">
      <c r="A4469" s="11"/>
      <c r="B4469" s="11"/>
      <c r="D4469" s="21"/>
      <c r="E4469" s="22"/>
      <c r="G4469" s="23"/>
      <c r="H4469" s="24"/>
      <c r="Q4469" s="2"/>
      <c r="R4469" s="2"/>
    </row>
    <row r="4470" spans="1:18" ht="15.75" customHeight="1" x14ac:dyDescent="0.3">
      <c r="A4470" s="11"/>
      <c r="B4470" s="11"/>
      <c r="D4470" s="21"/>
      <c r="E4470" s="22"/>
      <c r="G4470" s="23"/>
      <c r="H4470" s="24"/>
      <c r="Q4470" s="2"/>
      <c r="R4470" s="2"/>
    </row>
    <row r="4471" spans="1:18" ht="15.75" customHeight="1" x14ac:dyDescent="0.3">
      <c r="A4471" s="11"/>
      <c r="B4471" s="11"/>
      <c r="D4471" s="21"/>
      <c r="E4471" s="22"/>
      <c r="G4471" s="23"/>
      <c r="H4471" s="24"/>
      <c r="Q4471" s="2"/>
      <c r="R4471" s="2"/>
    </row>
    <row r="4472" spans="1:18" ht="15.75" customHeight="1" x14ac:dyDescent="0.3">
      <c r="A4472" s="11"/>
      <c r="B4472" s="11"/>
      <c r="D4472" s="21"/>
      <c r="E4472" s="22"/>
      <c r="G4472" s="23"/>
      <c r="H4472" s="24"/>
      <c r="Q4472" s="2"/>
      <c r="R4472" s="2"/>
    </row>
    <row r="4473" spans="1:18" ht="15.75" customHeight="1" x14ac:dyDescent="0.3">
      <c r="A4473" s="11"/>
      <c r="B4473" s="11"/>
      <c r="D4473" s="21"/>
      <c r="E4473" s="22"/>
      <c r="G4473" s="23"/>
      <c r="H4473" s="24"/>
      <c r="Q4473" s="2"/>
      <c r="R4473" s="2"/>
    </row>
    <row r="4474" spans="1:18" ht="15.75" customHeight="1" x14ac:dyDescent="0.3">
      <c r="A4474" s="11"/>
      <c r="B4474" s="11"/>
      <c r="D4474" s="21"/>
      <c r="E4474" s="22"/>
      <c r="G4474" s="23"/>
      <c r="H4474" s="24"/>
      <c r="Q4474" s="2"/>
      <c r="R4474" s="2"/>
    </row>
    <row r="4475" spans="1:18" ht="15.75" customHeight="1" x14ac:dyDescent="0.3">
      <c r="A4475" s="11"/>
      <c r="B4475" s="11"/>
      <c r="D4475" s="21"/>
      <c r="E4475" s="22"/>
      <c r="G4475" s="23"/>
      <c r="H4475" s="24"/>
      <c r="Q4475" s="2"/>
      <c r="R4475" s="2"/>
    </row>
    <row r="4476" spans="1:18" ht="15.75" customHeight="1" x14ac:dyDescent="0.3">
      <c r="A4476" s="11"/>
      <c r="B4476" s="11"/>
      <c r="D4476" s="21"/>
      <c r="E4476" s="22"/>
      <c r="G4476" s="23"/>
      <c r="H4476" s="24"/>
      <c r="Q4476" s="2"/>
      <c r="R4476" s="2"/>
    </row>
    <row r="4477" spans="1:18" ht="15.75" customHeight="1" x14ac:dyDescent="0.3">
      <c r="A4477" s="11"/>
      <c r="B4477" s="11"/>
      <c r="D4477" s="21"/>
      <c r="E4477" s="22"/>
      <c r="G4477" s="23"/>
      <c r="H4477" s="24"/>
      <c r="Q4477" s="2"/>
      <c r="R4477" s="2"/>
    </row>
    <row r="4478" spans="1:18" ht="15.75" customHeight="1" x14ac:dyDescent="0.3">
      <c r="A4478" s="11"/>
      <c r="B4478" s="11"/>
      <c r="D4478" s="21"/>
      <c r="E4478" s="22"/>
      <c r="G4478" s="23"/>
      <c r="H4478" s="24"/>
      <c r="Q4478" s="2"/>
      <c r="R4478" s="2"/>
    </row>
    <row r="4479" spans="1:18" ht="15.75" customHeight="1" x14ac:dyDescent="0.3">
      <c r="A4479" s="11"/>
      <c r="B4479" s="11"/>
      <c r="D4479" s="21"/>
      <c r="E4479" s="22"/>
      <c r="G4479" s="23"/>
      <c r="H4479" s="24"/>
      <c r="Q4479" s="2"/>
      <c r="R4479" s="2"/>
    </row>
    <row r="4480" spans="1:18" ht="15.75" customHeight="1" x14ac:dyDescent="0.3">
      <c r="A4480" s="11"/>
      <c r="B4480" s="11"/>
      <c r="D4480" s="21"/>
      <c r="E4480" s="22"/>
      <c r="G4480" s="23"/>
      <c r="H4480" s="24"/>
      <c r="Q4480" s="2"/>
      <c r="R4480" s="2"/>
    </row>
    <row r="4481" spans="1:18" ht="15.75" customHeight="1" x14ac:dyDescent="0.3">
      <c r="A4481" s="11"/>
      <c r="B4481" s="11"/>
      <c r="D4481" s="21"/>
      <c r="E4481" s="22"/>
      <c r="G4481" s="23"/>
      <c r="H4481" s="24"/>
      <c r="Q4481" s="2"/>
      <c r="R4481" s="2"/>
    </row>
    <row r="4482" spans="1:18" ht="15.75" customHeight="1" x14ac:dyDescent="0.3">
      <c r="A4482" s="11"/>
      <c r="B4482" s="11"/>
      <c r="D4482" s="21"/>
      <c r="E4482" s="22"/>
      <c r="G4482" s="23"/>
      <c r="H4482" s="24"/>
      <c r="Q4482" s="2"/>
      <c r="R4482" s="2"/>
    </row>
    <row r="4483" spans="1:18" ht="15.75" customHeight="1" x14ac:dyDescent="0.3">
      <c r="A4483" s="11"/>
      <c r="B4483" s="11"/>
      <c r="D4483" s="21"/>
      <c r="E4483" s="22"/>
      <c r="G4483" s="23"/>
      <c r="H4483" s="24"/>
      <c r="Q4483" s="2"/>
      <c r="R4483" s="2"/>
    </row>
    <row r="4484" spans="1:18" ht="15.75" customHeight="1" x14ac:dyDescent="0.3">
      <c r="A4484" s="11"/>
      <c r="B4484" s="11"/>
      <c r="D4484" s="21"/>
      <c r="E4484" s="22"/>
      <c r="G4484" s="23"/>
      <c r="H4484" s="24"/>
      <c r="Q4484" s="2"/>
      <c r="R4484" s="2"/>
    </row>
    <row r="4485" spans="1:18" ht="15.75" customHeight="1" x14ac:dyDescent="0.3">
      <c r="A4485" s="11"/>
      <c r="B4485" s="11"/>
      <c r="D4485" s="21"/>
      <c r="E4485" s="22"/>
      <c r="G4485" s="23"/>
      <c r="H4485" s="24"/>
      <c r="Q4485" s="2"/>
      <c r="R4485" s="2"/>
    </row>
    <row r="4486" spans="1:18" ht="15.75" customHeight="1" x14ac:dyDescent="0.3">
      <c r="A4486" s="11"/>
      <c r="B4486" s="11"/>
      <c r="D4486" s="21"/>
      <c r="E4486" s="22"/>
      <c r="G4486" s="23"/>
      <c r="H4486" s="24"/>
      <c r="Q4486" s="2"/>
      <c r="R4486" s="2"/>
    </row>
    <row r="4487" spans="1:18" ht="15.75" customHeight="1" x14ac:dyDescent="0.3">
      <c r="A4487" s="11"/>
      <c r="B4487" s="11"/>
      <c r="D4487" s="21"/>
      <c r="E4487" s="22"/>
      <c r="G4487" s="23"/>
      <c r="H4487" s="24"/>
      <c r="Q4487" s="2"/>
      <c r="R4487" s="2"/>
    </row>
    <row r="4488" spans="1:18" ht="15.75" customHeight="1" x14ac:dyDescent="0.3">
      <c r="A4488" s="11"/>
      <c r="B4488" s="11"/>
      <c r="D4488" s="21"/>
      <c r="E4488" s="22"/>
      <c r="G4488" s="23"/>
      <c r="H4488" s="24"/>
      <c r="Q4488" s="2"/>
      <c r="R4488" s="2"/>
    </row>
    <row r="4489" spans="1:18" ht="15.75" customHeight="1" x14ac:dyDescent="0.3">
      <c r="A4489" s="11"/>
      <c r="B4489" s="11"/>
      <c r="D4489" s="21"/>
      <c r="E4489" s="22"/>
      <c r="G4489" s="23"/>
      <c r="H4489" s="24"/>
      <c r="Q4489" s="2"/>
      <c r="R4489" s="2"/>
    </row>
    <row r="4490" spans="1:18" ht="15.75" customHeight="1" x14ac:dyDescent="0.3">
      <c r="A4490" s="11"/>
      <c r="B4490" s="11"/>
      <c r="D4490" s="21"/>
      <c r="E4490" s="22"/>
      <c r="G4490" s="23"/>
      <c r="H4490" s="24"/>
      <c r="Q4490" s="2"/>
      <c r="R4490" s="2"/>
    </row>
    <row r="4491" spans="1:18" ht="15.75" customHeight="1" x14ac:dyDescent="0.3">
      <c r="A4491" s="11"/>
      <c r="B4491" s="11"/>
      <c r="D4491" s="21"/>
      <c r="E4491" s="22"/>
      <c r="G4491" s="23"/>
      <c r="H4491" s="24"/>
      <c r="Q4491" s="2"/>
      <c r="R4491" s="2"/>
    </row>
    <row r="4492" spans="1:18" ht="15.75" customHeight="1" x14ac:dyDescent="0.3">
      <c r="A4492" s="11"/>
      <c r="B4492" s="11"/>
      <c r="D4492" s="21"/>
      <c r="E4492" s="22"/>
      <c r="G4492" s="23"/>
      <c r="H4492" s="24"/>
      <c r="Q4492" s="2"/>
      <c r="R4492" s="2"/>
    </row>
    <row r="4493" spans="1:18" ht="15.75" customHeight="1" x14ac:dyDescent="0.3">
      <c r="A4493" s="11"/>
      <c r="B4493" s="11"/>
      <c r="D4493" s="21"/>
      <c r="E4493" s="22"/>
      <c r="G4493" s="23"/>
      <c r="H4493" s="24"/>
      <c r="Q4493" s="2"/>
      <c r="R4493" s="2"/>
    </row>
    <row r="4494" spans="1:18" ht="15.75" customHeight="1" x14ac:dyDescent="0.3">
      <c r="A4494" s="11"/>
      <c r="B4494" s="11"/>
      <c r="D4494" s="21"/>
      <c r="E4494" s="22"/>
      <c r="G4494" s="23"/>
      <c r="H4494" s="24"/>
      <c r="Q4494" s="2"/>
      <c r="R4494" s="2"/>
    </row>
    <row r="4495" spans="1:18" ht="15.75" customHeight="1" x14ac:dyDescent="0.3">
      <c r="A4495" s="11"/>
      <c r="B4495" s="11"/>
      <c r="D4495" s="21"/>
      <c r="E4495" s="22"/>
      <c r="G4495" s="23"/>
      <c r="H4495" s="24"/>
      <c r="Q4495" s="2"/>
      <c r="R4495" s="2"/>
    </row>
    <row r="4496" spans="1:18" ht="15.75" customHeight="1" x14ac:dyDescent="0.3">
      <c r="A4496" s="11"/>
      <c r="B4496" s="11"/>
      <c r="D4496" s="21"/>
      <c r="E4496" s="22"/>
      <c r="G4496" s="23"/>
      <c r="H4496" s="24"/>
      <c r="Q4496" s="2"/>
      <c r="R4496" s="2"/>
    </row>
    <row r="4497" spans="1:18" ht="15.75" customHeight="1" x14ac:dyDescent="0.3">
      <c r="A4497" s="11"/>
      <c r="B4497" s="11"/>
      <c r="D4497" s="21"/>
      <c r="E4497" s="22"/>
      <c r="G4497" s="23"/>
      <c r="H4497" s="24"/>
      <c r="Q4497" s="2"/>
      <c r="R4497" s="2"/>
    </row>
    <row r="4498" spans="1:18" ht="15.75" customHeight="1" x14ac:dyDescent="0.3">
      <c r="A4498" s="11"/>
      <c r="B4498" s="11"/>
      <c r="D4498" s="21"/>
      <c r="E4498" s="22"/>
      <c r="G4498" s="23"/>
      <c r="H4498" s="24"/>
      <c r="Q4498" s="2"/>
      <c r="R4498" s="2"/>
    </row>
    <row r="4499" spans="1:18" ht="15.75" customHeight="1" x14ac:dyDescent="0.3">
      <c r="A4499" s="11"/>
      <c r="B4499" s="11"/>
      <c r="D4499" s="21"/>
      <c r="E4499" s="22"/>
      <c r="G4499" s="23"/>
      <c r="H4499" s="24"/>
      <c r="Q4499" s="2"/>
      <c r="R4499" s="2"/>
    </row>
    <row r="4500" spans="1:18" ht="15.75" customHeight="1" x14ac:dyDescent="0.3">
      <c r="A4500" s="11"/>
      <c r="B4500" s="11"/>
      <c r="D4500" s="21"/>
      <c r="E4500" s="22"/>
      <c r="G4500" s="23"/>
      <c r="H4500" s="24"/>
      <c r="Q4500" s="2"/>
      <c r="R4500" s="2"/>
    </row>
    <row r="4501" spans="1:18" ht="15.75" customHeight="1" x14ac:dyDescent="0.3">
      <c r="A4501" s="11"/>
      <c r="B4501" s="11"/>
      <c r="D4501" s="21"/>
      <c r="E4501" s="22"/>
      <c r="G4501" s="23"/>
      <c r="H4501" s="24"/>
      <c r="Q4501" s="2"/>
      <c r="R4501" s="2"/>
    </row>
    <row r="4502" spans="1:18" ht="15.75" customHeight="1" x14ac:dyDescent="0.3">
      <c r="A4502" s="11"/>
      <c r="B4502" s="11"/>
      <c r="D4502" s="21"/>
      <c r="E4502" s="22"/>
      <c r="G4502" s="23"/>
      <c r="H4502" s="24"/>
      <c r="Q4502" s="2"/>
      <c r="R4502" s="2"/>
    </row>
    <row r="4503" spans="1:18" ht="15.75" customHeight="1" x14ac:dyDescent="0.3">
      <c r="A4503" s="11"/>
      <c r="B4503" s="11"/>
      <c r="D4503" s="21"/>
      <c r="E4503" s="22"/>
      <c r="G4503" s="23"/>
      <c r="H4503" s="24"/>
      <c r="Q4503" s="2"/>
      <c r="R4503" s="2"/>
    </row>
    <row r="4504" spans="1:18" ht="15.75" customHeight="1" x14ac:dyDescent="0.3">
      <c r="A4504" s="11"/>
      <c r="B4504" s="11"/>
      <c r="D4504" s="21"/>
      <c r="E4504" s="22"/>
      <c r="G4504" s="23"/>
      <c r="H4504" s="24"/>
      <c r="Q4504" s="2"/>
      <c r="R4504" s="2"/>
    </row>
    <row r="4505" spans="1:18" ht="15.75" customHeight="1" x14ac:dyDescent="0.3">
      <c r="A4505" s="11"/>
      <c r="B4505" s="11"/>
      <c r="D4505" s="21"/>
      <c r="E4505" s="22"/>
      <c r="G4505" s="23"/>
      <c r="H4505" s="24"/>
      <c r="Q4505" s="2"/>
      <c r="R4505" s="2"/>
    </row>
    <row r="4506" spans="1:18" ht="15.75" customHeight="1" x14ac:dyDescent="0.3">
      <c r="A4506" s="11"/>
      <c r="B4506" s="11"/>
      <c r="D4506" s="21"/>
      <c r="E4506" s="22"/>
      <c r="G4506" s="23"/>
      <c r="H4506" s="24"/>
      <c r="Q4506" s="2"/>
      <c r="R4506" s="2"/>
    </row>
    <row r="4507" spans="1:18" ht="15.75" customHeight="1" x14ac:dyDescent="0.3">
      <c r="A4507" s="11"/>
      <c r="B4507" s="11"/>
      <c r="D4507" s="21"/>
      <c r="E4507" s="22"/>
      <c r="G4507" s="23"/>
      <c r="H4507" s="24"/>
      <c r="Q4507" s="2"/>
      <c r="R4507" s="2"/>
    </row>
    <row r="4508" spans="1:18" ht="15.75" customHeight="1" x14ac:dyDescent="0.3">
      <c r="A4508" s="11"/>
      <c r="B4508" s="11"/>
      <c r="D4508" s="21"/>
      <c r="E4508" s="22"/>
      <c r="G4508" s="23"/>
      <c r="H4508" s="24"/>
      <c r="Q4508" s="2"/>
      <c r="R4508" s="2"/>
    </row>
    <row r="4509" spans="1:18" ht="15.75" customHeight="1" x14ac:dyDescent="0.3">
      <c r="A4509" s="11"/>
      <c r="B4509" s="11"/>
      <c r="D4509" s="21"/>
      <c r="E4509" s="22"/>
      <c r="G4509" s="23"/>
      <c r="H4509" s="24"/>
      <c r="Q4509" s="2"/>
      <c r="R4509" s="2"/>
    </row>
    <row r="4510" spans="1:18" ht="15.75" customHeight="1" x14ac:dyDescent="0.3">
      <c r="A4510" s="11"/>
      <c r="B4510" s="11"/>
      <c r="D4510" s="21"/>
      <c r="E4510" s="22"/>
      <c r="G4510" s="23"/>
      <c r="H4510" s="24"/>
      <c r="Q4510" s="2"/>
      <c r="R4510" s="2"/>
    </row>
    <row r="4511" spans="1:18" ht="15.75" customHeight="1" x14ac:dyDescent="0.3">
      <c r="A4511" s="11"/>
      <c r="B4511" s="11"/>
      <c r="D4511" s="21"/>
      <c r="E4511" s="22"/>
      <c r="G4511" s="23"/>
      <c r="H4511" s="24"/>
      <c r="Q4511" s="2"/>
      <c r="R4511" s="2"/>
    </row>
    <row r="4512" spans="1:18" ht="15.75" customHeight="1" x14ac:dyDescent="0.3">
      <c r="A4512" s="11"/>
      <c r="B4512" s="11"/>
      <c r="D4512" s="21"/>
      <c r="E4512" s="22"/>
      <c r="G4512" s="23"/>
      <c r="H4512" s="24"/>
      <c r="Q4512" s="2"/>
      <c r="R4512" s="2"/>
    </row>
    <row r="4513" spans="1:18" ht="15.75" customHeight="1" x14ac:dyDescent="0.3">
      <c r="A4513" s="11"/>
      <c r="B4513" s="11"/>
      <c r="D4513" s="21"/>
      <c r="E4513" s="22"/>
      <c r="G4513" s="23"/>
      <c r="H4513" s="24"/>
      <c r="Q4513" s="2"/>
      <c r="R4513" s="2"/>
    </row>
    <row r="4514" spans="1:18" ht="15.75" customHeight="1" x14ac:dyDescent="0.3">
      <c r="A4514" s="11"/>
      <c r="B4514" s="11"/>
      <c r="D4514" s="21"/>
      <c r="E4514" s="22"/>
      <c r="G4514" s="23"/>
      <c r="H4514" s="24"/>
      <c r="Q4514" s="2"/>
      <c r="R4514" s="2"/>
    </row>
    <row r="4515" spans="1:18" ht="15.75" customHeight="1" x14ac:dyDescent="0.3">
      <c r="A4515" s="11"/>
      <c r="B4515" s="11"/>
      <c r="D4515" s="21"/>
      <c r="E4515" s="22"/>
      <c r="G4515" s="23"/>
      <c r="H4515" s="24"/>
      <c r="Q4515" s="2"/>
      <c r="R4515" s="2"/>
    </row>
    <row r="4516" spans="1:18" ht="15.75" customHeight="1" x14ac:dyDescent="0.3">
      <c r="A4516" s="11"/>
      <c r="B4516" s="11"/>
      <c r="D4516" s="21"/>
      <c r="E4516" s="22"/>
      <c r="G4516" s="23"/>
      <c r="H4516" s="24"/>
      <c r="Q4516" s="2"/>
      <c r="R4516" s="2"/>
    </row>
    <row r="4517" spans="1:18" ht="15.75" customHeight="1" x14ac:dyDescent="0.3">
      <c r="A4517" s="11"/>
      <c r="B4517" s="11"/>
      <c r="D4517" s="21"/>
      <c r="E4517" s="22"/>
      <c r="G4517" s="23"/>
      <c r="H4517" s="24"/>
      <c r="Q4517" s="2"/>
      <c r="R4517" s="2"/>
    </row>
    <row r="4518" spans="1:18" ht="15.75" customHeight="1" x14ac:dyDescent="0.3">
      <c r="A4518" s="11"/>
      <c r="B4518" s="11"/>
      <c r="D4518" s="21"/>
      <c r="E4518" s="22"/>
      <c r="G4518" s="23"/>
      <c r="H4518" s="24"/>
      <c r="Q4518" s="2"/>
      <c r="R4518" s="2"/>
    </row>
    <row r="4519" spans="1:18" ht="15.75" customHeight="1" x14ac:dyDescent="0.3">
      <c r="A4519" s="11"/>
      <c r="B4519" s="11"/>
      <c r="D4519" s="21"/>
      <c r="E4519" s="22"/>
      <c r="G4519" s="23"/>
      <c r="H4519" s="24"/>
      <c r="Q4519" s="2"/>
      <c r="R4519" s="2"/>
    </row>
    <row r="4520" spans="1:18" ht="15.75" customHeight="1" x14ac:dyDescent="0.3">
      <c r="A4520" s="11"/>
      <c r="B4520" s="11"/>
      <c r="D4520" s="21"/>
      <c r="E4520" s="22"/>
      <c r="G4520" s="23"/>
      <c r="H4520" s="24"/>
      <c r="Q4520" s="2"/>
      <c r="R4520" s="2"/>
    </row>
    <row r="4521" spans="1:18" ht="15.75" customHeight="1" x14ac:dyDescent="0.3">
      <c r="A4521" s="11"/>
      <c r="B4521" s="11"/>
      <c r="D4521" s="21"/>
      <c r="E4521" s="22"/>
      <c r="G4521" s="23"/>
      <c r="H4521" s="24"/>
      <c r="Q4521" s="2"/>
      <c r="R4521" s="2"/>
    </row>
    <row r="4522" spans="1:18" ht="15.75" customHeight="1" x14ac:dyDescent="0.3">
      <c r="A4522" s="11"/>
      <c r="B4522" s="11"/>
      <c r="D4522" s="21"/>
      <c r="E4522" s="22"/>
      <c r="G4522" s="23"/>
      <c r="H4522" s="24"/>
      <c r="Q4522" s="2"/>
      <c r="R4522" s="2"/>
    </row>
    <row r="4523" spans="1:18" ht="15.75" customHeight="1" x14ac:dyDescent="0.3">
      <c r="A4523" s="11"/>
      <c r="B4523" s="11"/>
      <c r="D4523" s="21"/>
      <c r="E4523" s="22"/>
      <c r="G4523" s="23"/>
      <c r="H4523" s="24"/>
      <c r="Q4523" s="2"/>
      <c r="R4523" s="2"/>
    </row>
    <row r="4524" spans="1:18" ht="15.75" customHeight="1" x14ac:dyDescent="0.3">
      <c r="A4524" s="11"/>
      <c r="B4524" s="11"/>
      <c r="D4524" s="21"/>
      <c r="E4524" s="22"/>
      <c r="G4524" s="23"/>
      <c r="H4524" s="24"/>
      <c r="Q4524" s="2"/>
      <c r="R4524" s="2"/>
    </row>
    <row r="4525" spans="1:18" ht="15.75" customHeight="1" x14ac:dyDescent="0.3">
      <c r="A4525" s="11"/>
      <c r="B4525" s="11"/>
      <c r="D4525" s="21"/>
      <c r="E4525" s="22"/>
      <c r="G4525" s="23"/>
      <c r="H4525" s="24"/>
      <c r="Q4525" s="2"/>
      <c r="R4525" s="2"/>
    </row>
    <row r="4526" spans="1:18" ht="15.75" customHeight="1" x14ac:dyDescent="0.3">
      <c r="A4526" s="11"/>
      <c r="B4526" s="11"/>
      <c r="D4526" s="21"/>
      <c r="E4526" s="22"/>
      <c r="G4526" s="23"/>
      <c r="H4526" s="24"/>
      <c r="Q4526" s="2"/>
      <c r="R4526" s="2"/>
    </row>
    <row r="4527" spans="1:18" ht="15.75" customHeight="1" x14ac:dyDescent="0.3">
      <c r="A4527" s="11"/>
      <c r="B4527" s="11"/>
      <c r="D4527" s="21"/>
      <c r="E4527" s="22"/>
      <c r="G4527" s="23"/>
      <c r="H4527" s="24"/>
      <c r="Q4527" s="2"/>
      <c r="R4527" s="2"/>
    </row>
    <row r="4528" spans="1:18" ht="15.75" customHeight="1" x14ac:dyDescent="0.3">
      <c r="A4528" s="11"/>
      <c r="B4528" s="11"/>
      <c r="D4528" s="21"/>
      <c r="E4528" s="22"/>
      <c r="G4528" s="23"/>
      <c r="H4528" s="24"/>
      <c r="Q4528" s="2"/>
      <c r="R4528" s="2"/>
    </row>
    <row r="4529" spans="1:18" ht="15.75" customHeight="1" x14ac:dyDescent="0.3">
      <c r="A4529" s="11"/>
      <c r="B4529" s="11"/>
      <c r="D4529" s="21"/>
      <c r="E4529" s="22"/>
      <c r="G4529" s="23"/>
      <c r="H4529" s="24"/>
      <c r="Q4529" s="2"/>
      <c r="R4529" s="2"/>
    </row>
    <row r="4530" spans="1:18" ht="15.75" customHeight="1" x14ac:dyDescent="0.3">
      <c r="A4530" s="11"/>
      <c r="B4530" s="11"/>
      <c r="D4530" s="21"/>
      <c r="E4530" s="22"/>
      <c r="G4530" s="23"/>
      <c r="H4530" s="24"/>
      <c r="Q4530" s="2"/>
      <c r="R4530" s="2"/>
    </row>
    <row r="4531" spans="1:18" ht="15.75" customHeight="1" x14ac:dyDescent="0.3">
      <c r="A4531" s="11"/>
      <c r="B4531" s="11"/>
      <c r="D4531" s="21"/>
      <c r="E4531" s="22"/>
      <c r="G4531" s="23"/>
      <c r="H4531" s="24"/>
      <c r="Q4531" s="2"/>
      <c r="R4531" s="2"/>
    </row>
    <row r="4532" spans="1:18" ht="15.75" customHeight="1" x14ac:dyDescent="0.3">
      <c r="A4532" s="11"/>
      <c r="B4532" s="11"/>
      <c r="D4532" s="21"/>
      <c r="E4532" s="22"/>
      <c r="G4532" s="23"/>
      <c r="H4532" s="24"/>
      <c r="Q4532" s="2"/>
      <c r="R4532" s="2"/>
    </row>
    <row r="4533" spans="1:18" ht="15.75" customHeight="1" x14ac:dyDescent="0.3">
      <c r="A4533" s="11"/>
      <c r="B4533" s="11"/>
      <c r="D4533" s="21"/>
      <c r="E4533" s="22"/>
      <c r="G4533" s="23"/>
      <c r="H4533" s="24"/>
      <c r="Q4533" s="2"/>
      <c r="R4533" s="2"/>
    </row>
    <row r="4534" spans="1:18" ht="15.75" customHeight="1" x14ac:dyDescent="0.3">
      <c r="A4534" s="11"/>
      <c r="B4534" s="11"/>
      <c r="D4534" s="21"/>
      <c r="E4534" s="22"/>
      <c r="G4534" s="23"/>
      <c r="H4534" s="24"/>
      <c r="Q4534" s="2"/>
      <c r="R4534" s="2"/>
    </row>
    <row r="4535" spans="1:18" ht="15.75" customHeight="1" x14ac:dyDescent="0.3">
      <c r="A4535" s="11"/>
      <c r="B4535" s="11"/>
      <c r="D4535" s="21"/>
      <c r="E4535" s="22"/>
      <c r="G4535" s="23"/>
      <c r="H4535" s="24"/>
      <c r="Q4535" s="2"/>
      <c r="R4535" s="2"/>
    </row>
    <row r="4536" spans="1:18" ht="15.75" customHeight="1" x14ac:dyDescent="0.3">
      <c r="A4536" s="11"/>
      <c r="B4536" s="11"/>
      <c r="D4536" s="21"/>
      <c r="E4536" s="22"/>
      <c r="G4536" s="23"/>
      <c r="H4536" s="24"/>
      <c r="Q4536" s="2"/>
      <c r="R4536" s="2"/>
    </row>
    <row r="4537" spans="1:18" ht="15.75" customHeight="1" x14ac:dyDescent="0.3">
      <c r="A4537" s="11"/>
      <c r="B4537" s="11"/>
      <c r="D4537" s="21"/>
      <c r="E4537" s="22"/>
      <c r="G4537" s="23"/>
      <c r="H4537" s="24"/>
      <c r="Q4537" s="2"/>
      <c r="R4537" s="2"/>
    </row>
    <row r="4538" spans="1:18" ht="15.75" customHeight="1" x14ac:dyDescent="0.3">
      <c r="A4538" s="11"/>
      <c r="B4538" s="11"/>
      <c r="D4538" s="21"/>
      <c r="E4538" s="22"/>
      <c r="G4538" s="23"/>
      <c r="H4538" s="24"/>
      <c r="Q4538" s="2"/>
      <c r="R4538" s="2"/>
    </row>
    <row r="4539" spans="1:18" ht="15.75" customHeight="1" x14ac:dyDescent="0.3">
      <c r="A4539" s="11"/>
      <c r="B4539" s="11"/>
      <c r="D4539" s="21"/>
      <c r="E4539" s="22"/>
      <c r="G4539" s="23"/>
      <c r="H4539" s="24"/>
      <c r="Q4539" s="2"/>
      <c r="R4539" s="2"/>
    </row>
    <row r="4540" spans="1:18" ht="15.75" customHeight="1" x14ac:dyDescent="0.3">
      <c r="A4540" s="11"/>
      <c r="B4540" s="11"/>
      <c r="D4540" s="21"/>
      <c r="E4540" s="22"/>
      <c r="G4540" s="23"/>
      <c r="H4540" s="24"/>
      <c r="Q4540" s="2"/>
      <c r="R4540" s="2"/>
    </row>
    <row r="4541" spans="1:18" ht="15.75" customHeight="1" x14ac:dyDescent="0.3">
      <c r="A4541" s="11"/>
      <c r="B4541" s="11"/>
      <c r="D4541" s="21"/>
      <c r="E4541" s="22"/>
      <c r="G4541" s="23"/>
      <c r="H4541" s="24"/>
      <c r="Q4541" s="2"/>
      <c r="R4541" s="2"/>
    </row>
    <row r="4542" spans="1:18" ht="15.75" customHeight="1" x14ac:dyDescent="0.3">
      <c r="A4542" s="11"/>
      <c r="B4542" s="11"/>
      <c r="D4542" s="21"/>
      <c r="E4542" s="22"/>
      <c r="G4542" s="23"/>
      <c r="H4542" s="24"/>
      <c r="Q4542" s="2"/>
      <c r="R4542" s="2"/>
    </row>
    <row r="4543" spans="1:18" ht="15.75" customHeight="1" x14ac:dyDescent="0.3">
      <c r="A4543" s="11"/>
      <c r="B4543" s="11"/>
      <c r="D4543" s="21"/>
      <c r="E4543" s="22"/>
      <c r="G4543" s="23"/>
      <c r="H4543" s="24"/>
      <c r="Q4543" s="2"/>
      <c r="R4543" s="2"/>
    </row>
    <row r="4544" spans="1:18" ht="15.75" customHeight="1" x14ac:dyDescent="0.3">
      <c r="A4544" s="11"/>
      <c r="B4544" s="11"/>
      <c r="D4544" s="21"/>
      <c r="E4544" s="22"/>
      <c r="G4544" s="23"/>
      <c r="H4544" s="24"/>
      <c r="Q4544" s="2"/>
      <c r="R4544" s="2"/>
    </row>
    <row r="4545" spans="1:18" ht="15.75" customHeight="1" x14ac:dyDescent="0.3">
      <c r="A4545" s="11"/>
      <c r="B4545" s="11"/>
      <c r="D4545" s="21"/>
      <c r="E4545" s="22"/>
      <c r="G4545" s="23"/>
      <c r="H4545" s="24"/>
      <c r="Q4545" s="2"/>
      <c r="R4545" s="2"/>
    </row>
    <row r="4546" spans="1:18" ht="15.75" customHeight="1" x14ac:dyDescent="0.3">
      <c r="A4546" s="11"/>
      <c r="B4546" s="11"/>
      <c r="D4546" s="21"/>
      <c r="E4546" s="22"/>
      <c r="G4546" s="23"/>
      <c r="H4546" s="24"/>
      <c r="Q4546" s="2"/>
      <c r="R4546" s="2"/>
    </row>
    <row r="4547" spans="1:18" ht="15.75" customHeight="1" x14ac:dyDescent="0.3">
      <c r="A4547" s="11"/>
      <c r="B4547" s="11"/>
      <c r="D4547" s="21"/>
      <c r="E4547" s="22"/>
      <c r="G4547" s="23"/>
      <c r="H4547" s="24"/>
      <c r="Q4547" s="2"/>
      <c r="R4547" s="2"/>
    </row>
    <row r="4548" spans="1:18" ht="15.75" customHeight="1" x14ac:dyDescent="0.3">
      <c r="A4548" s="11"/>
      <c r="B4548" s="11"/>
      <c r="D4548" s="21"/>
      <c r="E4548" s="22"/>
      <c r="G4548" s="23"/>
      <c r="H4548" s="24"/>
      <c r="Q4548" s="2"/>
      <c r="R4548" s="2"/>
    </row>
    <row r="4549" spans="1:18" ht="15.75" customHeight="1" x14ac:dyDescent="0.3">
      <c r="A4549" s="11"/>
      <c r="B4549" s="11"/>
      <c r="D4549" s="21"/>
      <c r="E4549" s="22"/>
      <c r="G4549" s="23"/>
      <c r="H4549" s="24"/>
      <c r="Q4549" s="2"/>
      <c r="R4549" s="2"/>
    </row>
    <row r="4550" spans="1:18" ht="15.75" customHeight="1" x14ac:dyDescent="0.3">
      <c r="A4550" s="11"/>
      <c r="B4550" s="11"/>
      <c r="D4550" s="21"/>
      <c r="E4550" s="22"/>
      <c r="G4550" s="23"/>
      <c r="H4550" s="24"/>
      <c r="Q4550" s="2"/>
      <c r="R4550" s="2"/>
    </row>
    <row r="4551" spans="1:18" ht="15.75" customHeight="1" x14ac:dyDescent="0.3">
      <c r="A4551" s="11"/>
      <c r="B4551" s="11"/>
      <c r="D4551" s="21"/>
      <c r="E4551" s="22"/>
      <c r="G4551" s="23"/>
      <c r="H4551" s="24"/>
      <c r="Q4551" s="2"/>
      <c r="R4551" s="2"/>
    </row>
    <row r="4552" spans="1:18" ht="15.75" customHeight="1" x14ac:dyDescent="0.3">
      <c r="A4552" s="11"/>
      <c r="B4552" s="11"/>
      <c r="D4552" s="21"/>
      <c r="E4552" s="22"/>
      <c r="G4552" s="23"/>
      <c r="H4552" s="24"/>
      <c r="Q4552" s="2"/>
      <c r="R4552" s="2"/>
    </row>
    <row r="4553" spans="1:18" ht="15.75" customHeight="1" x14ac:dyDescent="0.3">
      <c r="A4553" s="11"/>
      <c r="B4553" s="11"/>
      <c r="D4553" s="21"/>
      <c r="E4553" s="22"/>
      <c r="G4553" s="23"/>
      <c r="H4553" s="24"/>
      <c r="Q4553" s="2"/>
      <c r="R4553" s="2"/>
    </row>
    <row r="4554" spans="1:18" ht="15.75" customHeight="1" x14ac:dyDescent="0.3">
      <c r="A4554" s="11"/>
      <c r="B4554" s="11"/>
      <c r="D4554" s="21"/>
      <c r="E4554" s="22"/>
      <c r="G4554" s="23"/>
      <c r="H4554" s="24"/>
      <c r="Q4554" s="2"/>
      <c r="R4554" s="2"/>
    </row>
    <row r="4555" spans="1:18" ht="15.75" customHeight="1" x14ac:dyDescent="0.3">
      <c r="A4555" s="11"/>
      <c r="B4555" s="11"/>
      <c r="D4555" s="21"/>
      <c r="E4555" s="22"/>
      <c r="G4555" s="23"/>
      <c r="H4555" s="24"/>
      <c r="Q4555" s="2"/>
      <c r="R4555" s="2"/>
    </row>
    <row r="4556" spans="1:18" ht="15.75" customHeight="1" x14ac:dyDescent="0.3">
      <c r="A4556" s="11"/>
      <c r="B4556" s="11"/>
      <c r="D4556" s="21"/>
      <c r="E4556" s="22"/>
      <c r="G4556" s="23"/>
      <c r="H4556" s="24"/>
      <c r="Q4556" s="2"/>
      <c r="R4556" s="2"/>
    </row>
    <row r="4557" spans="1:18" ht="15.75" customHeight="1" x14ac:dyDescent="0.3">
      <c r="A4557" s="11"/>
      <c r="B4557" s="11"/>
      <c r="D4557" s="21"/>
      <c r="E4557" s="22"/>
      <c r="G4557" s="23"/>
      <c r="H4557" s="24"/>
      <c r="Q4557" s="2"/>
      <c r="R4557" s="2"/>
    </row>
    <row r="4558" spans="1:18" ht="15.75" customHeight="1" x14ac:dyDescent="0.3">
      <c r="A4558" s="11"/>
      <c r="B4558" s="11"/>
      <c r="D4558" s="21"/>
      <c r="E4558" s="22"/>
      <c r="G4558" s="23"/>
      <c r="H4558" s="24"/>
      <c r="Q4558" s="2"/>
      <c r="R4558" s="2"/>
    </row>
    <row r="4559" spans="1:18" ht="15.75" customHeight="1" x14ac:dyDescent="0.3">
      <c r="A4559" s="11"/>
      <c r="B4559" s="11"/>
      <c r="D4559" s="21"/>
      <c r="E4559" s="22"/>
      <c r="G4559" s="23"/>
      <c r="H4559" s="24"/>
      <c r="Q4559" s="2"/>
      <c r="R4559" s="2"/>
    </row>
    <row r="4560" spans="1:18" ht="15.75" customHeight="1" x14ac:dyDescent="0.3">
      <c r="A4560" s="11"/>
      <c r="B4560" s="11"/>
      <c r="D4560" s="21"/>
      <c r="E4560" s="22"/>
      <c r="G4560" s="23"/>
      <c r="H4560" s="24"/>
      <c r="Q4560" s="2"/>
      <c r="R4560" s="2"/>
    </row>
    <row r="4561" spans="1:18" ht="15.75" customHeight="1" x14ac:dyDescent="0.3">
      <c r="A4561" s="11"/>
      <c r="B4561" s="11"/>
      <c r="D4561" s="21"/>
      <c r="E4561" s="22"/>
      <c r="G4561" s="23"/>
      <c r="H4561" s="24"/>
      <c r="Q4561" s="2"/>
      <c r="R4561" s="2"/>
    </row>
    <row r="4562" spans="1:18" ht="15.75" customHeight="1" x14ac:dyDescent="0.3">
      <c r="A4562" s="11"/>
      <c r="B4562" s="11"/>
      <c r="D4562" s="21"/>
      <c r="E4562" s="22"/>
      <c r="G4562" s="23"/>
      <c r="H4562" s="24"/>
      <c r="Q4562" s="2"/>
      <c r="R4562" s="2"/>
    </row>
    <row r="4563" spans="1:18" ht="15.75" customHeight="1" x14ac:dyDescent="0.3">
      <c r="A4563" s="11"/>
      <c r="B4563" s="11"/>
      <c r="D4563" s="21"/>
      <c r="E4563" s="22"/>
      <c r="G4563" s="23"/>
      <c r="H4563" s="24"/>
      <c r="Q4563" s="2"/>
      <c r="R4563" s="2"/>
    </row>
    <row r="4564" spans="1:18" ht="15.75" customHeight="1" x14ac:dyDescent="0.3">
      <c r="A4564" s="11"/>
      <c r="B4564" s="11"/>
      <c r="D4564" s="21"/>
      <c r="E4564" s="22"/>
      <c r="G4564" s="23"/>
      <c r="H4564" s="24"/>
      <c r="Q4564" s="2"/>
      <c r="R4564" s="2"/>
    </row>
    <row r="4565" spans="1:18" ht="15.75" customHeight="1" x14ac:dyDescent="0.3">
      <c r="A4565" s="11"/>
      <c r="B4565" s="11"/>
      <c r="D4565" s="21"/>
      <c r="E4565" s="22"/>
      <c r="G4565" s="23"/>
      <c r="H4565" s="24"/>
      <c r="Q4565" s="2"/>
      <c r="R4565" s="2"/>
    </row>
    <row r="4566" spans="1:18" ht="15.75" customHeight="1" x14ac:dyDescent="0.3">
      <c r="A4566" s="11"/>
      <c r="B4566" s="11"/>
      <c r="D4566" s="21"/>
      <c r="E4566" s="22"/>
      <c r="G4566" s="23"/>
      <c r="H4566" s="24"/>
      <c r="Q4566" s="2"/>
      <c r="R4566" s="2"/>
    </row>
    <row r="4567" spans="1:18" ht="15.75" customHeight="1" x14ac:dyDescent="0.3">
      <c r="A4567" s="11"/>
      <c r="B4567" s="11"/>
      <c r="D4567" s="21"/>
      <c r="E4567" s="22"/>
      <c r="G4567" s="23"/>
      <c r="H4567" s="24"/>
      <c r="Q4567" s="2"/>
      <c r="R4567" s="2"/>
    </row>
    <row r="4568" spans="1:18" ht="15.75" customHeight="1" x14ac:dyDescent="0.3">
      <c r="A4568" s="11"/>
      <c r="B4568" s="11"/>
      <c r="D4568" s="21"/>
      <c r="E4568" s="22"/>
      <c r="G4568" s="23"/>
      <c r="H4568" s="24"/>
      <c r="Q4568" s="2"/>
      <c r="R4568" s="2"/>
    </row>
    <row r="4569" spans="1:18" ht="15.75" customHeight="1" x14ac:dyDescent="0.3">
      <c r="A4569" s="11"/>
      <c r="B4569" s="11"/>
      <c r="D4569" s="21"/>
      <c r="E4569" s="22"/>
      <c r="G4569" s="23"/>
      <c r="H4569" s="24"/>
      <c r="Q4569" s="2"/>
      <c r="R4569" s="2"/>
    </row>
    <row r="4570" spans="1:18" ht="15.75" customHeight="1" x14ac:dyDescent="0.3">
      <c r="A4570" s="11"/>
      <c r="B4570" s="11"/>
      <c r="D4570" s="21"/>
      <c r="E4570" s="22"/>
      <c r="G4570" s="23"/>
      <c r="H4570" s="24"/>
      <c r="Q4570" s="2"/>
      <c r="R4570" s="2"/>
    </row>
    <row r="4571" spans="1:18" ht="15.75" customHeight="1" x14ac:dyDescent="0.3">
      <c r="A4571" s="11"/>
      <c r="B4571" s="11"/>
      <c r="D4571" s="21"/>
      <c r="E4571" s="22"/>
      <c r="G4571" s="23"/>
      <c r="H4571" s="24"/>
      <c r="Q4571" s="2"/>
      <c r="R4571" s="2"/>
    </row>
    <row r="4572" spans="1:18" ht="15.75" customHeight="1" x14ac:dyDescent="0.3">
      <c r="A4572" s="11"/>
      <c r="B4572" s="11"/>
      <c r="D4572" s="21"/>
      <c r="E4572" s="22"/>
      <c r="G4572" s="23"/>
      <c r="H4572" s="24"/>
      <c r="Q4572" s="2"/>
      <c r="R4572" s="2"/>
    </row>
    <row r="4573" spans="1:18" ht="15.75" customHeight="1" x14ac:dyDescent="0.3">
      <c r="A4573" s="11"/>
      <c r="B4573" s="11"/>
      <c r="D4573" s="21"/>
      <c r="E4573" s="22"/>
      <c r="G4573" s="23"/>
      <c r="H4573" s="24"/>
      <c r="Q4573" s="2"/>
      <c r="R4573" s="2"/>
    </row>
    <row r="4574" spans="1:18" ht="15.75" customHeight="1" x14ac:dyDescent="0.3">
      <c r="A4574" s="11"/>
      <c r="B4574" s="11"/>
      <c r="D4574" s="21"/>
      <c r="E4574" s="22"/>
      <c r="G4574" s="23"/>
      <c r="H4574" s="24"/>
      <c r="Q4574" s="2"/>
      <c r="R4574" s="2"/>
    </row>
    <row r="4575" spans="1:18" ht="15.75" customHeight="1" x14ac:dyDescent="0.3">
      <c r="A4575" s="11"/>
      <c r="B4575" s="11"/>
      <c r="D4575" s="21"/>
      <c r="E4575" s="22"/>
      <c r="G4575" s="23"/>
      <c r="H4575" s="24"/>
      <c r="Q4575" s="2"/>
      <c r="R4575" s="2"/>
    </row>
    <row r="4576" spans="1:18" ht="15.75" customHeight="1" x14ac:dyDescent="0.3">
      <c r="A4576" s="11"/>
      <c r="B4576" s="11"/>
      <c r="D4576" s="21"/>
      <c r="E4576" s="22"/>
      <c r="G4576" s="23"/>
      <c r="H4576" s="24"/>
      <c r="Q4576" s="2"/>
      <c r="R4576" s="2"/>
    </row>
    <row r="4577" spans="1:18" ht="15.75" customHeight="1" x14ac:dyDescent="0.3">
      <c r="A4577" s="11"/>
      <c r="B4577" s="11"/>
      <c r="D4577" s="21"/>
      <c r="E4577" s="22"/>
      <c r="G4577" s="23"/>
      <c r="H4577" s="24"/>
      <c r="Q4577" s="2"/>
      <c r="R4577" s="2"/>
    </row>
    <row r="4578" spans="1:18" ht="15.75" customHeight="1" x14ac:dyDescent="0.3">
      <c r="A4578" s="11"/>
      <c r="B4578" s="11"/>
      <c r="D4578" s="21"/>
      <c r="E4578" s="22"/>
      <c r="G4578" s="23"/>
      <c r="H4578" s="24"/>
      <c r="Q4578" s="2"/>
      <c r="R4578" s="2"/>
    </row>
    <row r="4579" spans="1:18" ht="15.75" customHeight="1" x14ac:dyDescent="0.3">
      <c r="A4579" s="11"/>
      <c r="B4579" s="11"/>
      <c r="D4579" s="21"/>
      <c r="E4579" s="22"/>
      <c r="G4579" s="23"/>
      <c r="H4579" s="24"/>
      <c r="Q4579" s="2"/>
      <c r="R4579" s="2"/>
    </row>
    <row r="4580" spans="1:18" ht="15.75" customHeight="1" x14ac:dyDescent="0.3">
      <c r="A4580" s="11"/>
      <c r="B4580" s="11"/>
      <c r="D4580" s="21"/>
      <c r="E4580" s="22"/>
      <c r="G4580" s="23"/>
      <c r="H4580" s="24"/>
      <c r="Q4580" s="2"/>
      <c r="R4580" s="2"/>
    </row>
    <row r="4581" spans="1:18" ht="15.75" customHeight="1" x14ac:dyDescent="0.3">
      <c r="A4581" s="11"/>
      <c r="B4581" s="11"/>
      <c r="D4581" s="21"/>
      <c r="E4581" s="22"/>
      <c r="G4581" s="23"/>
      <c r="H4581" s="24"/>
      <c r="Q4581" s="2"/>
      <c r="R4581" s="2"/>
    </row>
    <row r="4582" spans="1:18" ht="15.75" customHeight="1" x14ac:dyDescent="0.3">
      <c r="A4582" s="11"/>
      <c r="B4582" s="11"/>
      <c r="D4582" s="21"/>
      <c r="E4582" s="22"/>
      <c r="G4582" s="23"/>
      <c r="H4582" s="24"/>
      <c r="Q4582" s="2"/>
      <c r="R4582" s="2"/>
    </row>
    <row r="4583" spans="1:18" ht="15.75" customHeight="1" x14ac:dyDescent="0.3">
      <c r="A4583" s="11"/>
      <c r="B4583" s="11"/>
      <c r="D4583" s="21"/>
      <c r="E4583" s="22"/>
      <c r="G4583" s="23"/>
      <c r="H4583" s="24"/>
      <c r="Q4583" s="2"/>
      <c r="R4583" s="2"/>
    </row>
    <row r="4584" spans="1:18" ht="15.75" customHeight="1" x14ac:dyDescent="0.3">
      <c r="A4584" s="11"/>
      <c r="B4584" s="11"/>
      <c r="D4584" s="21"/>
      <c r="E4584" s="22"/>
      <c r="G4584" s="23"/>
      <c r="H4584" s="24"/>
      <c r="Q4584" s="2"/>
      <c r="R4584" s="2"/>
    </row>
    <row r="4585" spans="1:18" ht="15.75" customHeight="1" x14ac:dyDescent="0.3">
      <c r="A4585" s="11"/>
      <c r="B4585" s="11"/>
      <c r="D4585" s="21"/>
      <c r="E4585" s="22"/>
      <c r="G4585" s="23"/>
      <c r="H4585" s="24"/>
      <c r="Q4585" s="2"/>
      <c r="R4585" s="2"/>
    </row>
    <row r="4586" spans="1:18" ht="15.75" customHeight="1" x14ac:dyDescent="0.3">
      <c r="A4586" s="11"/>
      <c r="B4586" s="11"/>
      <c r="D4586" s="21"/>
      <c r="E4586" s="22"/>
      <c r="G4586" s="23"/>
      <c r="H4586" s="24"/>
      <c r="Q4586" s="2"/>
      <c r="R4586" s="2"/>
    </row>
    <row r="4587" spans="1:18" ht="15.75" customHeight="1" x14ac:dyDescent="0.3">
      <c r="A4587" s="11"/>
      <c r="B4587" s="11"/>
      <c r="D4587" s="21"/>
      <c r="E4587" s="22"/>
      <c r="G4587" s="23"/>
      <c r="H4587" s="24"/>
      <c r="Q4587" s="2"/>
      <c r="R4587" s="2"/>
    </row>
    <row r="4588" spans="1:18" ht="15.75" customHeight="1" x14ac:dyDescent="0.3">
      <c r="A4588" s="11"/>
      <c r="B4588" s="11"/>
      <c r="D4588" s="21"/>
      <c r="E4588" s="22"/>
      <c r="G4588" s="23"/>
      <c r="H4588" s="24"/>
      <c r="Q4588" s="2"/>
      <c r="R4588" s="2"/>
    </row>
    <row r="4589" spans="1:18" ht="15.75" customHeight="1" x14ac:dyDescent="0.3">
      <c r="A4589" s="11"/>
      <c r="B4589" s="11"/>
      <c r="D4589" s="21"/>
      <c r="E4589" s="22"/>
      <c r="G4589" s="23"/>
      <c r="H4589" s="24"/>
      <c r="Q4589" s="2"/>
      <c r="R4589" s="2"/>
    </row>
    <row r="4590" spans="1:18" ht="15.75" customHeight="1" x14ac:dyDescent="0.3">
      <c r="A4590" s="11"/>
      <c r="B4590" s="11"/>
      <c r="D4590" s="21"/>
      <c r="E4590" s="22"/>
      <c r="G4590" s="23"/>
      <c r="H4590" s="24"/>
      <c r="Q4590" s="2"/>
      <c r="R4590" s="2"/>
    </row>
    <row r="4591" spans="1:18" ht="15.75" customHeight="1" x14ac:dyDescent="0.3">
      <c r="A4591" s="11"/>
      <c r="B4591" s="11"/>
      <c r="D4591" s="21"/>
      <c r="E4591" s="22"/>
      <c r="G4591" s="23"/>
      <c r="H4591" s="24"/>
      <c r="Q4591" s="2"/>
      <c r="R4591" s="2"/>
    </row>
    <row r="4592" spans="1:18" ht="15.75" customHeight="1" x14ac:dyDescent="0.3">
      <c r="A4592" s="11"/>
      <c r="B4592" s="11"/>
      <c r="D4592" s="21"/>
      <c r="E4592" s="22"/>
      <c r="G4592" s="23"/>
      <c r="H4592" s="24"/>
      <c r="Q4592" s="2"/>
      <c r="R4592" s="2"/>
    </row>
    <row r="4593" spans="1:18" ht="15.75" customHeight="1" x14ac:dyDescent="0.3">
      <c r="A4593" s="11"/>
      <c r="B4593" s="11"/>
      <c r="D4593" s="21"/>
      <c r="E4593" s="22"/>
      <c r="G4593" s="23"/>
      <c r="H4593" s="24"/>
      <c r="Q4593" s="2"/>
      <c r="R4593" s="2"/>
    </row>
    <row r="4594" spans="1:18" ht="15.75" customHeight="1" x14ac:dyDescent="0.3">
      <c r="A4594" s="11"/>
      <c r="B4594" s="11"/>
      <c r="D4594" s="21"/>
      <c r="E4594" s="22"/>
      <c r="G4594" s="23"/>
      <c r="H4594" s="24"/>
      <c r="Q4594" s="2"/>
      <c r="R4594" s="2"/>
    </row>
    <row r="4595" spans="1:18" ht="15.75" customHeight="1" x14ac:dyDescent="0.3">
      <c r="A4595" s="11"/>
      <c r="B4595" s="11"/>
      <c r="D4595" s="21"/>
      <c r="E4595" s="22"/>
      <c r="G4595" s="23"/>
      <c r="H4595" s="24"/>
      <c r="Q4595" s="2"/>
      <c r="R4595" s="2"/>
    </row>
    <row r="4596" spans="1:18" ht="15.75" customHeight="1" x14ac:dyDescent="0.3">
      <c r="A4596" s="11"/>
      <c r="B4596" s="11"/>
      <c r="D4596" s="21"/>
      <c r="E4596" s="22"/>
      <c r="G4596" s="23"/>
      <c r="H4596" s="24"/>
      <c r="Q4596" s="2"/>
      <c r="R4596" s="2"/>
    </row>
    <row r="4597" spans="1:18" ht="15.75" customHeight="1" x14ac:dyDescent="0.3">
      <c r="A4597" s="11"/>
      <c r="B4597" s="11"/>
      <c r="D4597" s="21"/>
      <c r="E4597" s="22"/>
      <c r="G4597" s="23"/>
      <c r="H4597" s="24"/>
      <c r="Q4597" s="2"/>
      <c r="R4597" s="2"/>
    </row>
    <row r="4598" spans="1:18" ht="15.75" customHeight="1" x14ac:dyDescent="0.3">
      <c r="A4598" s="11"/>
      <c r="B4598" s="11"/>
      <c r="D4598" s="21"/>
      <c r="E4598" s="22"/>
      <c r="G4598" s="23"/>
      <c r="H4598" s="24"/>
      <c r="Q4598" s="2"/>
      <c r="R4598" s="2"/>
    </row>
    <row r="4599" spans="1:18" ht="15.75" customHeight="1" x14ac:dyDescent="0.3">
      <c r="A4599" s="11"/>
      <c r="B4599" s="11"/>
      <c r="D4599" s="21"/>
      <c r="E4599" s="22"/>
      <c r="G4599" s="23"/>
      <c r="H4599" s="24"/>
      <c r="Q4599" s="2"/>
      <c r="R4599" s="2"/>
    </row>
    <row r="4600" spans="1:18" ht="15.75" customHeight="1" x14ac:dyDescent="0.3">
      <c r="A4600" s="11"/>
      <c r="B4600" s="11"/>
      <c r="D4600" s="21"/>
      <c r="E4600" s="22"/>
      <c r="G4600" s="23"/>
      <c r="H4600" s="24"/>
      <c r="Q4600" s="2"/>
      <c r="R4600" s="2"/>
    </row>
    <row r="4601" spans="1:18" ht="15.75" customHeight="1" x14ac:dyDescent="0.3">
      <c r="A4601" s="11"/>
      <c r="B4601" s="11"/>
      <c r="D4601" s="21"/>
      <c r="E4601" s="22"/>
      <c r="G4601" s="23"/>
      <c r="H4601" s="24"/>
      <c r="Q4601" s="2"/>
      <c r="R4601" s="2"/>
    </row>
    <row r="4602" spans="1:18" ht="15.75" customHeight="1" x14ac:dyDescent="0.3">
      <c r="A4602" s="11"/>
      <c r="B4602" s="11"/>
      <c r="D4602" s="21"/>
      <c r="E4602" s="22"/>
      <c r="G4602" s="23"/>
      <c r="H4602" s="24"/>
      <c r="Q4602" s="2"/>
      <c r="R4602" s="2"/>
    </row>
    <row r="4603" spans="1:18" ht="15.75" customHeight="1" x14ac:dyDescent="0.3">
      <c r="A4603" s="11"/>
      <c r="B4603" s="11"/>
      <c r="D4603" s="21"/>
      <c r="E4603" s="22"/>
      <c r="G4603" s="23"/>
      <c r="H4603" s="24"/>
      <c r="Q4603" s="2"/>
      <c r="R4603" s="2"/>
    </row>
    <row r="4604" spans="1:18" ht="15.75" customHeight="1" x14ac:dyDescent="0.3">
      <c r="A4604" s="11"/>
      <c r="B4604" s="11"/>
      <c r="D4604" s="21"/>
      <c r="E4604" s="22"/>
      <c r="G4604" s="23"/>
      <c r="H4604" s="24"/>
      <c r="Q4604" s="2"/>
      <c r="R4604" s="2"/>
    </row>
    <row r="4605" spans="1:18" ht="15.75" customHeight="1" x14ac:dyDescent="0.3">
      <c r="A4605" s="11"/>
      <c r="B4605" s="11"/>
      <c r="D4605" s="21"/>
      <c r="E4605" s="22"/>
      <c r="G4605" s="23"/>
      <c r="H4605" s="24"/>
      <c r="Q4605" s="2"/>
      <c r="R4605" s="2"/>
    </row>
    <row r="4606" spans="1:18" ht="15.75" customHeight="1" x14ac:dyDescent="0.3">
      <c r="A4606" s="11"/>
      <c r="B4606" s="11"/>
      <c r="D4606" s="21"/>
      <c r="E4606" s="22"/>
      <c r="G4606" s="23"/>
      <c r="H4606" s="24"/>
      <c r="Q4606" s="2"/>
      <c r="R4606" s="2"/>
    </row>
    <row r="4607" spans="1:18" ht="15.75" customHeight="1" x14ac:dyDescent="0.3">
      <c r="A4607" s="11"/>
      <c r="B4607" s="11"/>
      <c r="D4607" s="21"/>
      <c r="E4607" s="22"/>
      <c r="G4607" s="23"/>
      <c r="H4607" s="24"/>
      <c r="Q4607" s="2"/>
      <c r="R4607" s="2"/>
    </row>
    <row r="4608" spans="1:18" ht="15.75" customHeight="1" x14ac:dyDescent="0.3">
      <c r="A4608" s="11"/>
      <c r="B4608" s="11"/>
      <c r="D4608" s="21"/>
      <c r="E4608" s="22"/>
      <c r="G4608" s="23"/>
      <c r="H4608" s="24"/>
      <c r="Q4608" s="2"/>
      <c r="R4608" s="2"/>
    </row>
    <row r="4609" spans="1:18" ht="15.75" customHeight="1" x14ac:dyDescent="0.3">
      <c r="A4609" s="11"/>
      <c r="B4609" s="11"/>
      <c r="D4609" s="21"/>
      <c r="E4609" s="22"/>
      <c r="G4609" s="23"/>
      <c r="H4609" s="24"/>
      <c r="Q4609" s="2"/>
      <c r="R4609" s="2"/>
    </row>
    <row r="4610" spans="1:18" ht="15.75" customHeight="1" x14ac:dyDescent="0.3">
      <c r="A4610" s="11"/>
      <c r="B4610" s="11"/>
      <c r="D4610" s="21"/>
      <c r="E4610" s="22"/>
      <c r="G4610" s="23"/>
      <c r="H4610" s="24"/>
      <c r="Q4610" s="2"/>
      <c r="R4610" s="2"/>
    </row>
    <row r="4611" spans="1:18" ht="15.75" customHeight="1" x14ac:dyDescent="0.3">
      <c r="A4611" s="11"/>
      <c r="B4611" s="11"/>
      <c r="D4611" s="21"/>
      <c r="E4611" s="22"/>
      <c r="G4611" s="23"/>
      <c r="H4611" s="24"/>
      <c r="Q4611" s="2"/>
      <c r="R4611" s="2"/>
    </row>
    <row r="4612" spans="1:18" ht="15.75" customHeight="1" x14ac:dyDescent="0.3">
      <c r="A4612" s="11"/>
      <c r="B4612" s="11"/>
      <c r="D4612" s="21"/>
      <c r="E4612" s="22"/>
      <c r="G4612" s="23"/>
      <c r="H4612" s="24"/>
      <c r="Q4612" s="2"/>
      <c r="R4612" s="2"/>
    </row>
    <row r="4613" spans="1:18" ht="15.75" customHeight="1" x14ac:dyDescent="0.3">
      <c r="A4613" s="11"/>
      <c r="B4613" s="11"/>
      <c r="D4613" s="21"/>
      <c r="E4613" s="22"/>
      <c r="G4613" s="23"/>
      <c r="H4613" s="24"/>
      <c r="Q4613" s="2"/>
      <c r="R4613" s="2"/>
    </row>
    <row r="4614" spans="1:18" ht="15.75" customHeight="1" x14ac:dyDescent="0.3">
      <c r="A4614" s="11"/>
      <c r="B4614" s="11"/>
      <c r="D4614" s="21"/>
      <c r="E4614" s="22"/>
      <c r="G4614" s="23"/>
      <c r="H4614" s="24"/>
      <c r="Q4614" s="2"/>
      <c r="R4614" s="2"/>
    </row>
    <row r="4615" spans="1:18" ht="15.75" customHeight="1" x14ac:dyDescent="0.3">
      <c r="A4615" s="11"/>
      <c r="B4615" s="11"/>
      <c r="D4615" s="21"/>
      <c r="E4615" s="22"/>
      <c r="G4615" s="23"/>
      <c r="H4615" s="24"/>
      <c r="Q4615" s="2"/>
      <c r="R4615" s="2"/>
    </row>
    <row r="4616" spans="1:18" ht="15.75" customHeight="1" x14ac:dyDescent="0.3">
      <c r="A4616" s="11"/>
      <c r="B4616" s="11"/>
      <c r="D4616" s="21"/>
      <c r="E4616" s="22"/>
      <c r="G4616" s="23"/>
      <c r="H4616" s="24"/>
      <c r="Q4616" s="2"/>
      <c r="R4616" s="2"/>
    </row>
    <row r="4617" spans="1:18" ht="15.75" customHeight="1" x14ac:dyDescent="0.3">
      <c r="A4617" s="11"/>
      <c r="B4617" s="11"/>
      <c r="D4617" s="21"/>
      <c r="E4617" s="22"/>
      <c r="G4617" s="23"/>
      <c r="H4617" s="24"/>
      <c r="Q4617" s="2"/>
      <c r="R4617" s="2"/>
    </row>
    <row r="4618" spans="1:18" ht="15.75" customHeight="1" x14ac:dyDescent="0.3">
      <c r="A4618" s="11"/>
      <c r="B4618" s="11"/>
      <c r="D4618" s="21"/>
      <c r="E4618" s="22"/>
      <c r="G4618" s="23"/>
      <c r="H4618" s="24"/>
      <c r="Q4618" s="2"/>
      <c r="R4618" s="2"/>
    </row>
    <row r="4619" spans="1:18" ht="15.75" customHeight="1" x14ac:dyDescent="0.3">
      <c r="A4619" s="11"/>
      <c r="B4619" s="11"/>
      <c r="D4619" s="21"/>
      <c r="E4619" s="22"/>
      <c r="G4619" s="23"/>
      <c r="H4619" s="24"/>
      <c r="Q4619" s="2"/>
      <c r="R4619" s="2"/>
    </row>
    <row r="4620" spans="1:18" ht="15.75" customHeight="1" x14ac:dyDescent="0.3">
      <c r="A4620" s="11"/>
      <c r="B4620" s="11"/>
      <c r="D4620" s="21"/>
      <c r="E4620" s="22"/>
      <c r="G4620" s="23"/>
      <c r="H4620" s="24"/>
      <c r="Q4620" s="2"/>
      <c r="R4620" s="2"/>
    </row>
    <row r="4621" spans="1:18" ht="15.75" customHeight="1" x14ac:dyDescent="0.3">
      <c r="A4621" s="11"/>
      <c r="B4621" s="11"/>
      <c r="D4621" s="21"/>
      <c r="E4621" s="22"/>
      <c r="G4621" s="23"/>
      <c r="H4621" s="24"/>
      <c r="Q4621" s="2"/>
      <c r="R4621" s="2"/>
    </row>
    <row r="4622" spans="1:18" ht="15.75" customHeight="1" x14ac:dyDescent="0.3">
      <c r="A4622" s="11"/>
      <c r="B4622" s="11"/>
      <c r="D4622" s="21"/>
      <c r="E4622" s="22"/>
      <c r="G4622" s="23"/>
      <c r="H4622" s="24"/>
      <c r="Q4622" s="2"/>
      <c r="R4622" s="2"/>
    </row>
    <row r="4623" spans="1:18" ht="15.75" customHeight="1" x14ac:dyDescent="0.3">
      <c r="A4623" s="11"/>
      <c r="B4623" s="11"/>
      <c r="D4623" s="21"/>
      <c r="E4623" s="22"/>
      <c r="G4623" s="23"/>
      <c r="H4623" s="24"/>
      <c r="Q4623" s="2"/>
      <c r="R4623" s="2"/>
    </row>
    <row r="4624" spans="1:18" ht="15.75" customHeight="1" x14ac:dyDescent="0.3">
      <c r="A4624" s="11"/>
      <c r="B4624" s="11"/>
      <c r="D4624" s="21"/>
      <c r="E4624" s="22"/>
      <c r="G4624" s="23"/>
      <c r="H4624" s="24"/>
      <c r="Q4624" s="2"/>
      <c r="R4624" s="2"/>
    </row>
    <row r="4625" spans="1:18" ht="15.75" customHeight="1" x14ac:dyDescent="0.3">
      <c r="A4625" s="11"/>
      <c r="B4625" s="11"/>
      <c r="D4625" s="21"/>
      <c r="E4625" s="22"/>
      <c r="G4625" s="23"/>
      <c r="H4625" s="24"/>
      <c r="Q4625" s="2"/>
      <c r="R4625" s="2"/>
    </row>
    <row r="4626" spans="1:18" ht="15.75" customHeight="1" x14ac:dyDescent="0.3">
      <c r="A4626" s="11"/>
      <c r="B4626" s="11"/>
      <c r="D4626" s="21"/>
      <c r="E4626" s="22"/>
      <c r="G4626" s="23"/>
      <c r="H4626" s="24"/>
      <c r="Q4626" s="2"/>
      <c r="R4626" s="2"/>
    </row>
    <row r="4627" spans="1:18" ht="15.75" customHeight="1" x14ac:dyDescent="0.3">
      <c r="A4627" s="11"/>
      <c r="B4627" s="11"/>
      <c r="D4627" s="21"/>
      <c r="E4627" s="22"/>
      <c r="G4627" s="23"/>
      <c r="H4627" s="24"/>
      <c r="Q4627" s="2"/>
      <c r="R4627" s="2"/>
    </row>
    <row r="4628" spans="1:18" ht="15.75" customHeight="1" x14ac:dyDescent="0.3">
      <c r="A4628" s="11"/>
      <c r="B4628" s="11"/>
      <c r="D4628" s="21"/>
      <c r="E4628" s="22"/>
      <c r="G4628" s="23"/>
      <c r="H4628" s="24"/>
      <c r="Q4628" s="2"/>
      <c r="R4628" s="2"/>
    </row>
    <row r="4629" spans="1:18" ht="15.75" customHeight="1" x14ac:dyDescent="0.3">
      <c r="A4629" s="11"/>
      <c r="B4629" s="11"/>
      <c r="D4629" s="21"/>
      <c r="E4629" s="22"/>
      <c r="G4629" s="23"/>
      <c r="H4629" s="24"/>
      <c r="Q4629" s="2"/>
      <c r="R4629" s="2"/>
    </row>
    <row r="4630" spans="1:18" ht="15.75" customHeight="1" x14ac:dyDescent="0.3">
      <c r="A4630" s="11"/>
      <c r="B4630" s="11"/>
      <c r="D4630" s="21"/>
      <c r="E4630" s="22"/>
      <c r="G4630" s="23"/>
      <c r="H4630" s="24"/>
      <c r="Q4630" s="2"/>
      <c r="R4630" s="2"/>
    </row>
    <row r="4631" spans="1:18" ht="15.75" customHeight="1" x14ac:dyDescent="0.3">
      <c r="A4631" s="11"/>
      <c r="B4631" s="11"/>
      <c r="D4631" s="21"/>
      <c r="E4631" s="22"/>
      <c r="G4631" s="23"/>
      <c r="H4631" s="24"/>
      <c r="Q4631" s="2"/>
      <c r="R4631" s="2"/>
    </row>
    <row r="4632" spans="1:18" ht="15.75" customHeight="1" x14ac:dyDescent="0.3">
      <c r="A4632" s="11"/>
      <c r="B4632" s="11"/>
      <c r="D4632" s="21"/>
      <c r="E4632" s="22"/>
      <c r="G4632" s="23"/>
      <c r="H4632" s="24"/>
      <c r="Q4632" s="2"/>
      <c r="R4632" s="2"/>
    </row>
    <row r="4633" spans="1:18" ht="15.75" customHeight="1" x14ac:dyDescent="0.3">
      <c r="A4633" s="11"/>
      <c r="B4633" s="11"/>
      <c r="D4633" s="21"/>
      <c r="E4633" s="22"/>
      <c r="G4633" s="23"/>
      <c r="H4633" s="24"/>
      <c r="Q4633" s="2"/>
      <c r="R4633" s="2"/>
    </row>
    <row r="4634" spans="1:18" ht="15.75" customHeight="1" x14ac:dyDescent="0.3">
      <c r="A4634" s="11"/>
      <c r="B4634" s="11"/>
      <c r="D4634" s="21"/>
      <c r="E4634" s="22"/>
      <c r="G4634" s="23"/>
      <c r="H4634" s="24"/>
      <c r="Q4634" s="2"/>
      <c r="R4634" s="2"/>
    </row>
    <row r="4635" spans="1:18" ht="15.75" customHeight="1" x14ac:dyDescent="0.3">
      <c r="A4635" s="11"/>
      <c r="B4635" s="11"/>
      <c r="D4635" s="21"/>
      <c r="E4635" s="22"/>
      <c r="G4635" s="23"/>
      <c r="H4635" s="24"/>
      <c r="Q4635" s="2"/>
      <c r="R4635" s="2"/>
    </row>
    <row r="4636" spans="1:18" ht="15.75" customHeight="1" x14ac:dyDescent="0.3">
      <c r="A4636" s="11"/>
      <c r="B4636" s="11"/>
      <c r="D4636" s="21"/>
      <c r="E4636" s="22"/>
      <c r="G4636" s="23"/>
      <c r="H4636" s="24"/>
      <c r="Q4636" s="2"/>
      <c r="R4636" s="2"/>
    </row>
    <row r="4637" spans="1:18" ht="15.75" customHeight="1" x14ac:dyDescent="0.3">
      <c r="A4637" s="11"/>
      <c r="B4637" s="11"/>
      <c r="D4637" s="21"/>
      <c r="E4637" s="22"/>
      <c r="G4637" s="23"/>
      <c r="H4637" s="24"/>
      <c r="Q4637" s="2"/>
      <c r="R4637" s="2"/>
    </row>
    <row r="4638" spans="1:18" ht="15.75" customHeight="1" x14ac:dyDescent="0.3">
      <c r="A4638" s="11"/>
      <c r="B4638" s="11"/>
      <c r="D4638" s="21"/>
      <c r="E4638" s="22"/>
      <c r="G4638" s="23"/>
      <c r="H4638" s="24"/>
      <c r="Q4638" s="2"/>
      <c r="R4638" s="2"/>
    </row>
    <row r="4639" spans="1:18" ht="15.75" customHeight="1" x14ac:dyDescent="0.3">
      <c r="A4639" s="11"/>
      <c r="B4639" s="11"/>
      <c r="D4639" s="21"/>
      <c r="E4639" s="22"/>
      <c r="G4639" s="23"/>
      <c r="H4639" s="24"/>
      <c r="Q4639" s="2"/>
      <c r="R4639" s="2"/>
    </row>
    <row r="4640" spans="1:18" ht="15.75" customHeight="1" x14ac:dyDescent="0.3">
      <c r="A4640" s="11"/>
      <c r="B4640" s="11"/>
      <c r="D4640" s="21"/>
      <c r="E4640" s="22"/>
      <c r="G4640" s="23"/>
      <c r="H4640" s="24"/>
      <c r="Q4640" s="2"/>
      <c r="R4640" s="2"/>
    </row>
    <row r="4641" spans="1:18" ht="15.75" customHeight="1" x14ac:dyDescent="0.3">
      <c r="A4641" s="11"/>
      <c r="B4641" s="11"/>
      <c r="D4641" s="21"/>
      <c r="E4641" s="22"/>
      <c r="G4641" s="23"/>
      <c r="H4641" s="24"/>
      <c r="Q4641" s="2"/>
      <c r="R4641" s="2"/>
    </row>
    <row r="4642" spans="1:18" ht="15.75" customHeight="1" x14ac:dyDescent="0.3">
      <c r="A4642" s="11"/>
      <c r="B4642" s="11"/>
      <c r="D4642" s="21"/>
      <c r="E4642" s="22"/>
      <c r="G4642" s="23"/>
      <c r="H4642" s="24"/>
      <c r="Q4642" s="2"/>
      <c r="R4642" s="2"/>
    </row>
    <row r="4643" spans="1:18" ht="15.75" customHeight="1" x14ac:dyDescent="0.3">
      <c r="A4643" s="11"/>
      <c r="B4643" s="11"/>
      <c r="D4643" s="21"/>
      <c r="E4643" s="22"/>
      <c r="G4643" s="23"/>
      <c r="H4643" s="24"/>
      <c r="Q4643" s="2"/>
      <c r="R4643" s="2"/>
    </row>
    <row r="4644" spans="1:18" ht="15.75" customHeight="1" x14ac:dyDescent="0.3">
      <c r="A4644" s="11"/>
      <c r="B4644" s="11"/>
      <c r="D4644" s="21"/>
      <c r="E4644" s="22"/>
      <c r="G4644" s="23"/>
      <c r="H4644" s="24"/>
      <c r="Q4644" s="2"/>
      <c r="R4644" s="2"/>
    </row>
    <row r="4645" spans="1:18" ht="15.75" customHeight="1" x14ac:dyDescent="0.3">
      <c r="A4645" s="11"/>
      <c r="B4645" s="11"/>
      <c r="D4645" s="21"/>
      <c r="E4645" s="22"/>
      <c r="G4645" s="23"/>
      <c r="H4645" s="24"/>
      <c r="Q4645" s="2"/>
      <c r="R4645" s="2"/>
    </row>
    <row r="4646" spans="1:18" ht="15.75" customHeight="1" x14ac:dyDescent="0.3">
      <c r="A4646" s="11"/>
      <c r="B4646" s="11"/>
      <c r="D4646" s="21"/>
      <c r="E4646" s="22"/>
      <c r="G4646" s="23"/>
      <c r="H4646" s="24"/>
      <c r="Q4646" s="2"/>
      <c r="R4646" s="2"/>
    </row>
    <row r="4647" spans="1:18" ht="15.75" customHeight="1" x14ac:dyDescent="0.3">
      <c r="A4647" s="11"/>
      <c r="B4647" s="11"/>
      <c r="D4647" s="21"/>
      <c r="E4647" s="22"/>
      <c r="G4647" s="23"/>
      <c r="H4647" s="24"/>
      <c r="Q4647" s="2"/>
      <c r="R4647" s="2"/>
    </row>
    <row r="4648" spans="1:18" ht="15.75" customHeight="1" x14ac:dyDescent="0.3">
      <c r="A4648" s="11"/>
      <c r="B4648" s="11"/>
      <c r="D4648" s="21"/>
      <c r="E4648" s="22"/>
      <c r="G4648" s="23"/>
      <c r="H4648" s="24"/>
      <c r="Q4648" s="2"/>
      <c r="R4648" s="2"/>
    </row>
    <row r="4649" spans="1:18" ht="15.75" customHeight="1" x14ac:dyDescent="0.3">
      <c r="A4649" s="11"/>
      <c r="B4649" s="11"/>
      <c r="D4649" s="21"/>
      <c r="E4649" s="22"/>
      <c r="G4649" s="23"/>
      <c r="H4649" s="24"/>
      <c r="Q4649" s="2"/>
      <c r="R4649" s="2"/>
    </row>
    <row r="4650" spans="1:18" ht="15.75" customHeight="1" x14ac:dyDescent="0.3">
      <c r="A4650" s="11"/>
      <c r="B4650" s="11"/>
      <c r="D4650" s="21"/>
      <c r="E4650" s="22"/>
      <c r="G4650" s="23"/>
      <c r="H4650" s="24"/>
      <c r="Q4650" s="2"/>
      <c r="R4650" s="2"/>
    </row>
    <row r="4651" spans="1:18" ht="15.75" customHeight="1" x14ac:dyDescent="0.3">
      <c r="A4651" s="11"/>
      <c r="B4651" s="11"/>
      <c r="D4651" s="21"/>
      <c r="E4651" s="22"/>
      <c r="G4651" s="23"/>
      <c r="H4651" s="24"/>
      <c r="Q4651" s="2"/>
      <c r="R4651" s="2"/>
    </row>
    <row r="4652" spans="1:18" ht="15.75" customHeight="1" x14ac:dyDescent="0.3">
      <c r="A4652" s="11"/>
      <c r="B4652" s="11"/>
      <c r="D4652" s="21"/>
      <c r="E4652" s="22"/>
      <c r="G4652" s="23"/>
      <c r="H4652" s="24"/>
      <c r="Q4652" s="2"/>
      <c r="R4652" s="2"/>
    </row>
    <row r="4653" spans="1:18" ht="15.75" customHeight="1" x14ac:dyDescent="0.3">
      <c r="A4653" s="11"/>
      <c r="B4653" s="11"/>
      <c r="D4653" s="21"/>
      <c r="E4653" s="22"/>
      <c r="G4653" s="23"/>
      <c r="H4653" s="24"/>
      <c r="Q4653" s="2"/>
      <c r="R4653" s="2"/>
    </row>
    <row r="4654" spans="1:18" ht="15.75" customHeight="1" x14ac:dyDescent="0.3">
      <c r="A4654" s="11"/>
      <c r="B4654" s="11"/>
      <c r="D4654" s="21"/>
      <c r="E4654" s="22"/>
      <c r="G4654" s="23"/>
      <c r="H4654" s="24"/>
      <c r="Q4654" s="2"/>
      <c r="R4654" s="2"/>
    </row>
    <row r="4655" spans="1:18" ht="15.75" customHeight="1" x14ac:dyDescent="0.3">
      <c r="A4655" s="11"/>
      <c r="B4655" s="11"/>
      <c r="D4655" s="21"/>
      <c r="E4655" s="22"/>
      <c r="G4655" s="23"/>
      <c r="H4655" s="24"/>
      <c r="Q4655" s="2"/>
      <c r="R4655" s="2"/>
    </row>
    <row r="4656" spans="1:18" ht="15.75" customHeight="1" x14ac:dyDescent="0.3">
      <c r="A4656" s="11"/>
      <c r="B4656" s="11"/>
      <c r="D4656" s="21"/>
      <c r="E4656" s="22"/>
      <c r="G4656" s="23"/>
      <c r="H4656" s="24"/>
      <c r="Q4656" s="2"/>
      <c r="R4656" s="2"/>
    </row>
    <row r="4657" spans="1:18" ht="15.75" customHeight="1" x14ac:dyDescent="0.3">
      <c r="A4657" s="11"/>
      <c r="B4657" s="11"/>
      <c r="D4657" s="21"/>
      <c r="E4657" s="22"/>
      <c r="G4657" s="23"/>
      <c r="H4657" s="24"/>
      <c r="Q4657" s="2"/>
      <c r="R4657" s="2"/>
    </row>
    <row r="4658" spans="1:18" ht="15.75" customHeight="1" x14ac:dyDescent="0.3">
      <c r="A4658" s="11"/>
      <c r="B4658" s="11"/>
      <c r="D4658" s="21"/>
      <c r="E4658" s="22"/>
      <c r="G4658" s="23"/>
      <c r="H4658" s="24"/>
      <c r="Q4658" s="2"/>
      <c r="R4658" s="2"/>
    </row>
    <row r="4659" spans="1:18" ht="15.75" customHeight="1" x14ac:dyDescent="0.3">
      <c r="A4659" s="11"/>
      <c r="B4659" s="11"/>
      <c r="D4659" s="21"/>
      <c r="E4659" s="22"/>
      <c r="G4659" s="23"/>
      <c r="H4659" s="24"/>
      <c r="Q4659" s="2"/>
      <c r="R4659" s="2"/>
    </row>
    <row r="4660" spans="1:18" ht="15.75" customHeight="1" x14ac:dyDescent="0.3">
      <c r="A4660" s="11"/>
      <c r="B4660" s="11"/>
      <c r="D4660" s="21"/>
      <c r="E4660" s="22"/>
      <c r="G4660" s="23"/>
      <c r="H4660" s="24"/>
      <c r="Q4660" s="2"/>
      <c r="R4660" s="2"/>
    </row>
    <row r="4661" spans="1:18" ht="15.75" customHeight="1" x14ac:dyDescent="0.3">
      <c r="A4661" s="11"/>
      <c r="B4661" s="11"/>
      <c r="D4661" s="21"/>
      <c r="E4661" s="22"/>
      <c r="G4661" s="23"/>
      <c r="H4661" s="24"/>
      <c r="Q4661" s="2"/>
      <c r="R4661" s="2"/>
    </row>
    <row r="4662" spans="1:18" ht="15.75" customHeight="1" x14ac:dyDescent="0.3">
      <c r="A4662" s="11"/>
      <c r="B4662" s="11"/>
      <c r="D4662" s="21"/>
      <c r="E4662" s="22"/>
      <c r="G4662" s="23"/>
      <c r="H4662" s="24"/>
      <c r="Q4662" s="2"/>
      <c r="R4662" s="2"/>
    </row>
    <row r="4663" spans="1:18" ht="15.75" customHeight="1" x14ac:dyDescent="0.3">
      <c r="A4663" s="11"/>
      <c r="B4663" s="11"/>
      <c r="D4663" s="21"/>
      <c r="E4663" s="22"/>
      <c r="G4663" s="23"/>
      <c r="H4663" s="24"/>
      <c r="Q4663" s="2"/>
      <c r="R4663" s="2"/>
    </row>
    <row r="4664" spans="1:18" ht="15.75" customHeight="1" x14ac:dyDescent="0.3">
      <c r="A4664" s="11"/>
      <c r="B4664" s="11"/>
      <c r="D4664" s="21"/>
      <c r="E4664" s="22"/>
      <c r="G4664" s="23"/>
      <c r="H4664" s="24"/>
      <c r="Q4664" s="2"/>
      <c r="R4664" s="2"/>
    </row>
    <row r="4665" spans="1:18" ht="15.75" customHeight="1" x14ac:dyDescent="0.3">
      <c r="A4665" s="11"/>
      <c r="B4665" s="11"/>
      <c r="D4665" s="21"/>
      <c r="E4665" s="22"/>
      <c r="G4665" s="23"/>
      <c r="H4665" s="24"/>
      <c r="Q4665" s="2"/>
      <c r="R4665" s="2"/>
    </row>
    <row r="4666" spans="1:18" ht="15.75" customHeight="1" x14ac:dyDescent="0.3">
      <c r="A4666" s="11"/>
      <c r="B4666" s="11"/>
      <c r="D4666" s="21"/>
      <c r="E4666" s="22"/>
      <c r="G4666" s="23"/>
      <c r="H4666" s="24"/>
      <c r="Q4666" s="2"/>
      <c r="R4666" s="2"/>
    </row>
    <row r="4667" spans="1:18" ht="15.75" customHeight="1" x14ac:dyDescent="0.3">
      <c r="A4667" s="11"/>
      <c r="B4667" s="11"/>
      <c r="D4667" s="21"/>
      <c r="E4667" s="22"/>
      <c r="G4667" s="23"/>
      <c r="H4667" s="24"/>
      <c r="Q4667" s="2"/>
      <c r="R4667" s="2"/>
    </row>
    <row r="4668" spans="1:18" ht="15.75" customHeight="1" x14ac:dyDescent="0.3">
      <c r="A4668" s="11"/>
      <c r="B4668" s="11"/>
      <c r="D4668" s="21"/>
      <c r="E4668" s="22"/>
      <c r="G4668" s="23"/>
      <c r="H4668" s="24"/>
      <c r="Q4668" s="2"/>
      <c r="R4668" s="2"/>
    </row>
    <row r="4669" spans="1:18" ht="15.75" customHeight="1" x14ac:dyDescent="0.3">
      <c r="A4669" s="11"/>
      <c r="B4669" s="11"/>
      <c r="D4669" s="21"/>
      <c r="E4669" s="22"/>
      <c r="G4669" s="23"/>
      <c r="H4669" s="24"/>
      <c r="Q4669" s="2"/>
      <c r="R4669" s="2"/>
    </row>
    <row r="4670" spans="1:18" ht="15.75" customHeight="1" x14ac:dyDescent="0.3">
      <c r="A4670" s="11"/>
      <c r="B4670" s="11"/>
      <c r="D4670" s="21"/>
      <c r="E4670" s="22"/>
      <c r="G4670" s="23"/>
      <c r="H4670" s="24"/>
      <c r="Q4670" s="2"/>
      <c r="R4670" s="2"/>
    </row>
    <row r="4671" spans="1:18" ht="15.75" customHeight="1" x14ac:dyDescent="0.3">
      <c r="A4671" s="11"/>
      <c r="B4671" s="11"/>
      <c r="D4671" s="21"/>
      <c r="E4671" s="22"/>
      <c r="G4671" s="23"/>
      <c r="H4671" s="24"/>
      <c r="Q4671" s="2"/>
      <c r="R4671" s="2"/>
    </row>
    <row r="4672" spans="1:18" ht="15.75" customHeight="1" x14ac:dyDescent="0.3">
      <c r="A4672" s="11"/>
      <c r="B4672" s="11"/>
      <c r="D4672" s="21"/>
      <c r="E4672" s="22"/>
      <c r="G4672" s="23"/>
      <c r="H4672" s="24"/>
      <c r="Q4672" s="2"/>
      <c r="R4672" s="2"/>
    </row>
    <row r="4673" spans="1:18" ht="15.75" customHeight="1" x14ac:dyDescent="0.3">
      <c r="A4673" s="11"/>
      <c r="B4673" s="11"/>
      <c r="D4673" s="21"/>
      <c r="E4673" s="22"/>
      <c r="G4673" s="23"/>
      <c r="H4673" s="24"/>
      <c r="Q4673" s="2"/>
      <c r="R4673" s="2"/>
    </row>
    <row r="4674" spans="1:18" ht="15.75" customHeight="1" x14ac:dyDescent="0.3">
      <c r="A4674" s="11"/>
      <c r="B4674" s="11"/>
      <c r="D4674" s="21"/>
      <c r="E4674" s="22"/>
      <c r="G4674" s="23"/>
      <c r="H4674" s="24"/>
      <c r="Q4674" s="2"/>
      <c r="R4674" s="2"/>
    </row>
    <row r="4675" spans="1:18" ht="15.75" customHeight="1" x14ac:dyDescent="0.3">
      <c r="A4675" s="11"/>
      <c r="B4675" s="11"/>
      <c r="D4675" s="21"/>
      <c r="E4675" s="22"/>
      <c r="G4675" s="23"/>
      <c r="H4675" s="24"/>
      <c r="Q4675" s="2"/>
      <c r="R4675" s="2"/>
    </row>
    <row r="4676" spans="1:18" ht="15.75" customHeight="1" x14ac:dyDescent="0.3">
      <c r="A4676" s="11"/>
      <c r="B4676" s="11"/>
      <c r="D4676" s="21"/>
      <c r="E4676" s="22"/>
      <c r="G4676" s="23"/>
      <c r="H4676" s="24"/>
      <c r="Q4676" s="2"/>
      <c r="R4676" s="2"/>
    </row>
    <row r="4677" spans="1:18" ht="15.75" customHeight="1" x14ac:dyDescent="0.3">
      <c r="A4677" s="11"/>
      <c r="B4677" s="11"/>
      <c r="D4677" s="21"/>
      <c r="E4677" s="22"/>
      <c r="G4677" s="23"/>
      <c r="H4677" s="24"/>
      <c r="Q4677" s="2"/>
      <c r="R4677" s="2"/>
    </row>
    <row r="4678" spans="1:18" ht="15.75" customHeight="1" x14ac:dyDescent="0.3">
      <c r="A4678" s="11"/>
      <c r="B4678" s="11"/>
      <c r="D4678" s="21"/>
      <c r="E4678" s="22"/>
      <c r="G4678" s="23"/>
      <c r="H4678" s="24"/>
      <c r="Q4678" s="2"/>
      <c r="R4678" s="2"/>
    </row>
    <row r="4679" spans="1:18" ht="15.75" customHeight="1" x14ac:dyDescent="0.3">
      <c r="A4679" s="11"/>
      <c r="B4679" s="11"/>
      <c r="D4679" s="21"/>
      <c r="E4679" s="22"/>
      <c r="G4679" s="23"/>
      <c r="H4679" s="24"/>
      <c r="Q4679" s="2"/>
      <c r="R4679" s="2"/>
    </row>
    <row r="4680" spans="1:18" ht="15.75" customHeight="1" x14ac:dyDescent="0.3">
      <c r="A4680" s="11"/>
      <c r="B4680" s="11"/>
      <c r="D4680" s="21"/>
      <c r="E4680" s="22"/>
      <c r="G4680" s="23"/>
      <c r="H4680" s="24"/>
      <c r="Q4680" s="2"/>
      <c r="R4680" s="2"/>
    </row>
    <row r="4681" spans="1:18" ht="15.75" customHeight="1" x14ac:dyDescent="0.3">
      <c r="A4681" s="11"/>
      <c r="B4681" s="11"/>
      <c r="D4681" s="21"/>
      <c r="E4681" s="22"/>
      <c r="G4681" s="23"/>
      <c r="H4681" s="24"/>
      <c r="Q4681" s="2"/>
      <c r="R4681" s="2"/>
    </row>
    <row r="4682" spans="1:18" ht="15.75" customHeight="1" x14ac:dyDescent="0.3">
      <c r="A4682" s="11"/>
      <c r="B4682" s="11"/>
      <c r="D4682" s="21"/>
      <c r="E4682" s="22"/>
      <c r="G4682" s="23"/>
      <c r="H4682" s="24"/>
      <c r="Q4682" s="2"/>
      <c r="R4682" s="2"/>
    </row>
    <row r="4683" spans="1:18" ht="15.75" customHeight="1" x14ac:dyDescent="0.3">
      <c r="A4683" s="11"/>
      <c r="B4683" s="11"/>
      <c r="D4683" s="21"/>
      <c r="E4683" s="22"/>
      <c r="G4683" s="23"/>
      <c r="H4683" s="24"/>
      <c r="Q4683" s="2"/>
      <c r="R4683" s="2"/>
    </row>
    <row r="4684" spans="1:18" ht="15.75" customHeight="1" x14ac:dyDescent="0.3">
      <c r="A4684" s="11"/>
      <c r="B4684" s="11"/>
      <c r="D4684" s="21"/>
      <c r="E4684" s="22"/>
      <c r="G4684" s="23"/>
      <c r="H4684" s="24"/>
      <c r="Q4684" s="2"/>
      <c r="R4684" s="2"/>
    </row>
    <row r="4685" spans="1:18" ht="15.75" customHeight="1" x14ac:dyDescent="0.3">
      <c r="A4685" s="11"/>
      <c r="B4685" s="11"/>
      <c r="D4685" s="21"/>
      <c r="E4685" s="22"/>
      <c r="G4685" s="23"/>
      <c r="H4685" s="24"/>
      <c r="Q4685" s="2"/>
      <c r="R4685" s="2"/>
    </row>
    <row r="4686" spans="1:18" ht="15.75" customHeight="1" x14ac:dyDescent="0.3">
      <c r="A4686" s="11"/>
      <c r="B4686" s="11"/>
      <c r="D4686" s="21"/>
      <c r="E4686" s="22"/>
      <c r="G4686" s="23"/>
      <c r="H4686" s="24"/>
      <c r="Q4686" s="2"/>
      <c r="R4686" s="2"/>
    </row>
    <row r="4687" spans="1:18" ht="15.75" customHeight="1" x14ac:dyDescent="0.3">
      <c r="A4687" s="11"/>
      <c r="B4687" s="11"/>
      <c r="D4687" s="21"/>
      <c r="E4687" s="22"/>
      <c r="G4687" s="23"/>
      <c r="H4687" s="24"/>
      <c r="Q4687" s="2"/>
      <c r="R4687" s="2"/>
    </row>
    <row r="4688" spans="1:18" ht="15.75" customHeight="1" x14ac:dyDescent="0.3">
      <c r="A4688" s="11"/>
      <c r="B4688" s="11"/>
      <c r="D4688" s="21"/>
      <c r="E4688" s="22"/>
      <c r="G4688" s="23"/>
      <c r="H4688" s="24"/>
      <c r="Q4688" s="2"/>
      <c r="R4688" s="2"/>
    </row>
    <row r="4689" spans="1:18" ht="15.75" customHeight="1" x14ac:dyDescent="0.3">
      <c r="A4689" s="11"/>
      <c r="B4689" s="11"/>
      <c r="D4689" s="21"/>
      <c r="E4689" s="22"/>
      <c r="G4689" s="23"/>
      <c r="H4689" s="24"/>
      <c r="Q4689" s="2"/>
      <c r="R4689" s="2"/>
    </row>
    <row r="4690" spans="1:18" ht="15.75" customHeight="1" x14ac:dyDescent="0.3">
      <c r="A4690" s="11"/>
      <c r="B4690" s="11"/>
      <c r="D4690" s="21"/>
      <c r="E4690" s="22"/>
      <c r="G4690" s="23"/>
      <c r="H4690" s="24"/>
      <c r="Q4690" s="2"/>
      <c r="R4690" s="2"/>
    </row>
    <row r="4691" spans="1:18" ht="15.75" customHeight="1" x14ac:dyDescent="0.3">
      <c r="A4691" s="11"/>
      <c r="B4691" s="11"/>
      <c r="D4691" s="21"/>
      <c r="E4691" s="22"/>
      <c r="G4691" s="23"/>
      <c r="H4691" s="24"/>
      <c r="Q4691" s="2"/>
      <c r="R4691" s="2"/>
    </row>
    <row r="4692" spans="1:18" ht="15.75" customHeight="1" x14ac:dyDescent="0.3">
      <c r="A4692" s="11"/>
      <c r="B4692" s="11"/>
      <c r="D4692" s="21"/>
      <c r="E4692" s="22"/>
      <c r="G4692" s="23"/>
      <c r="H4692" s="24"/>
      <c r="Q4692" s="2"/>
      <c r="R4692" s="2"/>
    </row>
    <row r="4693" spans="1:18" ht="15.75" customHeight="1" x14ac:dyDescent="0.3">
      <c r="A4693" s="11"/>
      <c r="B4693" s="11"/>
      <c r="D4693" s="21"/>
      <c r="E4693" s="22"/>
      <c r="G4693" s="23"/>
      <c r="H4693" s="24"/>
      <c r="Q4693" s="2"/>
      <c r="R4693" s="2"/>
    </row>
    <row r="4694" spans="1:18" ht="15.75" customHeight="1" x14ac:dyDescent="0.3">
      <c r="A4694" s="11"/>
      <c r="B4694" s="11"/>
      <c r="D4694" s="21"/>
      <c r="E4694" s="22"/>
      <c r="G4694" s="23"/>
      <c r="H4694" s="24"/>
      <c r="Q4694" s="2"/>
      <c r="R4694" s="2"/>
    </row>
    <row r="4695" spans="1:18" ht="15.75" customHeight="1" x14ac:dyDescent="0.3">
      <c r="A4695" s="11"/>
      <c r="B4695" s="11"/>
      <c r="D4695" s="21"/>
      <c r="E4695" s="22"/>
      <c r="G4695" s="23"/>
      <c r="H4695" s="24"/>
      <c r="Q4695" s="2"/>
      <c r="R4695" s="2"/>
    </row>
    <row r="4696" spans="1:18" ht="15.75" customHeight="1" x14ac:dyDescent="0.3">
      <c r="A4696" s="11"/>
      <c r="B4696" s="11"/>
      <c r="D4696" s="21"/>
      <c r="E4696" s="22"/>
      <c r="G4696" s="23"/>
      <c r="H4696" s="24"/>
      <c r="Q4696" s="2"/>
      <c r="R4696" s="2"/>
    </row>
    <row r="4697" spans="1:18" ht="15.75" customHeight="1" x14ac:dyDescent="0.3">
      <c r="A4697" s="11"/>
      <c r="B4697" s="11"/>
      <c r="D4697" s="21"/>
      <c r="E4697" s="22"/>
      <c r="G4697" s="23"/>
      <c r="H4697" s="24"/>
      <c r="Q4697" s="2"/>
      <c r="R4697" s="2"/>
    </row>
    <row r="4698" spans="1:18" ht="15.75" customHeight="1" x14ac:dyDescent="0.3">
      <c r="A4698" s="11"/>
      <c r="B4698" s="11"/>
      <c r="D4698" s="21"/>
      <c r="E4698" s="22"/>
      <c r="G4698" s="23"/>
      <c r="H4698" s="24"/>
      <c r="Q4698" s="2"/>
      <c r="R4698" s="2"/>
    </row>
    <row r="4699" spans="1:18" ht="15.75" customHeight="1" x14ac:dyDescent="0.3">
      <c r="A4699" s="11"/>
      <c r="B4699" s="11"/>
      <c r="D4699" s="21"/>
      <c r="E4699" s="22"/>
      <c r="G4699" s="23"/>
      <c r="H4699" s="24"/>
      <c r="Q4699" s="2"/>
      <c r="R4699" s="2"/>
    </row>
    <row r="4700" spans="1:18" ht="15.75" customHeight="1" x14ac:dyDescent="0.3">
      <c r="A4700" s="11"/>
      <c r="B4700" s="11"/>
      <c r="D4700" s="21"/>
      <c r="E4700" s="22"/>
      <c r="G4700" s="23"/>
      <c r="H4700" s="24"/>
      <c r="Q4700" s="2"/>
      <c r="R4700" s="2"/>
    </row>
    <row r="4701" spans="1:18" ht="15.75" customHeight="1" x14ac:dyDescent="0.3">
      <c r="A4701" s="11"/>
      <c r="B4701" s="11"/>
      <c r="D4701" s="21"/>
      <c r="E4701" s="22"/>
      <c r="G4701" s="23"/>
      <c r="H4701" s="24"/>
      <c r="Q4701" s="2"/>
      <c r="R4701" s="2"/>
    </row>
    <row r="4702" spans="1:18" ht="15.75" customHeight="1" x14ac:dyDescent="0.3">
      <c r="A4702" s="11"/>
      <c r="B4702" s="11"/>
      <c r="D4702" s="21"/>
      <c r="E4702" s="22"/>
      <c r="G4702" s="23"/>
      <c r="H4702" s="24"/>
      <c r="Q4702" s="2"/>
      <c r="R4702" s="2"/>
    </row>
    <row r="4703" spans="1:18" ht="15.75" customHeight="1" x14ac:dyDescent="0.3">
      <c r="A4703" s="11"/>
      <c r="B4703" s="11"/>
      <c r="D4703" s="21"/>
      <c r="E4703" s="22"/>
      <c r="G4703" s="23"/>
      <c r="H4703" s="24"/>
      <c r="Q4703" s="2"/>
      <c r="R4703" s="2"/>
    </row>
    <row r="4704" spans="1:18" ht="15.75" customHeight="1" x14ac:dyDescent="0.3">
      <c r="A4704" s="11"/>
      <c r="B4704" s="11"/>
      <c r="D4704" s="21"/>
      <c r="E4704" s="22"/>
      <c r="G4704" s="23"/>
      <c r="H4704" s="24"/>
      <c r="Q4704" s="2"/>
      <c r="R4704" s="2"/>
    </row>
    <row r="4705" spans="1:18" ht="15.75" customHeight="1" x14ac:dyDescent="0.3">
      <c r="A4705" s="11"/>
      <c r="B4705" s="11"/>
      <c r="D4705" s="21"/>
      <c r="E4705" s="22"/>
      <c r="G4705" s="23"/>
      <c r="H4705" s="24"/>
      <c r="Q4705" s="2"/>
      <c r="R4705" s="2"/>
    </row>
    <row r="4706" spans="1:18" ht="15.75" customHeight="1" x14ac:dyDescent="0.3">
      <c r="A4706" s="11"/>
      <c r="B4706" s="11"/>
      <c r="D4706" s="21"/>
      <c r="E4706" s="22"/>
      <c r="G4706" s="23"/>
      <c r="H4706" s="24"/>
      <c r="Q4706" s="2"/>
      <c r="R4706" s="2"/>
    </row>
    <row r="4707" spans="1:18" ht="15.75" customHeight="1" x14ac:dyDescent="0.3">
      <c r="A4707" s="11"/>
      <c r="B4707" s="11"/>
      <c r="D4707" s="21"/>
      <c r="E4707" s="22"/>
      <c r="G4707" s="23"/>
      <c r="H4707" s="24"/>
      <c r="Q4707" s="2"/>
      <c r="R4707" s="2"/>
    </row>
    <row r="4708" spans="1:18" ht="15.75" customHeight="1" x14ac:dyDescent="0.3">
      <c r="A4708" s="11"/>
      <c r="B4708" s="11"/>
      <c r="D4708" s="21"/>
      <c r="E4708" s="22"/>
      <c r="G4708" s="23"/>
      <c r="H4708" s="24"/>
      <c r="Q4708" s="2"/>
      <c r="R4708" s="2"/>
    </row>
    <row r="4709" spans="1:18" ht="15.75" customHeight="1" x14ac:dyDescent="0.3">
      <c r="A4709" s="11"/>
      <c r="B4709" s="11"/>
      <c r="D4709" s="21"/>
      <c r="E4709" s="22"/>
      <c r="G4709" s="23"/>
      <c r="H4709" s="24"/>
      <c r="Q4709" s="2"/>
      <c r="R4709" s="2"/>
    </row>
    <row r="4710" spans="1:18" ht="15.75" customHeight="1" x14ac:dyDescent="0.3">
      <c r="A4710" s="11"/>
      <c r="B4710" s="11"/>
      <c r="D4710" s="21"/>
      <c r="E4710" s="22"/>
      <c r="G4710" s="23"/>
      <c r="H4710" s="24"/>
      <c r="Q4710" s="2"/>
      <c r="R4710" s="2"/>
    </row>
    <row r="4711" spans="1:18" ht="15.75" customHeight="1" x14ac:dyDescent="0.3">
      <c r="A4711" s="11"/>
      <c r="B4711" s="11"/>
      <c r="D4711" s="21"/>
      <c r="E4711" s="22"/>
      <c r="G4711" s="23"/>
      <c r="H4711" s="24"/>
      <c r="Q4711" s="2"/>
      <c r="R4711" s="2"/>
    </row>
    <row r="4712" spans="1:18" ht="15.75" customHeight="1" x14ac:dyDescent="0.3">
      <c r="A4712" s="11"/>
      <c r="B4712" s="11"/>
      <c r="D4712" s="21"/>
      <c r="E4712" s="22"/>
      <c r="G4712" s="23"/>
      <c r="H4712" s="24"/>
      <c r="Q4712" s="2"/>
      <c r="R4712" s="2"/>
    </row>
    <row r="4713" spans="1:18" ht="15.75" customHeight="1" x14ac:dyDescent="0.3">
      <c r="A4713" s="11"/>
      <c r="B4713" s="11"/>
      <c r="D4713" s="21"/>
      <c r="E4713" s="22"/>
      <c r="G4713" s="23"/>
      <c r="H4713" s="24"/>
      <c r="Q4713" s="2"/>
      <c r="R4713" s="2"/>
    </row>
    <row r="4714" spans="1:18" ht="15.75" customHeight="1" x14ac:dyDescent="0.3">
      <c r="A4714" s="11"/>
      <c r="B4714" s="11"/>
      <c r="D4714" s="21"/>
      <c r="E4714" s="22"/>
      <c r="G4714" s="23"/>
      <c r="H4714" s="24"/>
      <c r="Q4714" s="2"/>
      <c r="R4714" s="2"/>
    </row>
    <row r="4715" spans="1:18" ht="15.75" customHeight="1" x14ac:dyDescent="0.3">
      <c r="A4715" s="11"/>
      <c r="B4715" s="11"/>
      <c r="D4715" s="21"/>
      <c r="E4715" s="22"/>
      <c r="G4715" s="23"/>
      <c r="H4715" s="24"/>
      <c r="Q4715" s="2"/>
      <c r="R4715" s="2"/>
    </row>
    <row r="4716" spans="1:18" ht="15.75" customHeight="1" x14ac:dyDescent="0.3">
      <c r="A4716" s="11"/>
      <c r="B4716" s="11"/>
      <c r="D4716" s="21"/>
      <c r="E4716" s="22"/>
      <c r="G4716" s="23"/>
      <c r="H4716" s="24"/>
      <c r="Q4716" s="2"/>
      <c r="R4716" s="2"/>
    </row>
    <row r="4717" spans="1:18" ht="15.75" customHeight="1" x14ac:dyDescent="0.3">
      <c r="A4717" s="11"/>
      <c r="B4717" s="11"/>
      <c r="D4717" s="21"/>
      <c r="E4717" s="22"/>
      <c r="G4717" s="23"/>
      <c r="H4717" s="24"/>
      <c r="Q4717" s="2"/>
      <c r="R4717" s="2"/>
    </row>
    <row r="4718" spans="1:18" ht="15.75" customHeight="1" x14ac:dyDescent="0.3">
      <c r="A4718" s="11"/>
      <c r="B4718" s="11"/>
      <c r="D4718" s="21"/>
      <c r="E4718" s="22"/>
      <c r="G4718" s="23"/>
      <c r="H4718" s="24"/>
      <c r="Q4718" s="2"/>
      <c r="R4718" s="2"/>
    </row>
    <row r="4719" spans="1:18" ht="15.75" customHeight="1" x14ac:dyDescent="0.3">
      <c r="A4719" s="11"/>
      <c r="B4719" s="11"/>
      <c r="D4719" s="21"/>
      <c r="E4719" s="22"/>
      <c r="G4719" s="23"/>
      <c r="H4719" s="24"/>
      <c r="Q4719" s="2"/>
      <c r="R4719" s="2"/>
    </row>
    <row r="4720" spans="1:18" ht="15.75" customHeight="1" x14ac:dyDescent="0.3">
      <c r="A4720" s="11"/>
      <c r="B4720" s="11"/>
      <c r="D4720" s="21"/>
      <c r="E4720" s="22"/>
      <c r="G4720" s="23"/>
      <c r="H4720" s="24"/>
      <c r="Q4720" s="2"/>
      <c r="R4720" s="2"/>
    </row>
    <row r="4721" spans="1:18" ht="15.75" customHeight="1" x14ac:dyDescent="0.3">
      <c r="A4721" s="11"/>
      <c r="B4721" s="11"/>
      <c r="D4721" s="21"/>
      <c r="E4721" s="22"/>
      <c r="G4721" s="23"/>
      <c r="H4721" s="24"/>
      <c r="Q4721" s="2"/>
      <c r="R4721" s="2"/>
    </row>
    <row r="4722" spans="1:18" ht="15.75" customHeight="1" x14ac:dyDescent="0.3">
      <c r="A4722" s="11"/>
      <c r="B4722" s="11"/>
      <c r="D4722" s="21"/>
      <c r="E4722" s="22"/>
      <c r="G4722" s="23"/>
      <c r="H4722" s="24"/>
      <c r="Q4722" s="2"/>
      <c r="R4722" s="2"/>
    </row>
    <row r="4723" spans="1:18" ht="15.75" customHeight="1" x14ac:dyDescent="0.3">
      <c r="A4723" s="11"/>
      <c r="B4723" s="11"/>
      <c r="D4723" s="21"/>
      <c r="E4723" s="22"/>
      <c r="G4723" s="23"/>
      <c r="H4723" s="24"/>
      <c r="Q4723" s="2"/>
      <c r="R4723" s="2"/>
    </row>
    <row r="4724" spans="1:18" ht="15.75" customHeight="1" x14ac:dyDescent="0.3">
      <c r="A4724" s="11"/>
      <c r="B4724" s="11"/>
      <c r="D4724" s="21"/>
      <c r="E4724" s="22"/>
      <c r="G4724" s="23"/>
      <c r="H4724" s="24"/>
      <c r="Q4724" s="2"/>
      <c r="R4724" s="2"/>
    </row>
    <row r="4725" spans="1:18" ht="15.75" customHeight="1" x14ac:dyDescent="0.3">
      <c r="A4725" s="11"/>
      <c r="B4725" s="11"/>
      <c r="D4725" s="21"/>
      <c r="E4725" s="22"/>
      <c r="G4725" s="23"/>
      <c r="H4725" s="24"/>
      <c r="Q4725" s="2"/>
      <c r="R4725" s="2"/>
    </row>
    <row r="4726" spans="1:18" ht="15.75" customHeight="1" x14ac:dyDescent="0.3">
      <c r="A4726" s="11"/>
      <c r="B4726" s="11"/>
      <c r="D4726" s="21"/>
      <c r="E4726" s="22"/>
      <c r="G4726" s="23"/>
      <c r="H4726" s="24"/>
      <c r="Q4726" s="2"/>
      <c r="R4726" s="2"/>
    </row>
    <row r="4727" spans="1:18" ht="15.75" customHeight="1" x14ac:dyDescent="0.3">
      <c r="A4727" s="11"/>
      <c r="B4727" s="11"/>
      <c r="D4727" s="21"/>
      <c r="E4727" s="22"/>
      <c r="G4727" s="23"/>
      <c r="H4727" s="24"/>
      <c r="Q4727" s="2"/>
      <c r="R4727" s="2"/>
    </row>
    <row r="4728" spans="1:18" ht="15.75" customHeight="1" x14ac:dyDescent="0.3">
      <c r="A4728" s="11"/>
      <c r="B4728" s="11"/>
      <c r="D4728" s="21"/>
      <c r="E4728" s="22"/>
      <c r="G4728" s="23"/>
      <c r="H4728" s="24"/>
      <c r="Q4728" s="2"/>
      <c r="R4728" s="2"/>
    </row>
    <row r="4729" spans="1:18" ht="15.75" customHeight="1" x14ac:dyDescent="0.3">
      <c r="A4729" s="11"/>
      <c r="B4729" s="11"/>
      <c r="D4729" s="21"/>
      <c r="E4729" s="22"/>
      <c r="G4729" s="23"/>
      <c r="H4729" s="24"/>
      <c r="Q4729" s="2"/>
      <c r="R4729" s="2"/>
    </row>
    <row r="4730" spans="1:18" ht="15.75" customHeight="1" x14ac:dyDescent="0.3">
      <c r="A4730" s="11"/>
      <c r="B4730" s="11"/>
      <c r="D4730" s="21"/>
      <c r="E4730" s="22"/>
      <c r="G4730" s="23"/>
      <c r="H4730" s="24"/>
      <c r="Q4730" s="2"/>
      <c r="R4730" s="2"/>
    </row>
    <row r="4731" spans="1:18" ht="15.75" customHeight="1" x14ac:dyDescent="0.3">
      <c r="A4731" s="11"/>
      <c r="B4731" s="11"/>
      <c r="D4731" s="21"/>
      <c r="E4731" s="22"/>
      <c r="G4731" s="23"/>
      <c r="H4731" s="24"/>
      <c r="Q4731" s="2"/>
      <c r="R4731" s="2"/>
    </row>
    <row r="4732" spans="1:18" ht="15.75" customHeight="1" x14ac:dyDescent="0.3">
      <c r="A4732" s="11"/>
      <c r="B4732" s="11"/>
      <c r="D4732" s="21"/>
      <c r="E4732" s="22"/>
      <c r="G4732" s="23"/>
      <c r="H4732" s="24"/>
      <c r="Q4732" s="2"/>
      <c r="R4732" s="2"/>
    </row>
    <row r="4733" spans="1:18" ht="15.75" customHeight="1" x14ac:dyDescent="0.3">
      <c r="A4733" s="11"/>
      <c r="B4733" s="11"/>
      <c r="D4733" s="21"/>
      <c r="E4733" s="22"/>
      <c r="G4733" s="23"/>
      <c r="H4733" s="24"/>
      <c r="Q4733" s="2"/>
      <c r="R4733" s="2"/>
    </row>
    <row r="4734" spans="1:18" ht="15.75" customHeight="1" x14ac:dyDescent="0.3">
      <c r="A4734" s="11"/>
      <c r="B4734" s="11"/>
      <c r="D4734" s="21"/>
      <c r="E4734" s="22"/>
      <c r="G4734" s="23"/>
      <c r="H4734" s="24"/>
      <c r="Q4734" s="2"/>
      <c r="R4734" s="2"/>
    </row>
    <row r="4735" spans="1:18" ht="15.75" customHeight="1" x14ac:dyDescent="0.3">
      <c r="A4735" s="11"/>
      <c r="B4735" s="11"/>
      <c r="D4735" s="21"/>
      <c r="E4735" s="22"/>
      <c r="G4735" s="23"/>
      <c r="H4735" s="24"/>
      <c r="Q4735" s="2"/>
      <c r="R4735" s="2"/>
    </row>
    <row r="4736" spans="1:18" ht="15.75" customHeight="1" x14ac:dyDescent="0.3">
      <c r="A4736" s="11"/>
      <c r="B4736" s="11"/>
      <c r="D4736" s="21"/>
      <c r="E4736" s="22"/>
      <c r="G4736" s="23"/>
      <c r="H4736" s="24"/>
      <c r="Q4736" s="2"/>
      <c r="R4736" s="2"/>
    </row>
    <row r="4737" spans="1:18" ht="15.75" customHeight="1" x14ac:dyDescent="0.3">
      <c r="A4737" s="11"/>
      <c r="B4737" s="11"/>
      <c r="D4737" s="21"/>
      <c r="E4737" s="22"/>
      <c r="G4737" s="23"/>
      <c r="H4737" s="24"/>
      <c r="Q4737" s="2"/>
      <c r="R4737" s="2"/>
    </row>
    <row r="4738" spans="1:18" ht="15.75" customHeight="1" x14ac:dyDescent="0.3">
      <c r="A4738" s="11"/>
      <c r="B4738" s="11"/>
      <c r="D4738" s="21"/>
      <c r="E4738" s="22"/>
      <c r="G4738" s="23"/>
      <c r="H4738" s="24"/>
      <c r="Q4738" s="2"/>
      <c r="R4738" s="2"/>
    </row>
    <row r="4739" spans="1:18" ht="15.75" customHeight="1" x14ac:dyDescent="0.3">
      <c r="A4739" s="11"/>
      <c r="B4739" s="11"/>
      <c r="D4739" s="21"/>
      <c r="E4739" s="22"/>
      <c r="G4739" s="23"/>
      <c r="H4739" s="24"/>
      <c r="Q4739" s="2"/>
      <c r="R4739" s="2"/>
    </row>
    <row r="4740" spans="1:18" ht="15.75" customHeight="1" x14ac:dyDescent="0.3">
      <c r="A4740" s="11"/>
      <c r="B4740" s="11"/>
      <c r="D4740" s="21"/>
      <c r="E4740" s="22"/>
      <c r="G4740" s="23"/>
      <c r="H4740" s="24"/>
      <c r="Q4740" s="2"/>
      <c r="R4740" s="2"/>
    </row>
    <row r="4741" spans="1:18" ht="15.75" customHeight="1" x14ac:dyDescent="0.3">
      <c r="A4741" s="11"/>
      <c r="B4741" s="11"/>
      <c r="D4741" s="21"/>
      <c r="E4741" s="22"/>
      <c r="G4741" s="23"/>
      <c r="H4741" s="24"/>
      <c r="Q4741" s="2"/>
      <c r="R4741" s="2"/>
    </row>
    <row r="4742" spans="1:18" ht="15.75" customHeight="1" x14ac:dyDescent="0.3">
      <c r="A4742" s="11"/>
      <c r="B4742" s="11"/>
      <c r="D4742" s="21"/>
      <c r="E4742" s="22"/>
      <c r="G4742" s="23"/>
      <c r="H4742" s="24"/>
      <c r="Q4742" s="2"/>
      <c r="R4742" s="2"/>
    </row>
    <row r="4743" spans="1:18" ht="15.75" customHeight="1" x14ac:dyDescent="0.3">
      <c r="A4743" s="11"/>
      <c r="B4743" s="11"/>
      <c r="D4743" s="21"/>
      <c r="E4743" s="22"/>
      <c r="G4743" s="23"/>
      <c r="H4743" s="24"/>
      <c r="Q4743" s="2"/>
      <c r="R4743" s="2"/>
    </row>
    <row r="4744" spans="1:18" ht="15.75" customHeight="1" x14ac:dyDescent="0.3">
      <c r="A4744" s="11"/>
      <c r="B4744" s="11"/>
      <c r="D4744" s="21"/>
      <c r="E4744" s="22"/>
      <c r="G4744" s="23"/>
      <c r="H4744" s="24"/>
      <c r="Q4744" s="2"/>
      <c r="R4744" s="2"/>
    </row>
    <row r="4745" spans="1:18" ht="15.75" customHeight="1" x14ac:dyDescent="0.3">
      <c r="A4745" s="11"/>
      <c r="B4745" s="11"/>
      <c r="D4745" s="21"/>
      <c r="E4745" s="22"/>
      <c r="G4745" s="23"/>
      <c r="H4745" s="24"/>
      <c r="Q4745" s="2"/>
      <c r="R4745" s="2"/>
    </row>
    <row r="4746" spans="1:18" ht="15.75" customHeight="1" x14ac:dyDescent="0.3">
      <c r="A4746" s="11"/>
      <c r="B4746" s="11"/>
      <c r="D4746" s="21"/>
      <c r="E4746" s="22"/>
      <c r="G4746" s="23"/>
      <c r="H4746" s="24"/>
      <c r="Q4746" s="2"/>
      <c r="R4746" s="2"/>
    </row>
    <row r="4747" spans="1:18" ht="15.75" customHeight="1" x14ac:dyDescent="0.3">
      <c r="A4747" s="11"/>
      <c r="B4747" s="11"/>
      <c r="D4747" s="21"/>
      <c r="E4747" s="22"/>
      <c r="G4747" s="23"/>
      <c r="H4747" s="24"/>
      <c r="Q4747" s="2"/>
      <c r="R4747" s="2"/>
    </row>
    <row r="4748" spans="1:18" ht="15.75" customHeight="1" x14ac:dyDescent="0.3">
      <c r="A4748" s="11"/>
      <c r="B4748" s="11"/>
      <c r="D4748" s="21"/>
      <c r="E4748" s="22"/>
      <c r="G4748" s="23"/>
      <c r="H4748" s="24"/>
      <c r="Q4748" s="2"/>
      <c r="R4748" s="2"/>
    </row>
    <row r="4749" spans="1:18" ht="15.75" customHeight="1" x14ac:dyDescent="0.3">
      <c r="A4749" s="11"/>
      <c r="B4749" s="11"/>
      <c r="D4749" s="21"/>
      <c r="E4749" s="22"/>
      <c r="G4749" s="23"/>
      <c r="H4749" s="24"/>
      <c r="Q4749" s="2"/>
      <c r="R4749" s="2"/>
    </row>
    <row r="4750" spans="1:18" ht="15.75" customHeight="1" x14ac:dyDescent="0.3">
      <c r="A4750" s="11"/>
      <c r="B4750" s="11"/>
      <c r="D4750" s="21"/>
      <c r="E4750" s="22"/>
      <c r="G4750" s="23"/>
      <c r="H4750" s="24"/>
      <c r="Q4750" s="2"/>
      <c r="R4750" s="2"/>
    </row>
    <row r="4751" spans="1:18" ht="15.75" customHeight="1" x14ac:dyDescent="0.3">
      <c r="A4751" s="11"/>
      <c r="B4751" s="11"/>
      <c r="D4751" s="21"/>
      <c r="E4751" s="22"/>
      <c r="G4751" s="23"/>
      <c r="H4751" s="24"/>
      <c r="Q4751" s="2"/>
      <c r="R4751" s="2"/>
    </row>
    <row r="4752" spans="1:18" ht="15.75" customHeight="1" x14ac:dyDescent="0.3">
      <c r="A4752" s="11"/>
      <c r="B4752" s="11"/>
      <c r="D4752" s="21"/>
      <c r="E4752" s="22"/>
      <c r="G4752" s="23"/>
      <c r="H4752" s="24"/>
      <c r="Q4752" s="2"/>
      <c r="R4752" s="2"/>
    </row>
    <row r="4753" spans="1:18" ht="15.75" customHeight="1" x14ac:dyDescent="0.3">
      <c r="A4753" s="11"/>
      <c r="B4753" s="11"/>
      <c r="D4753" s="21"/>
      <c r="E4753" s="22"/>
      <c r="G4753" s="23"/>
      <c r="H4753" s="24"/>
      <c r="Q4753" s="2"/>
      <c r="R4753" s="2"/>
    </row>
    <row r="4754" spans="1:18" ht="15.75" customHeight="1" x14ac:dyDescent="0.3">
      <c r="A4754" s="11"/>
      <c r="B4754" s="11"/>
      <c r="D4754" s="21"/>
      <c r="E4754" s="22"/>
      <c r="G4754" s="23"/>
      <c r="H4754" s="24"/>
      <c r="Q4754" s="2"/>
      <c r="R4754" s="2"/>
    </row>
    <row r="4755" spans="1:18" ht="15.75" customHeight="1" x14ac:dyDescent="0.3">
      <c r="A4755" s="11"/>
      <c r="B4755" s="11"/>
      <c r="D4755" s="21"/>
      <c r="E4755" s="22"/>
      <c r="G4755" s="23"/>
      <c r="H4755" s="24"/>
      <c r="Q4755" s="2"/>
      <c r="R4755" s="2"/>
    </row>
    <row r="4756" spans="1:18" ht="15.75" customHeight="1" x14ac:dyDescent="0.3">
      <c r="A4756" s="11"/>
      <c r="B4756" s="11"/>
      <c r="D4756" s="21"/>
      <c r="E4756" s="22"/>
      <c r="G4756" s="23"/>
      <c r="H4756" s="24"/>
      <c r="Q4756" s="2"/>
      <c r="R4756" s="2"/>
    </row>
    <row r="4757" spans="1:18" ht="15.75" customHeight="1" x14ac:dyDescent="0.3">
      <c r="A4757" s="11"/>
      <c r="B4757" s="11"/>
      <c r="D4757" s="21"/>
      <c r="E4757" s="22"/>
      <c r="G4757" s="23"/>
      <c r="H4757" s="24"/>
      <c r="Q4757" s="2"/>
      <c r="R4757" s="2"/>
    </row>
    <row r="4758" spans="1:18" ht="15.75" customHeight="1" x14ac:dyDescent="0.3">
      <c r="A4758" s="11"/>
      <c r="B4758" s="11"/>
      <c r="D4758" s="21"/>
      <c r="E4758" s="22"/>
      <c r="G4758" s="23"/>
      <c r="H4758" s="24"/>
      <c r="Q4758" s="2"/>
      <c r="R4758" s="2"/>
    </row>
    <row r="4759" spans="1:18" ht="15.75" customHeight="1" x14ac:dyDescent="0.3">
      <c r="A4759" s="11"/>
      <c r="B4759" s="11"/>
      <c r="D4759" s="21"/>
      <c r="E4759" s="22"/>
      <c r="G4759" s="23"/>
      <c r="H4759" s="24"/>
      <c r="Q4759" s="2"/>
      <c r="R4759" s="2"/>
    </row>
    <row r="4760" spans="1:18" ht="15.75" customHeight="1" x14ac:dyDescent="0.3">
      <c r="A4760" s="11"/>
      <c r="B4760" s="11"/>
      <c r="D4760" s="21"/>
      <c r="E4760" s="22"/>
      <c r="G4760" s="23"/>
      <c r="H4760" s="24"/>
      <c r="Q4760" s="2"/>
      <c r="R4760" s="2"/>
    </row>
    <row r="4761" spans="1:18" ht="15.75" customHeight="1" x14ac:dyDescent="0.3">
      <c r="A4761" s="11"/>
      <c r="B4761" s="11"/>
      <c r="D4761" s="21"/>
      <c r="E4761" s="22"/>
      <c r="G4761" s="23"/>
      <c r="H4761" s="24"/>
      <c r="Q4761" s="2"/>
      <c r="R4761" s="2"/>
    </row>
    <row r="4762" spans="1:18" ht="15.75" customHeight="1" x14ac:dyDescent="0.3">
      <c r="A4762" s="11"/>
      <c r="B4762" s="11"/>
      <c r="D4762" s="21"/>
      <c r="E4762" s="22"/>
      <c r="G4762" s="23"/>
      <c r="H4762" s="24"/>
      <c r="Q4762" s="2"/>
      <c r="R4762" s="2"/>
    </row>
    <row r="4763" spans="1:18" ht="15.75" customHeight="1" x14ac:dyDescent="0.3">
      <c r="A4763" s="11"/>
      <c r="B4763" s="11"/>
      <c r="D4763" s="21"/>
      <c r="E4763" s="22"/>
      <c r="G4763" s="23"/>
      <c r="H4763" s="24"/>
      <c r="Q4763" s="2"/>
      <c r="R4763" s="2"/>
    </row>
    <row r="4764" spans="1:18" ht="15.75" customHeight="1" x14ac:dyDescent="0.3">
      <c r="A4764" s="11"/>
      <c r="B4764" s="11"/>
      <c r="D4764" s="21"/>
      <c r="E4764" s="22"/>
      <c r="G4764" s="23"/>
      <c r="H4764" s="24"/>
      <c r="Q4764" s="2"/>
      <c r="R4764" s="2"/>
    </row>
    <row r="4765" spans="1:18" ht="15.75" customHeight="1" x14ac:dyDescent="0.3">
      <c r="A4765" s="11"/>
      <c r="B4765" s="11"/>
      <c r="D4765" s="21"/>
      <c r="E4765" s="22"/>
      <c r="G4765" s="23"/>
      <c r="H4765" s="24"/>
      <c r="Q4765" s="2"/>
      <c r="R4765" s="2"/>
    </row>
    <row r="4766" spans="1:18" ht="15.75" customHeight="1" x14ac:dyDescent="0.3">
      <c r="A4766" s="11"/>
      <c r="B4766" s="11"/>
      <c r="D4766" s="21"/>
      <c r="E4766" s="22"/>
      <c r="G4766" s="23"/>
      <c r="H4766" s="24"/>
      <c r="Q4766" s="2"/>
      <c r="R4766" s="2"/>
    </row>
    <row r="4767" spans="1:18" ht="15.75" customHeight="1" x14ac:dyDescent="0.3">
      <c r="A4767" s="11"/>
      <c r="B4767" s="11"/>
      <c r="D4767" s="21"/>
      <c r="E4767" s="22"/>
      <c r="G4767" s="23"/>
      <c r="H4767" s="24"/>
      <c r="Q4767" s="2"/>
      <c r="R4767" s="2"/>
    </row>
    <row r="4768" spans="1:18" ht="15.75" customHeight="1" x14ac:dyDescent="0.3">
      <c r="A4768" s="11"/>
      <c r="B4768" s="11"/>
      <c r="D4768" s="21"/>
      <c r="E4768" s="22"/>
      <c r="G4768" s="23"/>
      <c r="H4768" s="24"/>
      <c r="Q4768" s="2"/>
      <c r="R4768" s="2"/>
    </row>
    <row r="4769" spans="1:18" ht="15.75" customHeight="1" x14ac:dyDescent="0.3">
      <c r="A4769" s="11"/>
      <c r="B4769" s="11"/>
      <c r="D4769" s="21"/>
      <c r="E4769" s="22"/>
      <c r="G4769" s="23"/>
      <c r="H4769" s="24"/>
      <c r="Q4769" s="2"/>
      <c r="R4769" s="2"/>
    </row>
    <row r="4770" spans="1:18" ht="15.75" customHeight="1" x14ac:dyDescent="0.3">
      <c r="A4770" s="11"/>
      <c r="B4770" s="11"/>
      <c r="D4770" s="21"/>
      <c r="E4770" s="22"/>
      <c r="G4770" s="23"/>
      <c r="H4770" s="24"/>
      <c r="Q4770" s="2"/>
      <c r="R4770" s="2"/>
    </row>
    <row r="4771" spans="1:18" ht="15.75" customHeight="1" x14ac:dyDescent="0.3">
      <c r="A4771" s="11"/>
      <c r="B4771" s="11"/>
      <c r="D4771" s="21"/>
      <c r="E4771" s="22"/>
      <c r="G4771" s="23"/>
      <c r="H4771" s="24"/>
      <c r="Q4771" s="2"/>
      <c r="R4771" s="2"/>
    </row>
    <row r="4772" spans="1:18" ht="15.75" customHeight="1" x14ac:dyDescent="0.3">
      <c r="A4772" s="11"/>
      <c r="B4772" s="11"/>
      <c r="D4772" s="21"/>
      <c r="E4772" s="22"/>
      <c r="G4772" s="23"/>
      <c r="H4772" s="24"/>
      <c r="Q4772" s="2"/>
      <c r="R4772" s="2"/>
    </row>
    <row r="4773" spans="1:18" ht="15.75" customHeight="1" x14ac:dyDescent="0.3">
      <c r="A4773" s="11"/>
      <c r="B4773" s="11"/>
      <c r="D4773" s="21"/>
      <c r="E4773" s="22"/>
      <c r="G4773" s="23"/>
      <c r="H4773" s="24"/>
      <c r="Q4773" s="2"/>
      <c r="R4773" s="2"/>
    </row>
    <row r="4774" spans="1:18" ht="15.75" customHeight="1" x14ac:dyDescent="0.3">
      <c r="A4774" s="11"/>
      <c r="B4774" s="11"/>
      <c r="D4774" s="21"/>
      <c r="E4774" s="22"/>
      <c r="G4774" s="23"/>
      <c r="H4774" s="24"/>
      <c r="Q4774" s="2"/>
      <c r="R4774" s="2"/>
    </row>
    <row r="4775" spans="1:18" ht="15.75" customHeight="1" x14ac:dyDescent="0.3">
      <c r="A4775" s="11"/>
      <c r="B4775" s="11"/>
      <c r="D4775" s="21"/>
      <c r="E4775" s="22"/>
      <c r="G4775" s="23"/>
      <c r="H4775" s="24"/>
      <c r="Q4775" s="2"/>
      <c r="R4775" s="2"/>
    </row>
    <row r="4776" spans="1:18" ht="15.75" customHeight="1" x14ac:dyDescent="0.3">
      <c r="A4776" s="11"/>
      <c r="B4776" s="11"/>
      <c r="D4776" s="21"/>
      <c r="E4776" s="22"/>
      <c r="G4776" s="23"/>
      <c r="H4776" s="24"/>
      <c r="Q4776" s="2"/>
      <c r="R4776" s="2"/>
    </row>
    <row r="4777" spans="1:18" ht="15.75" customHeight="1" x14ac:dyDescent="0.3">
      <c r="A4777" s="11"/>
      <c r="B4777" s="11"/>
      <c r="D4777" s="21"/>
      <c r="E4777" s="22"/>
      <c r="G4777" s="23"/>
      <c r="H4777" s="24"/>
      <c r="Q4777" s="2"/>
      <c r="R4777" s="2"/>
    </row>
    <row r="4778" spans="1:18" ht="15.75" customHeight="1" x14ac:dyDescent="0.3">
      <c r="A4778" s="11"/>
      <c r="B4778" s="11"/>
      <c r="D4778" s="21"/>
      <c r="E4778" s="22"/>
      <c r="G4778" s="23"/>
      <c r="H4778" s="24"/>
      <c r="Q4778" s="2"/>
      <c r="R4778" s="2"/>
    </row>
    <row r="4779" spans="1:18" ht="15.75" customHeight="1" x14ac:dyDescent="0.3">
      <c r="A4779" s="11"/>
      <c r="B4779" s="11"/>
      <c r="D4779" s="21"/>
      <c r="E4779" s="22"/>
      <c r="G4779" s="23"/>
      <c r="H4779" s="24"/>
      <c r="Q4779" s="2"/>
      <c r="R4779" s="2"/>
    </row>
    <row r="4780" spans="1:18" ht="15.75" customHeight="1" x14ac:dyDescent="0.3">
      <c r="A4780" s="11"/>
      <c r="B4780" s="11"/>
      <c r="D4780" s="21"/>
      <c r="E4780" s="22"/>
      <c r="G4780" s="23"/>
      <c r="H4780" s="24"/>
      <c r="Q4780" s="2"/>
      <c r="R4780" s="2"/>
    </row>
    <row r="4781" spans="1:18" ht="15.75" customHeight="1" x14ac:dyDescent="0.3">
      <c r="A4781" s="11"/>
      <c r="B4781" s="11"/>
      <c r="D4781" s="21"/>
      <c r="E4781" s="22"/>
      <c r="G4781" s="23"/>
      <c r="H4781" s="24"/>
      <c r="Q4781" s="2"/>
      <c r="R4781" s="2"/>
    </row>
    <row r="4782" spans="1:18" ht="15.75" customHeight="1" x14ac:dyDescent="0.3">
      <c r="A4782" s="11"/>
      <c r="B4782" s="11"/>
      <c r="D4782" s="21"/>
      <c r="E4782" s="22"/>
      <c r="G4782" s="23"/>
      <c r="H4782" s="24"/>
      <c r="Q4782" s="2"/>
      <c r="R4782" s="2"/>
    </row>
    <row r="4783" spans="1:18" ht="15.75" customHeight="1" x14ac:dyDescent="0.3">
      <c r="A4783" s="11"/>
      <c r="B4783" s="11"/>
      <c r="D4783" s="21"/>
      <c r="E4783" s="22"/>
      <c r="G4783" s="23"/>
      <c r="H4783" s="24"/>
      <c r="Q4783" s="2"/>
      <c r="R4783" s="2"/>
    </row>
    <row r="4784" spans="1:18" ht="15.75" customHeight="1" x14ac:dyDescent="0.3">
      <c r="A4784" s="11"/>
      <c r="B4784" s="11"/>
      <c r="D4784" s="21"/>
      <c r="E4784" s="22"/>
      <c r="G4784" s="23"/>
      <c r="H4784" s="24"/>
      <c r="Q4784" s="2"/>
      <c r="R4784" s="2"/>
    </row>
    <row r="4785" spans="1:18" ht="15.75" customHeight="1" x14ac:dyDescent="0.3">
      <c r="A4785" s="11"/>
      <c r="B4785" s="11"/>
      <c r="D4785" s="21"/>
      <c r="E4785" s="22"/>
      <c r="G4785" s="23"/>
      <c r="H4785" s="24"/>
      <c r="Q4785" s="2"/>
      <c r="R4785" s="2"/>
    </row>
    <row r="4786" spans="1:18" ht="15.75" customHeight="1" x14ac:dyDescent="0.3">
      <c r="A4786" s="11"/>
      <c r="B4786" s="11"/>
      <c r="D4786" s="21"/>
      <c r="E4786" s="22"/>
      <c r="G4786" s="23"/>
      <c r="H4786" s="24"/>
      <c r="Q4786" s="2"/>
      <c r="R4786" s="2"/>
    </row>
    <row r="4787" spans="1:18" ht="15.75" customHeight="1" x14ac:dyDescent="0.3">
      <c r="A4787" s="11"/>
      <c r="B4787" s="11"/>
      <c r="D4787" s="21"/>
      <c r="E4787" s="22"/>
      <c r="G4787" s="23"/>
      <c r="H4787" s="24"/>
      <c r="Q4787" s="2"/>
      <c r="R4787" s="2"/>
    </row>
    <row r="4788" spans="1:18" ht="15.75" customHeight="1" x14ac:dyDescent="0.3">
      <c r="A4788" s="11"/>
      <c r="B4788" s="11"/>
      <c r="D4788" s="21"/>
      <c r="E4788" s="22"/>
      <c r="G4788" s="23"/>
      <c r="H4788" s="24"/>
      <c r="Q4788" s="2"/>
      <c r="R4788" s="2"/>
    </row>
    <row r="4789" spans="1:18" ht="15.75" customHeight="1" x14ac:dyDescent="0.3">
      <c r="A4789" s="11"/>
      <c r="B4789" s="11"/>
      <c r="D4789" s="21"/>
      <c r="E4789" s="22"/>
      <c r="G4789" s="23"/>
      <c r="H4789" s="24"/>
      <c r="Q4789" s="2"/>
      <c r="R4789" s="2"/>
    </row>
    <row r="4790" spans="1:18" ht="15.75" customHeight="1" x14ac:dyDescent="0.3">
      <c r="A4790" s="11"/>
      <c r="B4790" s="11"/>
      <c r="D4790" s="21"/>
      <c r="E4790" s="22"/>
      <c r="G4790" s="23"/>
      <c r="H4790" s="24"/>
      <c r="Q4790" s="2"/>
      <c r="R4790" s="2"/>
    </row>
    <row r="4791" spans="1:18" ht="15.75" customHeight="1" x14ac:dyDescent="0.3">
      <c r="A4791" s="11"/>
      <c r="B4791" s="11"/>
      <c r="D4791" s="21"/>
      <c r="E4791" s="22"/>
      <c r="G4791" s="23"/>
      <c r="H4791" s="24"/>
      <c r="Q4791" s="2"/>
      <c r="R4791" s="2"/>
    </row>
    <row r="4792" spans="1:18" ht="15.75" customHeight="1" x14ac:dyDescent="0.3">
      <c r="A4792" s="11"/>
      <c r="B4792" s="11"/>
      <c r="D4792" s="21"/>
      <c r="E4792" s="22"/>
      <c r="G4792" s="23"/>
      <c r="H4792" s="24"/>
      <c r="Q4792" s="2"/>
      <c r="R4792" s="2"/>
    </row>
    <row r="4793" spans="1:18" ht="15.75" customHeight="1" x14ac:dyDescent="0.3">
      <c r="A4793" s="11"/>
      <c r="B4793" s="11"/>
      <c r="D4793" s="21"/>
      <c r="E4793" s="22"/>
      <c r="G4793" s="23"/>
      <c r="H4793" s="24"/>
      <c r="Q4793" s="2"/>
      <c r="R4793" s="2"/>
    </row>
    <row r="4794" spans="1:18" ht="15.75" customHeight="1" x14ac:dyDescent="0.3">
      <c r="A4794" s="11"/>
      <c r="B4794" s="11"/>
      <c r="D4794" s="21"/>
      <c r="E4794" s="22"/>
      <c r="G4794" s="23"/>
      <c r="H4794" s="24"/>
      <c r="Q4794" s="2"/>
      <c r="R4794" s="2"/>
    </row>
    <row r="4795" spans="1:18" ht="15.75" customHeight="1" x14ac:dyDescent="0.3">
      <c r="A4795" s="11"/>
      <c r="B4795" s="11"/>
      <c r="D4795" s="21"/>
      <c r="E4795" s="22"/>
      <c r="G4795" s="23"/>
      <c r="H4795" s="24"/>
      <c r="Q4795" s="2"/>
      <c r="R4795" s="2"/>
    </row>
    <row r="4796" spans="1:18" ht="15.75" customHeight="1" x14ac:dyDescent="0.3">
      <c r="A4796" s="11"/>
      <c r="B4796" s="11"/>
      <c r="D4796" s="21"/>
      <c r="E4796" s="22"/>
      <c r="G4796" s="23"/>
      <c r="H4796" s="24"/>
      <c r="Q4796" s="2"/>
      <c r="R4796" s="2"/>
    </row>
    <row r="4797" spans="1:18" ht="15.75" customHeight="1" x14ac:dyDescent="0.3">
      <c r="A4797" s="11"/>
      <c r="B4797" s="11"/>
      <c r="D4797" s="21"/>
      <c r="E4797" s="22"/>
      <c r="G4797" s="23"/>
      <c r="H4797" s="24"/>
      <c r="Q4797" s="2"/>
      <c r="R4797" s="2"/>
    </row>
    <row r="4798" spans="1:18" ht="15.75" customHeight="1" x14ac:dyDescent="0.3">
      <c r="A4798" s="11"/>
      <c r="B4798" s="11"/>
      <c r="D4798" s="21"/>
      <c r="E4798" s="22"/>
      <c r="G4798" s="23"/>
      <c r="H4798" s="24"/>
      <c r="Q4798" s="2"/>
      <c r="R4798" s="2"/>
    </row>
    <row r="4799" spans="1:18" ht="15.75" customHeight="1" x14ac:dyDescent="0.3">
      <c r="A4799" s="11"/>
      <c r="B4799" s="11"/>
      <c r="D4799" s="21"/>
      <c r="E4799" s="22"/>
      <c r="G4799" s="23"/>
      <c r="H4799" s="24"/>
      <c r="Q4799" s="2"/>
      <c r="R4799" s="2"/>
    </row>
    <row r="4800" spans="1:18" ht="15.75" customHeight="1" x14ac:dyDescent="0.3">
      <c r="A4800" s="11"/>
      <c r="B4800" s="11"/>
      <c r="D4800" s="21"/>
      <c r="E4800" s="22"/>
      <c r="G4800" s="23"/>
      <c r="H4800" s="24"/>
      <c r="Q4800" s="2"/>
      <c r="R4800" s="2"/>
    </row>
    <row r="4801" spans="1:18" ht="15.75" customHeight="1" x14ac:dyDescent="0.3">
      <c r="A4801" s="11"/>
      <c r="B4801" s="11"/>
      <c r="D4801" s="21"/>
      <c r="E4801" s="22"/>
      <c r="G4801" s="23"/>
      <c r="H4801" s="24"/>
      <c r="Q4801" s="2"/>
      <c r="R4801" s="2"/>
    </row>
    <row r="4802" spans="1:18" ht="15.75" customHeight="1" x14ac:dyDescent="0.3">
      <c r="A4802" s="11"/>
      <c r="B4802" s="11"/>
      <c r="D4802" s="21"/>
      <c r="E4802" s="22"/>
      <c r="G4802" s="23"/>
      <c r="H4802" s="24"/>
      <c r="Q4802" s="2"/>
      <c r="R4802" s="2"/>
    </row>
    <row r="4803" spans="1:18" ht="15.75" customHeight="1" x14ac:dyDescent="0.3">
      <c r="A4803" s="11"/>
      <c r="B4803" s="11"/>
      <c r="D4803" s="21"/>
      <c r="E4803" s="22"/>
      <c r="G4803" s="23"/>
      <c r="H4803" s="24"/>
      <c r="Q4803" s="2"/>
      <c r="R4803" s="2"/>
    </row>
    <row r="4804" spans="1:18" ht="15.75" customHeight="1" x14ac:dyDescent="0.3">
      <c r="A4804" s="11"/>
      <c r="B4804" s="11"/>
      <c r="D4804" s="21"/>
      <c r="E4804" s="22"/>
      <c r="G4804" s="23"/>
      <c r="H4804" s="24"/>
      <c r="Q4804" s="2"/>
      <c r="R4804" s="2"/>
    </row>
    <row r="4805" spans="1:18" ht="15.75" customHeight="1" x14ac:dyDescent="0.3">
      <c r="A4805" s="11"/>
      <c r="B4805" s="11"/>
      <c r="D4805" s="21"/>
      <c r="E4805" s="22"/>
      <c r="G4805" s="23"/>
      <c r="H4805" s="24"/>
      <c r="Q4805" s="2"/>
      <c r="R4805" s="2"/>
    </row>
    <row r="4806" spans="1:18" ht="15.75" customHeight="1" x14ac:dyDescent="0.3">
      <c r="A4806" s="11"/>
      <c r="B4806" s="11"/>
      <c r="D4806" s="21"/>
      <c r="E4806" s="22"/>
      <c r="G4806" s="23"/>
      <c r="H4806" s="24"/>
      <c r="Q4806" s="2"/>
      <c r="R4806" s="2"/>
    </row>
    <row r="4807" spans="1:18" ht="15.75" customHeight="1" x14ac:dyDescent="0.3">
      <c r="A4807" s="11"/>
      <c r="B4807" s="11"/>
      <c r="D4807" s="21"/>
      <c r="E4807" s="22"/>
      <c r="G4807" s="23"/>
      <c r="H4807" s="24"/>
      <c r="Q4807" s="2"/>
      <c r="R4807" s="2"/>
    </row>
    <row r="4808" spans="1:18" ht="15.75" customHeight="1" x14ac:dyDescent="0.3">
      <c r="A4808" s="11"/>
      <c r="B4808" s="11"/>
      <c r="D4808" s="21"/>
      <c r="E4808" s="22"/>
      <c r="G4808" s="23"/>
      <c r="H4808" s="24"/>
      <c r="Q4808" s="2"/>
      <c r="R4808" s="2"/>
    </row>
    <row r="4809" spans="1:18" ht="15.75" customHeight="1" x14ac:dyDescent="0.3">
      <c r="A4809" s="11"/>
      <c r="B4809" s="11"/>
      <c r="D4809" s="21"/>
      <c r="E4809" s="22"/>
      <c r="G4809" s="23"/>
      <c r="H4809" s="24"/>
      <c r="Q4809" s="2"/>
      <c r="R4809" s="2"/>
    </row>
    <row r="4810" spans="1:18" ht="15.75" customHeight="1" x14ac:dyDescent="0.3">
      <c r="A4810" s="11"/>
      <c r="B4810" s="11"/>
      <c r="D4810" s="21"/>
      <c r="E4810" s="22"/>
      <c r="G4810" s="23"/>
      <c r="H4810" s="24"/>
      <c r="Q4810" s="2"/>
      <c r="R4810" s="2"/>
    </row>
    <row r="4811" spans="1:18" ht="15.75" customHeight="1" x14ac:dyDescent="0.3">
      <c r="A4811" s="11"/>
      <c r="B4811" s="11"/>
      <c r="D4811" s="21"/>
      <c r="E4811" s="22"/>
      <c r="G4811" s="23"/>
      <c r="H4811" s="24"/>
      <c r="Q4811" s="2"/>
      <c r="R4811" s="2"/>
    </row>
    <row r="4812" spans="1:18" ht="15.75" customHeight="1" x14ac:dyDescent="0.3">
      <c r="A4812" s="11"/>
      <c r="B4812" s="11"/>
      <c r="D4812" s="21"/>
      <c r="E4812" s="22"/>
      <c r="G4812" s="23"/>
      <c r="H4812" s="24"/>
      <c r="Q4812" s="2"/>
      <c r="R4812" s="2"/>
    </row>
    <row r="4813" spans="1:18" ht="15.75" customHeight="1" x14ac:dyDescent="0.3">
      <c r="A4813" s="11"/>
      <c r="B4813" s="11"/>
      <c r="D4813" s="21"/>
      <c r="E4813" s="22"/>
      <c r="G4813" s="23"/>
      <c r="H4813" s="24"/>
      <c r="Q4813" s="2"/>
      <c r="R4813" s="2"/>
    </row>
    <row r="4814" spans="1:18" ht="15.75" customHeight="1" x14ac:dyDescent="0.3">
      <c r="A4814" s="11"/>
      <c r="B4814" s="11"/>
      <c r="D4814" s="21"/>
      <c r="E4814" s="22"/>
      <c r="G4814" s="23"/>
      <c r="H4814" s="24"/>
      <c r="Q4814" s="2"/>
      <c r="R4814" s="2"/>
    </row>
    <row r="4815" spans="1:18" ht="15.75" customHeight="1" x14ac:dyDescent="0.3">
      <c r="A4815" s="11"/>
      <c r="B4815" s="11"/>
      <c r="D4815" s="21"/>
      <c r="E4815" s="22"/>
      <c r="G4815" s="23"/>
      <c r="H4815" s="24"/>
      <c r="Q4815" s="2"/>
      <c r="R4815" s="2"/>
    </row>
    <row r="4816" spans="1:18" ht="15.75" customHeight="1" x14ac:dyDescent="0.3">
      <c r="A4816" s="11"/>
      <c r="B4816" s="11"/>
      <c r="D4816" s="21"/>
      <c r="E4816" s="22"/>
      <c r="G4816" s="23"/>
      <c r="H4816" s="24"/>
      <c r="Q4816" s="2"/>
      <c r="R4816" s="2"/>
    </row>
    <row r="4817" spans="1:18" ht="15.75" customHeight="1" x14ac:dyDescent="0.3">
      <c r="A4817" s="11"/>
      <c r="B4817" s="11"/>
      <c r="D4817" s="21"/>
      <c r="E4817" s="22"/>
      <c r="G4817" s="23"/>
      <c r="H4817" s="24"/>
      <c r="Q4817" s="2"/>
      <c r="R4817" s="2"/>
    </row>
    <row r="4818" spans="1:18" ht="15.75" customHeight="1" x14ac:dyDescent="0.3">
      <c r="A4818" s="11"/>
      <c r="B4818" s="11"/>
      <c r="D4818" s="21"/>
      <c r="E4818" s="22"/>
      <c r="G4818" s="23"/>
      <c r="H4818" s="24"/>
      <c r="Q4818" s="2"/>
      <c r="R4818" s="2"/>
    </row>
    <row r="4819" spans="1:18" ht="15.75" customHeight="1" x14ac:dyDescent="0.3">
      <c r="A4819" s="11"/>
      <c r="B4819" s="11"/>
      <c r="D4819" s="21"/>
      <c r="E4819" s="22"/>
      <c r="G4819" s="23"/>
      <c r="H4819" s="24"/>
      <c r="Q4819" s="2"/>
      <c r="R4819" s="2"/>
    </row>
    <row r="4820" spans="1:18" ht="15.75" customHeight="1" x14ac:dyDescent="0.3">
      <c r="A4820" s="11"/>
      <c r="B4820" s="11"/>
      <c r="D4820" s="21"/>
      <c r="E4820" s="22"/>
      <c r="G4820" s="23"/>
      <c r="H4820" s="24"/>
      <c r="Q4820" s="2"/>
      <c r="R4820" s="2"/>
    </row>
    <row r="4821" spans="1:18" ht="15.75" customHeight="1" x14ac:dyDescent="0.3">
      <c r="A4821" s="11"/>
      <c r="B4821" s="11"/>
      <c r="D4821" s="21"/>
      <c r="E4821" s="22"/>
      <c r="G4821" s="23"/>
      <c r="H4821" s="24"/>
      <c r="Q4821" s="2"/>
      <c r="R4821" s="2"/>
    </row>
    <row r="4822" spans="1:18" ht="15.75" customHeight="1" x14ac:dyDescent="0.3">
      <c r="A4822" s="11"/>
      <c r="B4822" s="11"/>
      <c r="D4822" s="21"/>
      <c r="E4822" s="22"/>
      <c r="G4822" s="23"/>
      <c r="H4822" s="24"/>
      <c r="Q4822" s="2"/>
      <c r="R4822" s="2"/>
    </row>
    <row r="4823" spans="1:18" ht="15.75" customHeight="1" x14ac:dyDescent="0.3">
      <c r="A4823" s="11"/>
      <c r="B4823" s="11"/>
      <c r="D4823" s="21"/>
      <c r="E4823" s="22"/>
      <c r="G4823" s="23"/>
      <c r="H4823" s="24"/>
      <c r="Q4823" s="2"/>
      <c r="R4823" s="2"/>
    </row>
    <row r="4824" spans="1:18" ht="15.75" customHeight="1" x14ac:dyDescent="0.3">
      <c r="A4824" s="11"/>
      <c r="B4824" s="11"/>
      <c r="D4824" s="21"/>
      <c r="E4824" s="22"/>
      <c r="G4824" s="23"/>
      <c r="H4824" s="24"/>
      <c r="Q4824" s="2"/>
      <c r="R4824" s="2"/>
    </row>
    <row r="4825" spans="1:18" ht="15.75" customHeight="1" x14ac:dyDescent="0.3">
      <c r="A4825" s="11"/>
      <c r="B4825" s="11"/>
      <c r="D4825" s="21"/>
      <c r="E4825" s="22"/>
      <c r="G4825" s="23"/>
      <c r="H4825" s="24"/>
      <c r="Q4825" s="2"/>
      <c r="R4825" s="2"/>
    </row>
    <row r="4826" spans="1:18" ht="15.75" customHeight="1" x14ac:dyDescent="0.3">
      <c r="A4826" s="11"/>
      <c r="B4826" s="11"/>
      <c r="D4826" s="21"/>
      <c r="E4826" s="22"/>
      <c r="G4826" s="23"/>
      <c r="H4826" s="24"/>
      <c r="Q4826" s="2"/>
      <c r="R4826" s="2"/>
    </row>
    <row r="4827" spans="1:18" ht="15.75" customHeight="1" x14ac:dyDescent="0.3">
      <c r="A4827" s="11"/>
      <c r="B4827" s="11"/>
      <c r="D4827" s="21"/>
      <c r="E4827" s="22"/>
      <c r="G4827" s="23"/>
      <c r="H4827" s="24"/>
      <c r="Q4827" s="2"/>
      <c r="R4827" s="2"/>
    </row>
    <row r="4828" spans="1:18" ht="15.75" customHeight="1" x14ac:dyDescent="0.3">
      <c r="A4828" s="11"/>
      <c r="B4828" s="11"/>
      <c r="D4828" s="21"/>
      <c r="E4828" s="22"/>
      <c r="G4828" s="23"/>
      <c r="H4828" s="24"/>
      <c r="Q4828" s="2"/>
      <c r="R4828" s="2"/>
    </row>
    <row r="4829" spans="1:18" ht="15.75" customHeight="1" x14ac:dyDescent="0.3">
      <c r="A4829" s="11"/>
      <c r="B4829" s="11"/>
      <c r="D4829" s="21"/>
      <c r="E4829" s="22"/>
      <c r="G4829" s="23"/>
      <c r="H4829" s="24"/>
      <c r="Q4829" s="2"/>
      <c r="R4829" s="2"/>
    </row>
    <row r="4830" spans="1:18" ht="15.75" customHeight="1" x14ac:dyDescent="0.3">
      <c r="A4830" s="11"/>
      <c r="B4830" s="11"/>
      <c r="D4830" s="21"/>
      <c r="E4830" s="22"/>
      <c r="G4830" s="23"/>
      <c r="H4830" s="24"/>
      <c r="Q4830" s="2"/>
      <c r="R4830" s="2"/>
    </row>
    <row r="4831" spans="1:18" ht="15.75" customHeight="1" x14ac:dyDescent="0.3">
      <c r="A4831" s="11"/>
      <c r="B4831" s="11"/>
      <c r="D4831" s="21"/>
      <c r="E4831" s="22"/>
      <c r="G4831" s="23"/>
      <c r="H4831" s="24"/>
      <c r="Q4831" s="2"/>
      <c r="R4831" s="2"/>
    </row>
    <row r="4832" spans="1:18" ht="15.75" customHeight="1" x14ac:dyDescent="0.3">
      <c r="A4832" s="11"/>
      <c r="B4832" s="11"/>
      <c r="D4832" s="21"/>
      <c r="E4832" s="22"/>
      <c r="G4832" s="23"/>
      <c r="H4832" s="24"/>
      <c r="Q4832" s="2"/>
      <c r="R4832" s="2"/>
    </row>
    <row r="4833" spans="1:18" ht="15.75" customHeight="1" x14ac:dyDescent="0.3">
      <c r="A4833" s="11"/>
      <c r="B4833" s="11"/>
      <c r="D4833" s="21"/>
      <c r="E4833" s="22"/>
      <c r="G4833" s="23"/>
      <c r="H4833" s="24"/>
      <c r="Q4833" s="2"/>
      <c r="R4833" s="2"/>
    </row>
    <row r="4834" spans="1:18" ht="15.75" customHeight="1" x14ac:dyDescent="0.3">
      <c r="A4834" s="11"/>
      <c r="B4834" s="11"/>
      <c r="D4834" s="21"/>
      <c r="E4834" s="22"/>
      <c r="G4834" s="23"/>
      <c r="H4834" s="24"/>
      <c r="Q4834" s="2"/>
      <c r="R4834" s="2"/>
    </row>
    <row r="4835" spans="1:18" ht="15.75" customHeight="1" x14ac:dyDescent="0.3">
      <c r="A4835" s="11"/>
      <c r="B4835" s="11"/>
      <c r="D4835" s="21"/>
      <c r="E4835" s="22"/>
      <c r="G4835" s="23"/>
      <c r="H4835" s="24"/>
      <c r="Q4835" s="2"/>
      <c r="R4835" s="2"/>
    </row>
    <row r="4836" spans="1:18" ht="15.75" customHeight="1" x14ac:dyDescent="0.3">
      <c r="A4836" s="11"/>
      <c r="B4836" s="11"/>
      <c r="D4836" s="21"/>
      <c r="E4836" s="22"/>
      <c r="G4836" s="23"/>
      <c r="H4836" s="24"/>
      <c r="Q4836" s="2"/>
      <c r="R4836" s="2"/>
    </row>
    <row r="4837" spans="1:18" ht="15.75" customHeight="1" x14ac:dyDescent="0.3">
      <c r="A4837" s="11"/>
      <c r="B4837" s="11"/>
      <c r="D4837" s="21"/>
      <c r="E4837" s="22"/>
      <c r="G4837" s="23"/>
      <c r="H4837" s="24"/>
      <c r="Q4837" s="2"/>
      <c r="R4837" s="2"/>
    </row>
    <row r="4838" spans="1:18" ht="15.75" customHeight="1" x14ac:dyDescent="0.3">
      <c r="A4838" s="11"/>
      <c r="B4838" s="11"/>
      <c r="D4838" s="21"/>
      <c r="E4838" s="22"/>
      <c r="G4838" s="23"/>
      <c r="H4838" s="24"/>
      <c r="Q4838" s="2"/>
      <c r="R4838" s="2"/>
    </row>
    <row r="4839" spans="1:18" ht="15.75" customHeight="1" x14ac:dyDescent="0.3">
      <c r="A4839" s="11"/>
      <c r="B4839" s="11"/>
      <c r="D4839" s="21"/>
      <c r="E4839" s="22"/>
      <c r="G4839" s="23"/>
      <c r="H4839" s="24"/>
      <c r="Q4839" s="2"/>
      <c r="R4839" s="2"/>
    </row>
    <row r="4840" spans="1:18" ht="15.75" customHeight="1" x14ac:dyDescent="0.3">
      <c r="A4840" s="11"/>
      <c r="B4840" s="11"/>
      <c r="D4840" s="21"/>
      <c r="E4840" s="22"/>
      <c r="G4840" s="23"/>
      <c r="H4840" s="24"/>
      <c r="Q4840" s="2"/>
      <c r="R4840" s="2"/>
    </row>
    <row r="4841" spans="1:18" ht="15.75" customHeight="1" x14ac:dyDescent="0.3">
      <c r="A4841" s="11"/>
      <c r="B4841" s="11"/>
      <c r="D4841" s="21"/>
      <c r="E4841" s="22"/>
      <c r="G4841" s="23"/>
      <c r="H4841" s="24"/>
      <c r="Q4841" s="2"/>
      <c r="R4841" s="2"/>
    </row>
    <row r="4842" spans="1:18" ht="15.75" customHeight="1" x14ac:dyDescent="0.3">
      <c r="A4842" s="11"/>
      <c r="B4842" s="11"/>
      <c r="D4842" s="21"/>
      <c r="E4842" s="22"/>
      <c r="G4842" s="23"/>
      <c r="H4842" s="24"/>
      <c r="Q4842" s="2"/>
      <c r="R4842" s="2"/>
    </row>
    <row r="4843" spans="1:18" ht="15.75" customHeight="1" x14ac:dyDescent="0.3">
      <c r="A4843" s="11"/>
      <c r="B4843" s="11"/>
      <c r="D4843" s="21"/>
      <c r="E4843" s="22"/>
      <c r="G4843" s="23"/>
      <c r="H4843" s="24"/>
      <c r="Q4843" s="2"/>
      <c r="R4843" s="2"/>
    </row>
    <row r="4844" spans="1:18" ht="15.75" customHeight="1" x14ac:dyDescent="0.3">
      <c r="A4844" s="11"/>
      <c r="B4844" s="11"/>
      <c r="D4844" s="21"/>
      <c r="E4844" s="22"/>
      <c r="G4844" s="23"/>
      <c r="H4844" s="24"/>
      <c r="Q4844" s="2"/>
      <c r="R4844" s="2"/>
    </row>
    <row r="4845" spans="1:18" ht="15.75" customHeight="1" x14ac:dyDescent="0.3">
      <c r="A4845" s="11"/>
      <c r="B4845" s="11"/>
      <c r="D4845" s="21"/>
      <c r="E4845" s="22"/>
      <c r="G4845" s="23"/>
      <c r="H4845" s="24"/>
      <c r="Q4845" s="2"/>
      <c r="R4845" s="2"/>
    </row>
    <row r="4846" spans="1:18" ht="15.75" customHeight="1" x14ac:dyDescent="0.3">
      <c r="A4846" s="11"/>
      <c r="B4846" s="11"/>
      <c r="D4846" s="21"/>
      <c r="E4846" s="22"/>
      <c r="G4846" s="23"/>
      <c r="H4846" s="24"/>
      <c r="Q4846" s="2"/>
      <c r="R4846" s="2"/>
    </row>
    <row r="4847" spans="1:18" ht="15.75" customHeight="1" x14ac:dyDescent="0.3">
      <c r="A4847" s="11"/>
      <c r="B4847" s="11"/>
      <c r="D4847" s="21"/>
      <c r="E4847" s="22"/>
      <c r="G4847" s="23"/>
      <c r="H4847" s="24"/>
      <c r="Q4847" s="2"/>
      <c r="R4847" s="2"/>
    </row>
    <row r="4848" spans="1:18" ht="15.75" customHeight="1" x14ac:dyDescent="0.3">
      <c r="A4848" s="11"/>
      <c r="B4848" s="11"/>
      <c r="D4848" s="21"/>
      <c r="E4848" s="22"/>
      <c r="G4848" s="23"/>
      <c r="H4848" s="24"/>
      <c r="Q4848" s="2"/>
      <c r="R4848" s="2"/>
    </row>
    <row r="4849" spans="1:18" ht="15.75" customHeight="1" x14ac:dyDescent="0.3">
      <c r="A4849" s="11"/>
      <c r="B4849" s="11"/>
      <c r="D4849" s="21"/>
      <c r="E4849" s="22"/>
      <c r="G4849" s="23"/>
      <c r="H4849" s="24"/>
      <c r="Q4849" s="2"/>
      <c r="R4849" s="2"/>
    </row>
    <row r="4850" spans="1:18" ht="15.75" customHeight="1" x14ac:dyDescent="0.3">
      <c r="A4850" s="11"/>
      <c r="B4850" s="11"/>
      <c r="D4850" s="21"/>
      <c r="E4850" s="22"/>
      <c r="G4850" s="23"/>
      <c r="H4850" s="24"/>
      <c r="Q4850" s="2"/>
      <c r="R4850" s="2"/>
    </row>
    <row r="4851" spans="1:18" ht="15.75" customHeight="1" x14ac:dyDescent="0.3">
      <c r="A4851" s="11"/>
      <c r="B4851" s="11"/>
      <c r="D4851" s="21"/>
      <c r="E4851" s="22"/>
      <c r="G4851" s="23"/>
      <c r="H4851" s="24"/>
      <c r="Q4851" s="2"/>
      <c r="R4851" s="2"/>
    </row>
    <row r="4852" spans="1:18" ht="15.75" customHeight="1" x14ac:dyDescent="0.3">
      <c r="A4852" s="11"/>
      <c r="B4852" s="11"/>
      <c r="D4852" s="21"/>
      <c r="E4852" s="22"/>
      <c r="G4852" s="23"/>
      <c r="H4852" s="24"/>
      <c r="Q4852" s="2"/>
      <c r="R4852" s="2"/>
    </row>
    <row r="4853" spans="1:18" ht="15.75" customHeight="1" x14ac:dyDescent="0.3">
      <c r="A4853" s="11"/>
      <c r="B4853" s="11"/>
      <c r="D4853" s="21"/>
      <c r="E4853" s="22"/>
      <c r="G4853" s="23"/>
      <c r="H4853" s="24"/>
      <c r="Q4853" s="2"/>
      <c r="R4853" s="2"/>
    </row>
    <row r="4854" spans="1:18" ht="15.75" customHeight="1" x14ac:dyDescent="0.3">
      <c r="A4854" s="11"/>
      <c r="B4854" s="11"/>
      <c r="D4854" s="21"/>
      <c r="E4854" s="22"/>
      <c r="G4854" s="23"/>
      <c r="H4854" s="24"/>
      <c r="Q4854" s="2"/>
      <c r="R4854" s="2"/>
    </row>
    <row r="4855" spans="1:18" ht="15.75" customHeight="1" x14ac:dyDescent="0.3">
      <c r="A4855" s="11"/>
      <c r="B4855" s="11"/>
      <c r="D4855" s="21"/>
      <c r="E4855" s="22"/>
      <c r="G4855" s="23"/>
      <c r="H4855" s="24"/>
      <c r="Q4855" s="2"/>
      <c r="R4855" s="2"/>
    </row>
    <row r="4856" spans="1:18" ht="15.75" customHeight="1" x14ac:dyDescent="0.3">
      <c r="A4856" s="11"/>
      <c r="B4856" s="11"/>
      <c r="D4856" s="21"/>
      <c r="E4856" s="22"/>
      <c r="G4856" s="23"/>
      <c r="H4856" s="24"/>
      <c r="Q4856" s="2"/>
      <c r="R4856" s="2"/>
    </row>
    <row r="4857" spans="1:18" ht="15.75" customHeight="1" x14ac:dyDescent="0.3">
      <c r="A4857" s="11"/>
      <c r="B4857" s="11"/>
      <c r="D4857" s="21"/>
      <c r="E4857" s="22"/>
      <c r="G4857" s="23"/>
      <c r="H4857" s="24"/>
      <c r="Q4857" s="2"/>
      <c r="R4857" s="2"/>
    </row>
    <row r="4858" spans="1:18" ht="15.75" customHeight="1" x14ac:dyDescent="0.3">
      <c r="A4858" s="11"/>
      <c r="B4858" s="11"/>
      <c r="D4858" s="21"/>
      <c r="E4858" s="22"/>
      <c r="G4858" s="23"/>
      <c r="H4858" s="24"/>
      <c r="Q4858" s="2"/>
      <c r="R4858" s="2"/>
    </row>
    <row r="4859" spans="1:18" ht="15.75" customHeight="1" x14ac:dyDescent="0.3">
      <c r="A4859" s="11"/>
      <c r="B4859" s="11"/>
      <c r="D4859" s="21"/>
      <c r="E4859" s="22"/>
      <c r="G4859" s="23"/>
      <c r="H4859" s="24"/>
      <c r="Q4859" s="2"/>
      <c r="R4859" s="2"/>
    </row>
    <row r="4860" spans="1:18" ht="15.75" customHeight="1" x14ac:dyDescent="0.3">
      <c r="A4860" s="11"/>
      <c r="B4860" s="11"/>
      <c r="D4860" s="21"/>
      <c r="E4860" s="22"/>
      <c r="G4860" s="23"/>
      <c r="H4860" s="24"/>
      <c r="Q4860" s="2"/>
      <c r="R4860" s="2"/>
    </row>
    <row r="4861" spans="1:18" ht="15.75" customHeight="1" x14ac:dyDescent="0.3">
      <c r="A4861" s="11"/>
      <c r="B4861" s="11"/>
      <c r="D4861" s="21"/>
      <c r="E4861" s="22"/>
      <c r="G4861" s="23"/>
      <c r="H4861" s="24"/>
      <c r="Q4861" s="2"/>
      <c r="R4861" s="2"/>
    </row>
    <row r="4862" spans="1:18" ht="15.75" customHeight="1" x14ac:dyDescent="0.3">
      <c r="A4862" s="11"/>
      <c r="B4862" s="11"/>
      <c r="D4862" s="21"/>
      <c r="E4862" s="22"/>
      <c r="G4862" s="23"/>
      <c r="H4862" s="24"/>
      <c r="Q4862" s="2"/>
      <c r="R4862" s="2"/>
    </row>
    <row r="4863" spans="1:18" ht="15.75" customHeight="1" x14ac:dyDescent="0.3">
      <c r="A4863" s="11"/>
      <c r="B4863" s="11"/>
      <c r="D4863" s="21"/>
      <c r="E4863" s="22"/>
      <c r="G4863" s="23"/>
      <c r="H4863" s="24"/>
      <c r="Q4863" s="2"/>
      <c r="R4863" s="2"/>
    </row>
    <row r="4864" spans="1:18" ht="15.75" customHeight="1" x14ac:dyDescent="0.3">
      <c r="A4864" s="11"/>
      <c r="B4864" s="11"/>
      <c r="D4864" s="21"/>
      <c r="E4864" s="22"/>
      <c r="G4864" s="23"/>
      <c r="H4864" s="24"/>
      <c r="Q4864" s="2"/>
      <c r="R4864" s="2"/>
    </row>
    <row r="4865" spans="1:18" ht="15.75" customHeight="1" x14ac:dyDescent="0.3">
      <c r="A4865" s="11"/>
      <c r="B4865" s="11"/>
      <c r="D4865" s="21"/>
      <c r="E4865" s="22"/>
      <c r="G4865" s="23"/>
      <c r="H4865" s="24"/>
      <c r="Q4865" s="2"/>
      <c r="R4865" s="2"/>
    </row>
    <row r="4866" spans="1:18" ht="15.75" customHeight="1" x14ac:dyDescent="0.3">
      <c r="A4866" s="11"/>
      <c r="B4866" s="11"/>
      <c r="D4866" s="21"/>
      <c r="E4866" s="22"/>
      <c r="G4866" s="23"/>
      <c r="H4866" s="24"/>
      <c r="Q4866" s="2"/>
      <c r="R4866" s="2"/>
    </row>
    <row r="4867" spans="1:18" ht="15.75" customHeight="1" x14ac:dyDescent="0.3">
      <c r="A4867" s="11"/>
      <c r="B4867" s="11"/>
      <c r="D4867" s="21"/>
      <c r="E4867" s="22"/>
      <c r="G4867" s="23"/>
      <c r="H4867" s="24"/>
      <c r="Q4867" s="2"/>
      <c r="R4867" s="2"/>
    </row>
    <row r="4868" spans="1:18" ht="15.75" customHeight="1" x14ac:dyDescent="0.3">
      <c r="A4868" s="11"/>
      <c r="B4868" s="11"/>
      <c r="D4868" s="21"/>
      <c r="E4868" s="22"/>
      <c r="G4868" s="23"/>
      <c r="H4868" s="24"/>
      <c r="Q4868" s="2"/>
      <c r="R4868" s="2"/>
    </row>
    <row r="4869" spans="1:18" ht="15.75" customHeight="1" x14ac:dyDescent="0.3">
      <c r="A4869" s="11"/>
      <c r="B4869" s="11"/>
      <c r="D4869" s="21"/>
      <c r="E4869" s="22"/>
      <c r="G4869" s="23"/>
      <c r="H4869" s="24"/>
      <c r="Q4869" s="2"/>
      <c r="R4869" s="2"/>
    </row>
    <row r="4870" spans="1:18" ht="15.75" customHeight="1" x14ac:dyDescent="0.3">
      <c r="A4870" s="11"/>
      <c r="B4870" s="11"/>
      <c r="D4870" s="21"/>
      <c r="E4870" s="22"/>
      <c r="G4870" s="23"/>
      <c r="H4870" s="24"/>
      <c r="Q4870" s="2"/>
      <c r="R4870" s="2"/>
    </row>
    <row r="4871" spans="1:18" ht="15.75" customHeight="1" x14ac:dyDescent="0.3">
      <c r="A4871" s="11"/>
      <c r="B4871" s="11"/>
      <c r="D4871" s="21"/>
      <c r="E4871" s="22"/>
      <c r="G4871" s="23"/>
      <c r="H4871" s="24"/>
      <c r="Q4871" s="2"/>
      <c r="R4871" s="2"/>
    </row>
    <row r="4872" spans="1:18" ht="15.75" customHeight="1" x14ac:dyDescent="0.3">
      <c r="A4872" s="11"/>
      <c r="B4872" s="11"/>
      <c r="D4872" s="21"/>
      <c r="E4872" s="22"/>
      <c r="G4872" s="23"/>
      <c r="H4872" s="24"/>
      <c r="Q4872" s="2"/>
      <c r="R4872" s="2"/>
    </row>
    <row r="4873" spans="1:18" ht="15.75" customHeight="1" x14ac:dyDescent="0.3">
      <c r="A4873" s="11"/>
      <c r="B4873" s="11"/>
      <c r="D4873" s="21"/>
      <c r="E4873" s="22"/>
      <c r="G4873" s="23"/>
      <c r="H4873" s="24"/>
      <c r="Q4873" s="2"/>
      <c r="R4873" s="2"/>
    </row>
    <row r="4874" spans="1:18" ht="15.75" customHeight="1" x14ac:dyDescent="0.3">
      <c r="A4874" s="11"/>
      <c r="B4874" s="11"/>
      <c r="D4874" s="21"/>
      <c r="E4874" s="22"/>
      <c r="G4874" s="23"/>
      <c r="H4874" s="24"/>
      <c r="Q4874" s="2"/>
      <c r="R4874" s="2"/>
    </row>
    <row r="4875" spans="1:18" ht="15.75" customHeight="1" x14ac:dyDescent="0.3">
      <c r="A4875" s="11"/>
      <c r="B4875" s="11"/>
      <c r="D4875" s="21"/>
      <c r="E4875" s="22"/>
      <c r="G4875" s="23"/>
      <c r="H4875" s="24"/>
      <c r="Q4875" s="2"/>
      <c r="R4875" s="2"/>
    </row>
    <row r="4876" spans="1:18" ht="15.75" customHeight="1" x14ac:dyDescent="0.3">
      <c r="A4876" s="11"/>
      <c r="B4876" s="11"/>
      <c r="D4876" s="21"/>
      <c r="E4876" s="22"/>
      <c r="G4876" s="23"/>
      <c r="H4876" s="24"/>
      <c r="Q4876" s="2"/>
      <c r="R4876" s="2"/>
    </row>
    <row r="4877" spans="1:18" ht="15.75" customHeight="1" x14ac:dyDescent="0.3">
      <c r="A4877" s="11"/>
      <c r="B4877" s="11"/>
      <c r="D4877" s="21"/>
      <c r="E4877" s="22"/>
      <c r="G4877" s="23"/>
      <c r="H4877" s="24"/>
      <c r="Q4877" s="2"/>
      <c r="R4877" s="2"/>
    </row>
    <row r="4878" spans="1:18" ht="15.75" customHeight="1" x14ac:dyDescent="0.3">
      <c r="A4878" s="11"/>
      <c r="B4878" s="11"/>
      <c r="D4878" s="21"/>
      <c r="E4878" s="22"/>
      <c r="G4878" s="23"/>
      <c r="H4878" s="24"/>
      <c r="Q4878" s="2"/>
      <c r="R4878" s="2"/>
    </row>
    <row r="4879" spans="1:18" ht="15.75" customHeight="1" x14ac:dyDescent="0.3">
      <c r="A4879" s="11"/>
      <c r="B4879" s="11"/>
      <c r="D4879" s="21"/>
      <c r="E4879" s="22"/>
      <c r="G4879" s="23"/>
      <c r="H4879" s="24"/>
      <c r="Q4879" s="2"/>
      <c r="R4879" s="2"/>
    </row>
    <row r="4880" spans="1:18" ht="15.75" customHeight="1" x14ac:dyDescent="0.3">
      <c r="A4880" s="11"/>
      <c r="B4880" s="11"/>
      <c r="D4880" s="21"/>
      <c r="E4880" s="22"/>
      <c r="G4880" s="23"/>
      <c r="H4880" s="24"/>
      <c r="Q4880" s="2"/>
      <c r="R4880" s="2"/>
    </row>
    <row r="4881" spans="1:18" ht="15.75" customHeight="1" x14ac:dyDescent="0.3">
      <c r="A4881" s="11"/>
      <c r="B4881" s="11"/>
      <c r="D4881" s="21"/>
      <c r="E4881" s="22"/>
      <c r="G4881" s="23"/>
      <c r="H4881" s="24"/>
      <c r="Q4881" s="2"/>
      <c r="R4881" s="2"/>
    </row>
    <row r="4882" spans="1:18" ht="15.75" customHeight="1" x14ac:dyDescent="0.3">
      <c r="A4882" s="11"/>
      <c r="B4882" s="11"/>
      <c r="D4882" s="21"/>
      <c r="E4882" s="22"/>
      <c r="G4882" s="23"/>
      <c r="H4882" s="24"/>
      <c r="Q4882" s="2"/>
      <c r="R4882" s="2"/>
    </row>
    <row r="4883" spans="1:18" ht="15.75" customHeight="1" x14ac:dyDescent="0.3">
      <c r="A4883" s="11"/>
      <c r="B4883" s="11"/>
      <c r="D4883" s="21"/>
      <c r="E4883" s="22"/>
      <c r="G4883" s="23"/>
      <c r="H4883" s="24"/>
      <c r="Q4883" s="2"/>
      <c r="R4883" s="2"/>
    </row>
    <row r="4884" spans="1:18" ht="15.75" customHeight="1" x14ac:dyDescent="0.3">
      <c r="A4884" s="11"/>
      <c r="B4884" s="11"/>
      <c r="D4884" s="21"/>
      <c r="E4884" s="22"/>
      <c r="G4884" s="23"/>
      <c r="H4884" s="24"/>
      <c r="Q4884" s="2"/>
      <c r="R4884" s="2"/>
    </row>
    <row r="4885" spans="1:18" ht="15.75" customHeight="1" x14ac:dyDescent="0.3">
      <c r="A4885" s="11"/>
      <c r="B4885" s="11"/>
      <c r="D4885" s="21"/>
      <c r="E4885" s="22"/>
      <c r="G4885" s="23"/>
      <c r="H4885" s="24"/>
      <c r="Q4885" s="2"/>
      <c r="R4885" s="2"/>
    </row>
    <row r="4886" spans="1:18" ht="15.75" customHeight="1" x14ac:dyDescent="0.3">
      <c r="A4886" s="11"/>
      <c r="B4886" s="11"/>
      <c r="D4886" s="21"/>
      <c r="E4886" s="22"/>
      <c r="G4886" s="23"/>
      <c r="H4886" s="24"/>
      <c r="Q4886" s="2"/>
      <c r="R4886" s="2"/>
    </row>
    <row r="4887" spans="1:18" ht="15.75" customHeight="1" x14ac:dyDescent="0.3">
      <c r="A4887" s="11"/>
      <c r="B4887" s="11"/>
      <c r="D4887" s="21"/>
      <c r="E4887" s="22"/>
      <c r="G4887" s="23"/>
      <c r="H4887" s="24"/>
      <c r="Q4887" s="2"/>
      <c r="R4887" s="2"/>
    </row>
    <row r="4888" spans="1:18" ht="15.75" customHeight="1" x14ac:dyDescent="0.3">
      <c r="A4888" s="11"/>
      <c r="B4888" s="11"/>
      <c r="D4888" s="21"/>
      <c r="E4888" s="22"/>
      <c r="G4888" s="23"/>
      <c r="H4888" s="24"/>
      <c r="Q4888" s="2"/>
      <c r="R4888" s="2"/>
    </row>
    <row r="4889" spans="1:18" ht="15.75" customHeight="1" x14ac:dyDescent="0.3">
      <c r="A4889" s="11"/>
      <c r="B4889" s="11"/>
      <c r="D4889" s="21"/>
      <c r="E4889" s="22"/>
      <c r="G4889" s="23"/>
      <c r="H4889" s="24"/>
      <c r="Q4889" s="2"/>
      <c r="R4889" s="2"/>
    </row>
    <row r="4890" spans="1:18" ht="15.75" customHeight="1" x14ac:dyDescent="0.3">
      <c r="A4890" s="11"/>
      <c r="B4890" s="11"/>
      <c r="D4890" s="21"/>
      <c r="E4890" s="22"/>
      <c r="G4890" s="23"/>
      <c r="H4890" s="24"/>
      <c r="Q4890" s="2"/>
      <c r="R4890" s="2"/>
    </row>
    <row r="4891" spans="1:18" ht="15.75" customHeight="1" x14ac:dyDescent="0.3">
      <c r="A4891" s="11"/>
      <c r="B4891" s="11"/>
      <c r="D4891" s="21"/>
      <c r="E4891" s="22"/>
      <c r="G4891" s="23"/>
      <c r="H4891" s="24"/>
      <c r="Q4891" s="2"/>
      <c r="R4891" s="2"/>
    </row>
    <row r="4892" spans="1:18" ht="15.75" customHeight="1" x14ac:dyDescent="0.3">
      <c r="A4892" s="11"/>
      <c r="B4892" s="11"/>
      <c r="D4892" s="21"/>
      <c r="E4892" s="22"/>
      <c r="G4892" s="23"/>
      <c r="H4892" s="24"/>
      <c r="Q4892" s="2"/>
      <c r="R4892" s="2"/>
    </row>
    <row r="4893" spans="1:18" ht="15.75" customHeight="1" x14ac:dyDescent="0.3">
      <c r="A4893" s="11"/>
      <c r="B4893" s="11"/>
      <c r="D4893" s="21"/>
      <c r="E4893" s="22"/>
      <c r="G4893" s="23"/>
      <c r="H4893" s="24"/>
      <c r="Q4893" s="2"/>
      <c r="R4893" s="2"/>
    </row>
    <row r="4894" spans="1:18" ht="15.75" customHeight="1" x14ac:dyDescent="0.3">
      <c r="A4894" s="11"/>
      <c r="B4894" s="11"/>
      <c r="D4894" s="21"/>
      <c r="E4894" s="22"/>
      <c r="G4894" s="23"/>
      <c r="H4894" s="24"/>
      <c r="Q4894" s="2"/>
      <c r="R4894" s="2"/>
    </row>
    <row r="4895" spans="1:18" ht="15.75" customHeight="1" x14ac:dyDescent="0.3">
      <c r="A4895" s="11"/>
      <c r="B4895" s="11"/>
      <c r="D4895" s="21"/>
      <c r="E4895" s="22"/>
      <c r="G4895" s="23"/>
      <c r="H4895" s="24"/>
      <c r="Q4895" s="2"/>
      <c r="R4895" s="2"/>
    </row>
    <row r="4896" spans="1:18" ht="15.75" customHeight="1" x14ac:dyDescent="0.3">
      <c r="A4896" s="11"/>
      <c r="B4896" s="11"/>
      <c r="D4896" s="21"/>
      <c r="E4896" s="22"/>
      <c r="G4896" s="23"/>
      <c r="H4896" s="24"/>
      <c r="Q4896" s="2"/>
      <c r="R4896" s="2"/>
    </row>
    <row r="4897" spans="1:18" ht="15.75" customHeight="1" x14ac:dyDescent="0.3">
      <c r="A4897" s="11"/>
      <c r="B4897" s="11"/>
      <c r="D4897" s="21"/>
      <c r="E4897" s="22"/>
      <c r="G4897" s="23"/>
      <c r="H4897" s="24"/>
      <c r="Q4897" s="2"/>
      <c r="R4897" s="2"/>
    </row>
    <row r="4898" spans="1:18" ht="15.75" customHeight="1" x14ac:dyDescent="0.3">
      <c r="A4898" s="11"/>
      <c r="B4898" s="11"/>
      <c r="D4898" s="21"/>
      <c r="E4898" s="22"/>
      <c r="G4898" s="23"/>
      <c r="H4898" s="24"/>
      <c r="Q4898" s="2"/>
      <c r="R4898" s="2"/>
    </row>
    <row r="4899" spans="1:18" ht="15.75" customHeight="1" x14ac:dyDescent="0.3">
      <c r="A4899" s="11"/>
      <c r="B4899" s="11"/>
      <c r="D4899" s="21"/>
      <c r="E4899" s="22"/>
      <c r="G4899" s="23"/>
      <c r="H4899" s="24"/>
      <c r="Q4899" s="2"/>
      <c r="R4899" s="2"/>
    </row>
    <row r="4900" spans="1:18" ht="15.75" customHeight="1" x14ac:dyDescent="0.3">
      <c r="A4900" s="11"/>
      <c r="B4900" s="11"/>
      <c r="D4900" s="21"/>
      <c r="E4900" s="22"/>
      <c r="G4900" s="23"/>
      <c r="H4900" s="24"/>
      <c r="Q4900" s="2"/>
      <c r="R4900" s="2"/>
    </row>
    <row r="4901" spans="1:18" ht="15.75" customHeight="1" x14ac:dyDescent="0.3">
      <c r="A4901" s="11"/>
      <c r="B4901" s="11"/>
      <c r="D4901" s="21"/>
      <c r="E4901" s="22"/>
      <c r="G4901" s="23"/>
      <c r="H4901" s="24"/>
      <c r="Q4901" s="2"/>
      <c r="R4901" s="2"/>
    </row>
    <row r="4902" spans="1:18" ht="15.75" customHeight="1" x14ac:dyDescent="0.3">
      <c r="A4902" s="11"/>
      <c r="B4902" s="11"/>
      <c r="D4902" s="21"/>
      <c r="E4902" s="22"/>
      <c r="G4902" s="23"/>
      <c r="H4902" s="24"/>
      <c r="Q4902" s="2"/>
      <c r="R4902" s="2"/>
    </row>
    <row r="4903" spans="1:18" ht="15.75" customHeight="1" x14ac:dyDescent="0.3">
      <c r="A4903" s="11"/>
      <c r="B4903" s="11"/>
      <c r="D4903" s="21"/>
      <c r="E4903" s="22"/>
      <c r="G4903" s="23"/>
      <c r="H4903" s="24"/>
      <c r="Q4903" s="2"/>
      <c r="R4903" s="2"/>
    </row>
    <row r="4904" spans="1:18" ht="15.75" customHeight="1" x14ac:dyDescent="0.3">
      <c r="A4904" s="11"/>
      <c r="B4904" s="11"/>
      <c r="D4904" s="21"/>
      <c r="E4904" s="22"/>
      <c r="G4904" s="23"/>
      <c r="H4904" s="24"/>
      <c r="Q4904" s="2"/>
      <c r="R4904" s="2"/>
    </row>
    <row r="4905" spans="1:18" ht="15.75" customHeight="1" x14ac:dyDescent="0.3">
      <c r="A4905" s="11"/>
      <c r="B4905" s="11"/>
      <c r="D4905" s="21"/>
      <c r="E4905" s="22"/>
      <c r="G4905" s="23"/>
      <c r="H4905" s="24"/>
      <c r="Q4905" s="2"/>
      <c r="R4905" s="2"/>
    </row>
    <row r="4906" spans="1:18" ht="15.75" customHeight="1" x14ac:dyDescent="0.3">
      <c r="A4906" s="11"/>
      <c r="B4906" s="11"/>
      <c r="D4906" s="21"/>
      <c r="E4906" s="22"/>
      <c r="G4906" s="23"/>
      <c r="H4906" s="24"/>
      <c r="Q4906" s="2"/>
      <c r="R4906" s="2"/>
    </row>
    <row r="4907" spans="1:18" ht="15.75" customHeight="1" x14ac:dyDescent="0.3">
      <c r="A4907" s="11"/>
      <c r="B4907" s="11"/>
      <c r="D4907" s="21"/>
      <c r="E4907" s="22"/>
      <c r="G4907" s="23"/>
      <c r="H4907" s="24"/>
      <c r="Q4907" s="2"/>
      <c r="R4907" s="2"/>
    </row>
    <row r="4908" spans="1:18" ht="15.75" customHeight="1" x14ac:dyDescent="0.3">
      <c r="A4908" s="11"/>
      <c r="B4908" s="11"/>
      <c r="D4908" s="21"/>
      <c r="E4908" s="22"/>
      <c r="G4908" s="23"/>
      <c r="H4908" s="24"/>
      <c r="Q4908" s="2"/>
      <c r="R4908" s="2"/>
    </row>
    <row r="4909" spans="1:18" ht="15.75" customHeight="1" x14ac:dyDescent="0.3">
      <c r="A4909" s="11"/>
      <c r="B4909" s="11"/>
      <c r="D4909" s="21"/>
      <c r="E4909" s="22"/>
      <c r="G4909" s="23"/>
      <c r="H4909" s="24"/>
      <c r="Q4909" s="2"/>
      <c r="R4909" s="2"/>
    </row>
    <row r="4910" spans="1:18" ht="15.75" customHeight="1" x14ac:dyDescent="0.3">
      <c r="A4910" s="11"/>
      <c r="B4910" s="11"/>
      <c r="D4910" s="21"/>
      <c r="E4910" s="22"/>
      <c r="G4910" s="23"/>
      <c r="H4910" s="24"/>
      <c r="Q4910" s="2"/>
      <c r="R4910" s="2"/>
    </row>
    <row r="4911" spans="1:18" ht="15.75" customHeight="1" x14ac:dyDescent="0.3">
      <c r="A4911" s="11"/>
      <c r="B4911" s="11"/>
      <c r="D4911" s="21"/>
      <c r="E4911" s="22"/>
      <c r="G4911" s="23"/>
      <c r="H4911" s="24"/>
      <c r="Q4911" s="2"/>
      <c r="R4911" s="2"/>
    </row>
    <row r="4912" spans="1:18" ht="15.75" customHeight="1" x14ac:dyDescent="0.3">
      <c r="A4912" s="11"/>
      <c r="B4912" s="11"/>
      <c r="D4912" s="21"/>
      <c r="E4912" s="22"/>
      <c r="G4912" s="23"/>
      <c r="H4912" s="24"/>
      <c r="Q4912" s="2"/>
      <c r="R4912" s="2"/>
    </row>
    <row r="4913" spans="1:18" ht="15.75" customHeight="1" x14ac:dyDescent="0.3">
      <c r="A4913" s="11"/>
      <c r="B4913" s="11"/>
      <c r="D4913" s="21"/>
      <c r="E4913" s="22"/>
      <c r="G4913" s="23"/>
      <c r="H4913" s="24"/>
      <c r="Q4913" s="2"/>
      <c r="R4913" s="2"/>
    </row>
    <row r="4914" spans="1:18" ht="15.75" customHeight="1" x14ac:dyDescent="0.3">
      <c r="A4914" s="11"/>
      <c r="B4914" s="11"/>
      <c r="D4914" s="21"/>
      <c r="E4914" s="22"/>
      <c r="G4914" s="23"/>
      <c r="H4914" s="24"/>
      <c r="Q4914" s="2"/>
      <c r="R4914" s="2"/>
    </row>
    <row r="4915" spans="1:18" ht="15.75" customHeight="1" x14ac:dyDescent="0.3">
      <c r="A4915" s="11"/>
      <c r="B4915" s="11"/>
      <c r="D4915" s="21"/>
      <c r="E4915" s="22"/>
      <c r="G4915" s="23"/>
      <c r="H4915" s="24"/>
      <c r="Q4915" s="2"/>
      <c r="R4915" s="2"/>
    </row>
    <row r="4916" spans="1:18" ht="15.75" customHeight="1" x14ac:dyDescent="0.3">
      <c r="A4916" s="11"/>
      <c r="B4916" s="11"/>
      <c r="D4916" s="21"/>
      <c r="E4916" s="22"/>
      <c r="G4916" s="23"/>
      <c r="H4916" s="24"/>
      <c r="Q4916" s="2"/>
      <c r="R4916" s="2"/>
    </row>
    <row r="4917" spans="1:18" ht="15.75" customHeight="1" x14ac:dyDescent="0.3">
      <c r="A4917" s="11"/>
      <c r="B4917" s="11"/>
      <c r="D4917" s="21"/>
      <c r="E4917" s="22"/>
      <c r="G4917" s="23"/>
      <c r="H4917" s="24"/>
      <c r="Q4917" s="2"/>
      <c r="R4917" s="2"/>
    </row>
    <row r="4918" spans="1:18" ht="15.75" customHeight="1" x14ac:dyDescent="0.3">
      <c r="A4918" s="11"/>
      <c r="B4918" s="11"/>
      <c r="D4918" s="21"/>
      <c r="E4918" s="22"/>
      <c r="G4918" s="23"/>
      <c r="H4918" s="24"/>
      <c r="Q4918" s="2"/>
      <c r="R4918" s="2"/>
    </row>
    <row r="4919" spans="1:18" ht="15.75" customHeight="1" x14ac:dyDescent="0.3">
      <c r="A4919" s="11"/>
      <c r="B4919" s="11"/>
      <c r="D4919" s="21"/>
      <c r="E4919" s="22"/>
      <c r="G4919" s="23"/>
      <c r="H4919" s="24"/>
      <c r="Q4919" s="2"/>
      <c r="R4919" s="2"/>
    </row>
    <row r="4920" spans="1:18" ht="15.75" customHeight="1" x14ac:dyDescent="0.3">
      <c r="A4920" s="11"/>
      <c r="B4920" s="11"/>
      <c r="D4920" s="21"/>
      <c r="E4920" s="22"/>
      <c r="G4920" s="23"/>
      <c r="H4920" s="24"/>
      <c r="Q4920" s="2"/>
      <c r="R4920" s="2"/>
    </row>
    <row r="4921" spans="1:18" ht="15.75" customHeight="1" x14ac:dyDescent="0.3">
      <c r="A4921" s="11"/>
      <c r="B4921" s="11"/>
      <c r="D4921" s="21"/>
      <c r="E4921" s="22"/>
      <c r="G4921" s="23"/>
      <c r="H4921" s="24"/>
      <c r="Q4921" s="2"/>
      <c r="R4921" s="2"/>
    </row>
    <row r="4922" spans="1:18" ht="15.75" customHeight="1" x14ac:dyDescent="0.3">
      <c r="A4922" s="11"/>
      <c r="B4922" s="11"/>
      <c r="D4922" s="21"/>
      <c r="E4922" s="22"/>
      <c r="G4922" s="23"/>
      <c r="H4922" s="24"/>
      <c r="Q4922" s="2"/>
      <c r="R4922" s="2"/>
    </row>
    <row r="4923" spans="1:18" ht="15.75" customHeight="1" x14ac:dyDescent="0.3">
      <c r="A4923" s="11"/>
      <c r="B4923" s="11"/>
      <c r="D4923" s="21"/>
      <c r="E4923" s="22"/>
      <c r="G4923" s="23"/>
      <c r="H4923" s="24"/>
      <c r="Q4923" s="2"/>
      <c r="R4923" s="2"/>
    </row>
    <row r="4924" spans="1:18" ht="15.75" customHeight="1" x14ac:dyDescent="0.3">
      <c r="A4924" s="11"/>
      <c r="B4924" s="11"/>
      <c r="D4924" s="21"/>
      <c r="E4924" s="22"/>
      <c r="G4924" s="23"/>
      <c r="H4924" s="24"/>
      <c r="Q4924" s="2"/>
      <c r="R4924" s="2"/>
    </row>
    <row r="4925" spans="1:18" ht="15.75" customHeight="1" x14ac:dyDescent="0.3">
      <c r="A4925" s="11"/>
      <c r="B4925" s="11"/>
      <c r="D4925" s="21"/>
      <c r="E4925" s="22"/>
      <c r="G4925" s="23"/>
      <c r="H4925" s="24"/>
      <c r="Q4925" s="2"/>
      <c r="R4925" s="2"/>
    </row>
    <row r="4926" spans="1:18" ht="15.75" customHeight="1" x14ac:dyDescent="0.3">
      <c r="A4926" s="11"/>
      <c r="B4926" s="11"/>
      <c r="D4926" s="21"/>
      <c r="E4926" s="22"/>
      <c r="G4926" s="23"/>
      <c r="H4926" s="24"/>
      <c r="Q4926" s="2"/>
      <c r="R4926" s="2"/>
    </row>
    <row r="4927" spans="1:18" ht="15.75" customHeight="1" x14ac:dyDescent="0.3">
      <c r="A4927" s="11"/>
      <c r="B4927" s="11"/>
      <c r="D4927" s="21"/>
      <c r="E4927" s="22"/>
      <c r="G4927" s="23"/>
      <c r="H4927" s="24"/>
      <c r="Q4927" s="2"/>
      <c r="R4927" s="2"/>
    </row>
    <row r="4928" spans="1:18" ht="15.75" customHeight="1" x14ac:dyDescent="0.3">
      <c r="A4928" s="11"/>
      <c r="B4928" s="11"/>
      <c r="D4928" s="21"/>
      <c r="E4928" s="22"/>
      <c r="G4928" s="23"/>
      <c r="H4928" s="24"/>
      <c r="Q4928" s="2"/>
      <c r="R4928" s="2"/>
    </row>
    <row r="4929" spans="1:18" ht="15.75" customHeight="1" x14ac:dyDescent="0.3">
      <c r="A4929" s="11"/>
      <c r="B4929" s="11"/>
      <c r="D4929" s="21"/>
      <c r="E4929" s="22"/>
      <c r="G4929" s="23"/>
      <c r="H4929" s="24"/>
      <c r="Q4929" s="2"/>
      <c r="R4929" s="2"/>
    </row>
    <row r="4930" spans="1:18" ht="15.75" customHeight="1" x14ac:dyDescent="0.3">
      <c r="A4930" s="11"/>
      <c r="B4930" s="11"/>
      <c r="D4930" s="21"/>
      <c r="E4930" s="22"/>
      <c r="G4930" s="23"/>
      <c r="H4930" s="24"/>
      <c r="Q4930" s="2"/>
      <c r="R4930" s="2"/>
    </row>
    <row r="4931" spans="1:18" ht="15.75" customHeight="1" x14ac:dyDescent="0.3">
      <c r="A4931" s="11"/>
      <c r="B4931" s="11"/>
      <c r="D4931" s="21"/>
      <c r="E4931" s="22"/>
      <c r="G4931" s="23"/>
      <c r="H4931" s="24"/>
      <c r="Q4931" s="2"/>
      <c r="R4931" s="2"/>
    </row>
    <row r="4932" spans="1:18" ht="15.75" customHeight="1" x14ac:dyDescent="0.3">
      <c r="A4932" s="11"/>
      <c r="B4932" s="11"/>
      <c r="D4932" s="21"/>
      <c r="E4932" s="22"/>
      <c r="G4932" s="23"/>
      <c r="H4932" s="24"/>
      <c r="Q4932" s="2"/>
      <c r="R4932" s="2"/>
    </row>
    <row r="4933" spans="1:18" ht="15.75" customHeight="1" x14ac:dyDescent="0.3">
      <c r="A4933" s="11"/>
      <c r="B4933" s="11"/>
      <c r="D4933" s="21"/>
      <c r="E4933" s="22"/>
      <c r="G4933" s="23"/>
      <c r="H4933" s="24"/>
      <c r="Q4933" s="2"/>
      <c r="R4933" s="2"/>
    </row>
    <row r="4934" spans="1:18" ht="15.75" customHeight="1" x14ac:dyDescent="0.3">
      <c r="A4934" s="11"/>
      <c r="B4934" s="11"/>
      <c r="D4934" s="21"/>
      <c r="E4934" s="22"/>
      <c r="G4934" s="23"/>
      <c r="H4934" s="24"/>
      <c r="Q4934" s="2"/>
      <c r="R4934" s="2"/>
    </row>
    <row r="4935" spans="1:18" ht="15.75" customHeight="1" x14ac:dyDescent="0.3">
      <c r="A4935" s="11"/>
      <c r="B4935" s="11"/>
      <c r="D4935" s="21"/>
      <c r="E4935" s="22"/>
      <c r="G4935" s="23"/>
      <c r="H4935" s="24"/>
      <c r="Q4935" s="2"/>
      <c r="R4935" s="2"/>
    </row>
    <row r="4936" spans="1:18" ht="15.75" customHeight="1" x14ac:dyDescent="0.3">
      <c r="A4936" s="11"/>
      <c r="B4936" s="11"/>
      <c r="D4936" s="21"/>
      <c r="E4936" s="22"/>
      <c r="G4936" s="23"/>
      <c r="H4936" s="24"/>
      <c r="Q4936" s="2"/>
      <c r="R4936" s="2"/>
    </row>
    <row r="4937" spans="1:18" ht="15.75" customHeight="1" x14ac:dyDescent="0.3">
      <c r="A4937" s="11"/>
      <c r="B4937" s="11"/>
      <c r="D4937" s="21"/>
      <c r="E4937" s="22"/>
      <c r="G4937" s="23"/>
      <c r="H4937" s="24"/>
      <c r="Q4937" s="2"/>
      <c r="R4937" s="2"/>
    </row>
    <row r="4938" spans="1:18" ht="15.75" customHeight="1" x14ac:dyDescent="0.3">
      <c r="A4938" s="11"/>
      <c r="B4938" s="11"/>
      <c r="D4938" s="21"/>
      <c r="E4938" s="22"/>
      <c r="G4938" s="23"/>
      <c r="H4938" s="24"/>
      <c r="Q4938" s="2"/>
      <c r="R4938" s="2"/>
    </row>
    <row r="4939" spans="1:18" ht="15.75" customHeight="1" x14ac:dyDescent="0.3">
      <c r="A4939" s="11"/>
      <c r="B4939" s="11"/>
      <c r="D4939" s="21"/>
      <c r="E4939" s="22"/>
      <c r="G4939" s="23"/>
      <c r="H4939" s="24"/>
      <c r="Q4939" s="2"/>
      <c r="R4939" s="2"/>
    </row>
    <row r="4940" spans="1:18" ht="15.75" customHeight="1" x14ac:dyDescent="0.3">
      <c r="A4940" s="11"/>
      <c r="B4940" s="11"/>
      <c r="D4940" s="21"/>
      <c r="E4940" s="22"/>
      <c r="G4940" s="23"/>
      <c r="H4940" s="24"/>
      <c r="Q4940" s="2"/>
      <c r="R4940" s="2"/>
    </row>
    <row r="4941" spans="1:18" ht="15.75" customHeight="1" x14ac:dyDescent="0.3">
      <c r="A4941" s="11"/>
      <c r="B4941" s="11"/>
      <c r="D4941" s="21"/>
      <c r="E4941" s="22"/>
      <c r="G4941" s="23"/>
      <c r="H4941" s="24"/>
      <c r="Q4941" s="2"/>
      <c r="R4941" s="2"/>
    </row>
    <row r="4942" spans="1:18" ht="15.75" customHeight="1" x14ac:dyDescent="0.3">
      <c r="A4942" s="11"/>
      <c r="B4942" s="11"/>
      <c r="D4942" s="21"/>
      <c r="E4942" s="22"/>
      <c r="G4942" s="23"/>
      <c r="H4942" s="24"/>
      <c r="Q4942" s="2"/>
      <c r="R4942" s="2"/>
    </row>
    <row r="4943" spans="1:18" ht="15.75" customHeight="1" x14ac:dyDescent="0.3">
      <c r="A4943" s="11"/>
      <c r="B4943" s="11"/>
      <c r="D4943" s="21"/>
      <c r="E4943" s="22"/>
      <c r="G4943" s="23"/>
      <c r="H4943" s="24"/>
      <c r="Q4943" s="2"/>
      <c r="R4943" s="2"/>
    </row>
    <row r="4944" spans="1:18" ht="15.75" customHeight="1" x14ac:dyDescent="0.3">
      <c r="A4944" s="11"/>
      <c r="B4944" s="11"/>
      <c r="D4944" s="21"/>
      <c r="E4944" s="22"/>
      <c r="G4944" s="23"/>
      <c r="H4944" s="24"/>
      <c r="Q4944" s="2"/>
      <c r="R4944" s="2"/>
    </row>
    <row r="4945" spans="1:18" ht="15.75" customHeight="1" x14ac:dyDescent="0.3">
      <c r="A4945" s="11"/>
      <c r="B4945" s="11"/>
      <c r="D4945" s="21"/>
      <c r="E4945" s="22"/>
      <c r="G4945" s="23"/>
      <c r="H4945" s="24"/>
      <c r="Q4945" s="2"/>
      <c r="R4945" s="2"/>
    </row>
    <row r="4946" spans="1:18" ht="15.75" customHeight="1" x14ac:dyDescent="0.3">
      <c r="A4946" s="11"/>
      <c r="B4946" s="11"/>
      <c r="D4946" s="21"/>
      <c r="E4946" s="22"/>
      <c r="G4946" s="23"/>
      <c r="H4946" s="24"/>
      <c r="Q4946" s="2"/>
      <c r="R4946" s="2"/>
    </row>
    <row r="4947" spans="1:18" ht="15.75" customHeight="1" x14ac:dyDescent="0.3">
      <c r="A4947" s="11"/>
      <c r="B4947" s="11"/>
      <c r="D4947" s="21"/>
      <c r="E4947" s="22"/>
      <c r="G4947" s="23"/>
      <c r="H4947" s="24"/>
      <c r="Q4947" s="2"/>
      <c r="R4947" s="2"/>
    </row>
    <row r="4948" spans="1:18" ht="15.75" customHeight="1" x14ac:dyDescent="0.3">
      <c r="A4948" s="11"/>
      <c r="B4948" s="11"/>
      <c r="D4948" s="21"/>
      <c r="E4948" s="22"/>
      <c r="G4948" s="23"/>
      <c r="H4948" s="24"/>
      <c r="Q4948" s="2"/>
      <c r="R4948" s="2"/>
    </row>
    <row r="4949" spans="1:18" ht="15.75" customHeight="1" x14ac:dyDescent="0.3">
      <c r="A4949" s="11"/>
      <c r="B4949" s="11"/>
      <c r="D4949" s="21"/>
      <c r="E4949" s="22"/>
      <c r="G4949" s="23"/>
      <c r="H4949" s="24"/>
      <c r="Q4949" s="2"/>
      <c r="R4949" s="2"/>
    </row>
    <row r="4950" spans="1:18" ht="15.75" customHeight="1" x14ac:dyDescent="0.3">
      <c r="A4950" s="11"/>
      <c r="B4950" s="11"/>
      <c r="D4950" s="21"/>
      <c r="E4950" s="22"/>
      <c r="G4950" s="23"/>
      <c r="H4950" s="24"/>
      <c r="Q4950" s="2"/>
      <c r="R4950" s="2"/>
    </row>
    <row r="4951" spans="1:18" ht="15.75" customHeight="1" x14ac:dyDescent="0.3">
      <c r="A4951" s="11"/>
      <c r="B4951" s="11"/>
      <c r="D4951" s="21"/>
      <c r="E4951" s="22"/>
      <c r="G4951" s="23"/>
      <c r="H4951" s="24"/>
      <c r="Q4951" s="2"/>
      <c r="R4951" s="2"/>
    </row>
    <row r="4952" spans="1:18" ht="15.75" customHeight="1" x14ac:dyDescent="0.3">
      <c r="A4952" s="11"/>
      <c r="B4952" s="11"/>
      <c r="D4952" s="21"/>
      <c r="E4952" s="22"/>
      <c r="G4952" s="23"/>
      <c r="H4952" s="24"/>
      <c r="Q4952" s="2"/>
      <c r="R4952" s="2"/>
    </row>
    <row r="4953" spans="1:18" ht="15.75" customHeight="1" x14ac:dyDescent="0.3">
      <c r="A4953" s="11"/>
      <c r="B4953" s="11"/>
      <c r="D4953" s="21"/>
      <c r="E4953" s="22"/>
      <c r="G4953" s="23"/>
      <c r="H4953" s="24"/>
      <c r="Q4953" s="2"/>
      <c r="R4953" s="2"/>
    </row>
    <row r="4954" spans="1:18" ht="15.75" customHeight="1" x14ac:dyDescent="0.3">
      <c r="A4954" s="11"/>
      <c r="B4954" s="11"/>
      <c r="D4954" s="21"/>
      <c r="E4954" s="22"/>
      <c r="G4954" s="23"/>
      <c r="H4954" s="24"/>
      <c r="Q4954" s="2"/>
      <c r="R4954" s="2"/>
    </row>
    <row r="4955" spans="1:18" ht="15.75" customHeight="1" x14ac:dyDescent="0.3">
      <c r="A4955" s="11"/>
      <c r="B4955" s="11"/>
      <c r="D4955" s="21"/>
      <c r="E4955" s="22"/>
      <c r="G4955" s="23"/>
      <c r="H4955" s="24"/>
      <c r="Q4955" s="2"/>
      <c r="R4955" s="2"/>
    </row>
    <row r="4956" spans="1:18" ht="15.75" customHeight="1" x14ac:dyDescent="0.3">
      <c r="A4956" s="11"/>
      <c r="B4956" s="11"/>
      <c r="D4956" s="21"/>
      <c r="E4956" s="22"/>
      <c r="G4956" s="23"/>
      <c r="H4956" s="24"/>
      <c r="Q4956" s="2"/>
      <c r="R4956" s="2"/>
    </row>
    <row r="4957" spans="1:18" ht="15.75" customHeight="1" x14ac:dyDescent="0.3">
      <c r="A4957" s="11"/>
      <c r="B4957" s="11"/>
      <c r="D4957" s="21"/>
      <c r="E4957" s="22"/>
      <c r="G4957" s="23"/>
      <c r="H4957" s="24"/>
      <c r="Q4957" s="2"/>
      <c r="R4957" s="2"/>
    </row>
    <row r="4958" spans="1:18" ht="15.75" customHeight="1" x14ac:dyDescent="0.3">
      <c r="A4958" s="11"/>
      <c r="B4958" s="11"/>
      <c r="D4958" s="21"/>
      <c r="E4958" s="22"/>
      <c r="G4958" s="23"/>
      <c r="H4958" s="24"/>
      <c r="Q4958" s="2"/>
      <c r="R4958" s="2"/>
    </row>
    <row r="4959" spans="1:18" ht="15.75" customHeight="1" x14ac:dyDescent="0.3">
      <c r="A4959" s="11"/>
      <c r="B4959" s="11"/>
      <c r="D4959" s="21"/>
      <c r="E4959" s="22"/>
      <c r="G4959" s="23"/>
      <c r="H4959" s="24"/>
      <c r="Q4959" s="2"/>
      <c r="R4959" s="2"/>
    </row>
    <row r="4960" spans="1:18" ht="15.75" customHeight="1" x14ac:dyDescent="0.3">
      <c r="A4960" s="11"/>
      <c r="B4960" s="11"/>
      <c r="D4960" s="21"/>
      <c r="E4960" s="22"/>
      <c r="G4960" s="23"/>
      <c r="H4960" s="24"/>
      <c r="Q4960" s="2"/>
      <c r="R4960" s="2"/>
    </row>
    <row r="4961" spans="1:18" ht="15.75" customHeight="1" x14ac:dyDescent="0.3">
      <c r="A4961" s="11"/>
      <c r="B4961" s="11"/>
      <c r="D4961" s="21"/>
      <c r="E4961" s="22"/>
      <c r="G4961" s="23"/>
      <c r="H4961" s="24"/>
      <c r="Q4961" s="2"/>
      <c r="R4961" s="2"/>
    </row>
    <row r="4962" spans="1:18" ht="15.75" customHeight="1" x14ac:dyDescent="0.3">
      <c r="A4962" s="11"/>
      <c r="B4962" s="11"/>
      <c r="D4962" s="21"/>
      <c r="E4962" s="22"/>
      <c r="G4962" s="23"/>
      <c r="H4962" s="24"/>
      <c r="Q4962" s="2"/>
      <c r="R4962" s="2"/>
    </row>
    <row r="4963" spans="1:18" ht="15.75" customHeight="1" x14ac:dyDescent="0.3">
      <c r="A4963" s="11"/>
      <c r="B4963" s="11"/>
      <c r="D4963" s="21"/>
      <c r="E4963" s="22"/>
      <c r="G4963" s="23"/>
      <c r="H4963" s="24"/>
      <c r="Q4963" s="2"/>
      <c r="R4963" s="2"/>
    </row>
    <row r="4964" spans="1:18" ht="15.75" customHeight="1" x14ac:dyDescent="0.3">
      <c r="A4964" s="11"/>
      <c r="B4964" s="11"/>
      <c r="D4964" s="21"/>
      <c r="E4964" s="22"/>
      <c r="G4964" s="23"/>
      <c r="H4964" s="24"/>
      <c r="Q4964" s="2"/>
      <c r="R4964" s="2"/>
    </row>
    <row r="4965" spans="1:18" ht="15.75" customHeight="1" x14ac:dyDescent="0.3">
      <c r="A4965" s="11"/>
      <c r="B4965" s="11"/>
      <c r="D4965" s="21"/>
      <c r="E4965" s="22"/>
      <c r="G4965" s="23"/>
      <c r="H4965" s="24"/>
      <c r="Q4965" s="2"/>
      <c r="R4965" s="2"/>
    </row>
    <row r="4966" spans="1:18" ht="15.75" customHeight="1" x14ac:dyDescent="0.3">
      <c r="A4966" s="11"/>
      <c r="B4966" s="11"/>
      <c r="D4966" s="21"/>
      <c r="E4966" s="22"/>
      <c r="G4966" s="23"/>
      <c r="H4966" s="24"/>
      <c r="Q4966" s="2"/>
      <c r="R4966" s="2"/>
    </row>
    <row r="4967" spans="1:18" ht="15.75" customHeight="1" x14ac:dyDescent="0.3">
      <c r="A4967" s="11"/>
      <c r="B4967" s="11"/>
      <c r="D4967" s="21"/>
      <c r="E4967" s="22"/>
      <c r="G4967" s="23"/>
      <c r="H4967" s="24"/>
      <c r="Q4967" s="2"/>
      <c r="R4967" s="2"/>
    </row>
    <row r="4968" spans="1:18" ht="15.75" customHeight="1" x14ac:dyDescent="0.3">
      <c r="A4968" s="11"/>
      <c r="B4968" s="11"/>
      <c r="D4968" s="21"/>
      <c r="E4968" s="22"/>
      <c r="G4968" s="23"/>
      <c r="H4968" s="24"/>
      <c r="Q4968" s="2"/>
      <c r="R4968" s="2"/>
    </row>
    <row r="4969" spans="1:18" ht="15.75" customHeight="1" x14ac:dyDescent="0.3">
      <c r="A4969" s="11"/>
      <c r="B4969" s="11"/>
      <c r="D4969" s="21"/>
      <c r="E4969" s="22"/>
      <c r="G4969" s="23"/>
      <c r="H4969" s="24"/>
      <c r="Q4969" s="2"/>
      <c r="R4969" s="2"/>
    </row>
    <row r="4970" spans="1:18" ht="15.75" customHeight="1" x14ac:dyDescent="0.3">
      <c r="A4970" s="11"/>
      <c r="B4970" s="11"/>
      <c r="D4970" s="21"/>
      <c r="E4970" s="22"/>
      <c r="G4970" s="23"/>
      <c r="H4970" s="24"/>
      <c r="Q4970" s="2"/>
      <c r="R4970" s="2"/>
    </row>
    <row r="4971" spans="1:18" ht="15.75" customHeight="1" x14ac:dyDescent="0.3">
      <c r="A4971" s="11"/>
      <c r="B4971" s="11"/>
      <c r="D4971" s="21"/>
      <c r="E4971" s="22"/>
      <c r="G4971" s="23"/>
      <c r="H4971" s="24"/>
      <c r="Q4971" s="2"/>
      <c r="R4971" s="2"/>
    </row>
    <row r="4972" spans="1:18" ht="15.75" customHeight="1" x14ac:dyDescent="0.3">
      <c r="A4972" s="11"/>
      <c r="B4972" s="11"/>
      <c r="D4972" s="21"/>
      <c r="E4972" s="22"/>
      <c r="G4972" s="23"/>
      <c r="H4972" s="24"/>
      <c r="Q4972" s="2"/>
      <c r="R4972" s="2"/>
    </row>
    <row r="4973" spans="1:18" ht="15.75" customHeight="1" x14ac:dyDescent="0.3">
      <c r="A4973" s="11"/>
      <c r="B4973" s="11"/>
      <c r="D4973" s="21"/>
      <c r="E4973" s="22"/>
      <c r="G4973" s="23"/>
      <c r="H4973" s="24"/>
      <c r="Q4973" s="2"/>
      <c r="R4973" s="2"/>
    </row>
    <row r="4974" spans="1:18" ht="15.75" customHeight="1" x14ac:dyDescent="0.3">
      <c r="A4974" s="11"/>
      <c r="B4974" s="11"/>
      <c r="D4974" s="21"/>
      <c r="E4974" s="22"/>
      <c r="G4974" s="23"/>
      <c r="H4974" s="24"/>
      <c r="Q4974" s="2"/>
      <c r="R4974" s="2"/>
    </row>
    <row r="4975" spans="1:18" ht="15.75" customHeight="1" x14ac:dyDescent="0.3">
      <c r="A4975" s="11"/>
      <c r="B4975" s="11"/>
      <c r="D4975" s="21"/>
      <c r="E4975" s="22"/>
      <c r="G4975" s="23"/>
      <c r="H4975" s="24"/>
      <c r="Q4975" s="2"/>
      <c r="R4975" s="2"/>
    </row>
    <row r="4976" spans="1:18" ht="15.75" customHeight="1" x14ac:dyDescent="0.3">
      <c r="A4976" s="11"/>
      <c r="B4976" s="11"/>
      <c r="D4976" s="21"/>
      <c r="E4976" s="22"/>
      <c r="G4976" s="23"/>
      <c r="H4976" s="24"/>
      <c r="Q4976" s="2"/>
      <c r="R4976" s="2"/>
    </row>
    <row r="4977" spans="1:18" ht="15.75" customHeight="1" x14ac:dyDescent="0.3">
      <c r="A4977" s="11"/>
      <c r="B4977" s="11"/>
      <c r="D4977" s="21"/>
      <c r="E4977" s="22"/>
      <c r="G4977" s="23"/>
      <c r="H4977" s="24"/>
      <c r="Q4977" s="2"/>
      <c r="R4977" s="2"/>
    </row>
    <row r="4978" spans="1:18" ht="15.75" customHeight="1" x14ac:dyDescent="0.3">
      <c r="A4978" s="11"/>
      <c r="B4978" s="11"/>
      <c r="D4978" s="21"/>
      <c r="E4978" s="22"/>
      <c r="G4978" s="23"/>
      <c r="H4978" s="24"/>
      <c r="Q4978" s="2"/>
      <c r="R4978" s="2"/>
    </row>
    <row r="4979" spans="1:18" ht="15.75" customHeight="1" x14ac:dyDescent="0.3">
      <c r="A4979" s="11"/>
      <c r="B4979" s="11"/>
      <c r="D4979" s="21"/>
      <c r="E4979" s="22"/>
      <c r="G4979" s="23"/>
      <c r="H4979" s="24"/>
      <c r="Q4979" s="2"/>
      <c r="R4979" s="2"/>
    </row>
    <row r="4980" spans="1:18" ht="15.75" customHeight="1" x14ac:dyDescent="0.3">
      <c r="A4980" s="11"/>
      <c r="B4980" s="11"/>
      <c r="D4980" s="21"/>
      <c r="E4980" s="22"/>
      <c r="G4980" s="23"/>
      <c r="H4980" s="24"/>
      <c r="Q4980" s="2"/>
      <c r="R4980" s="2"/>
    </row>
    <row r="4981" spans="1:18" ht="15.75" customHeight="1" x14ac:dyDescent="0.3">
      <c r="A4981" s="11"/>
      <c r="B4981" s="11"/>
      <c r="D4981" s="21"/>
      <c r="E4981" s="22"/>
      <c r="G4981" s="23"/>
      <c r="H4981" s="24"/>
      <c r="Q4981" s="2"/>
      <c r="R4981" s="2"/>
    </row>
    <row r="4982" spans="1:18" ht="15.75" customHeight="1" x14ac:dyDescent="0.3">
      <c r="A4982" s="11"/>
      <c r="B4982" s="11"/>
      <c r="D4982" s="21"/>
      <c r="E4982" s="22"/>
      <c r="G4982" s="23"/>
      <c r="H4982" s="24"/>
      <c r="Q4982" s="2"/>
      <c r="R4982" s="2"/>
    </row>
    <row r="4983" spans="1:18" ht="15.75" customHeight="1" x14ac:dyDescent="0.3">
      <c r="A4983" s="11"/>
      <c r="B4983" s="11"/>
      <c r="D4983" s="21"/>
      <c r="E4983" s="22"/>
      <c r="G4983" s="23"/>
      <c r="H4983" s="24"/>
      <c r="Q4983" s="2"/>
      <c r="R4983" s="2"/>
    </row>
    <row r="4984" spans="1:18" ht="15.75" customHeight="1" x14ac:dyDescent="0.3">
      <c r="A4984" s="11"/>
      <c r="B4984" s="11"/>
      <c r="D4984" s="21"/>
      <c r="E4984" s="22"/>
      <c r="G4984" s="23"/>
      <c r="H4984" s="24"/>
      <c r="Q4984" s="2"/>
      <c r="R4984" s="2"/>
    </row>
    <row r="4985" spans="1:18" ht="15.75" customHeight="1" x14ac:dyDescent="0.3">
      <c r="A4985" s="11"/>
      <c r="B4985" s="11"/>
      <c r="D4985" s="21"/>
      <c r="E4985" s="22"/>
      <c r="G4985" s="23"/>
      <c r="H4985" s="24"/>
      <c r="Q4985" s="2"/>
      <c r="R4985" s="2"/>
    </row>
    <row r="4986" spans="1:18" ht="15.75" customHeight="1" x14ac:dyDescent="0.3">
      <c r="A4986" s="11"/>
      <c r="B4986" s="11"/>
      <c r="D4986" s="21"/>
      <c r="E4986" s="22"/>
      <c r="G4986" s="23"/>
      <c r="H4986" s="24"/>
      <c r="Q4986" s="2"/>
      <c r="R4986" s="2"/>
    </row>
    <row r="4987" spans="1:18" ht="15.75" customHeight="1" x14ac:dyDescent="0.3">
      <c r="A4987" s="11"/>
      <c r="B4987" s="11"/>
      <c r="D4987" s="21"/>
      <c r="E4987" s="22"/>
      <c r="G4987" s="23"/>
      <c r="H4987" s="24"/>
      <c r="Q4987" s="2"/>
      <c r="R4987" s="2"/>
    </row>
    <row r="4988" spans="1:18" ht="15.75" customHeight="1" x14ac:dyDescent="0.3">
      <c r="A4988" s="11"/>
      <c r="B4988" s="11"/>
      <c r="D4988" s="21"/>
      <c r="E4988" s="22"/>
      <c r="G4988" s="23"/>
      <c r="H4988" s="24"/>
      <c r="Q4988" s="2"/>
      <c r="R4988" s="2"/>
    </row>
    <row r="4989" spans="1:18" ht="15.75" customHeight="1" x14ac:dyDescent="0.3">
      <c r="A4989" s="11"/>
      <c r="B4989" s="11"/>
      <c r="D4989" s="21"/>
      <c r="E4989" s="22"/>
      <c r="G4989" s="23"/>
      <c r="H4989" s="24"/>
      <c r="Q4989" s="2"/>
      <c r="R4989" s="2"/>
    </row>
    <row r="4990" spans="1:18" ht="15.75" customHeight="1" x14ac:dyDescent="0.3">
      <c r="A4990" s="11"/>
      <c r="B4990" s="11"/>
      <c r="D4990" s="21"/>
      <c r="E4990" s="22"/>
      <c r="G4990" s="23"/>
      <c r="H4990" s="24"/>
      <c r="Q4990" s="2"/>
      <c r="R4990" s="2"/>
    </row>
    <row r="4991" spans="1:18" ht="15.75" customHeight="1" x14ac:dyDescent="0.3">
      <c r="A4991" s="11"/>
      <c r="B4991" s="11"/>
      <c r="D4991" s="21"/>
      <c r="E4991" s="22"/>
      <c r="G4991" s="23"/>
      <c r="H4991" s="24"/>
      <c r="Q4991" s="2"/>
      <c r="R4991" s="2"/>
    </row>
    <row r="4992" spans="1:18" ht="15.75" customHeight="1" x14ac:dyDescent="0.3">
      <c r="A4992" s="11"/>
      <c r="B4992" s="11"/>
      <c r="D4992" s="21"/>
      <c r="E4992" s="22"/>
      <c r="G4992" s="23"/>
      <c r="H4992" s="24"/>
      <c r="Q4992" s="2"/>
      <c r="R4992" s="2"/>
    </row>
    <row r="4993" spans="1:18" ht="15.75" customHeight="1" x14ac:dyDescent="0.3">
      <c r="A4993" s="11"/>
      <c r="B4993" s="11"/>
      <c r="D4993" s="21"/>
      <c r="E4993" s="22"/>
      <c r="G4993" s="23"/>
      <c r="H4993" s="24"/>
      <c r="Q4993" s="2"/>
      <c r="R4993" s="2"/>
    </row>
    <row r="4994" spans="1:18" ht="15.75" customHeight="1" x14ac:dyDescent="0.3">
      <c r="A4994" s="11"/>
      <c r="B4994" s="11"/>
      <c r="D4994" s="21"/>
      <c r="E4994" s="22"/>
      <c r="G4994" s="23"/>
      <c r="H4994" s="24"/>
      <c r="Q4994" s="2"/>
      <c r="R4994" s="2"/>
    </row>
    <row r="4995" spans="1:18" ht="15.75" customHeight="1" x14ac:dyDescent="0.3">
      <c r="A4995" s="11"/>
      <c r="B4995" s="11"/>
      <c r="D4995" s="21"/>
      <c r="E4995" s="22"/>
      <c r="G4995" s="23"/>
      <c r="H4995" s="24"/>
      <c r="Q4995" s="2"/>
      <c r="R4995" s="2"/>
    </row>
    <row r="4996" spans="1:18" ht="15.75" customHeight="1" x14ac:dyDescent="0.3">
      <c r="A4996" s="11"/>
      <c r="B4996" s="11"/>
      <c r="D4996" s="21"/>
      <c r="E4996" s="22"/>
      <c r="G4996" s="23"/>
      <c r="H4996" s="24"/>
      <c r="Q4996" s="2"/>
      <c r="R4996" s="2"/>
    </row>
    <row r="4997" spans="1:18" ht="15.75" customHeight="1" x14ac:dyDescent="0.3">
      <c r="A4997" s="11"/>
      <c r="B4997" s="11"/>
      <c r="D4997" s="21"/>
      <c r="E4997" s="22"/>
      <c r="G4997" s="23"/>
      <c r="H4997" s="24"/>
      <c r="Q4997" s="2"/>
      <c r="R4997" s="2"/>
    </row>
    <row r="4998" spans="1:18" ht="15.75" customHeight="1" x14ac:dyDescent="0.3">
      <c r="A4998" s="11"/>
      <c r="B4998" s="11"/>
      <c r="D4998" s="21"/>
      <c r="E4998" s="22"/>
      <c r="G4998" s="23"/>
      <c r="H4998" s="24"/>
      <c r="Q4998" s="2"/>
      <c r="R4998" s="2"/>
    </row>
    <row r="4999" spans="1:18" ht="15.75" customHeight="1" x14ac:dyDescent="0.3">
      <c r="A4999" s="11"/>
      <c r="B4999" s="11"/>
      <c r="D4999" s="21"/>
      <c r="E4999" s="22"/>
      <c r="G4999" s="23"/>
      <c r="H4999" s="24"/>
      <c r="Q4999" s="2"/>
      <c r="R4999" s="2"/>
    </row>
    <row r="5000" spans="1:18" ht="15.75" customHeight="1" x14ac:dyDescent="0.3">
      <c r="A5000" s="11"/>
      <c r="B5000" s="11"/>
      <c r="D5000" s="21"/>
      <c r="E5000" s="22"/>
      <c r="G5000" s="23"/>
      <c r="H5000" s="24"/>
      <c r="Q5000" s="2"/>
      <c r="R5000" s="2"/>
    </row>
    <row r="5001" spans="1:18" ht="15.75" customHeight="1" x14ac:dyDescent="0.3">
      <c r="A5001" s="11"/>
      <c r="B5001" s="11"/>
      <c r="D5001" s="21"/>
      <c r="E5001" s="22"/>
      <c r="G5001" s="23"/>
      <c r="H5001" s="24"/>
      <c r="Q5001" s="2"/>
      <c r="R5001" s="2"/>
    </row>
    <row r="5002" spans="1:18" ht="15.75" customHeight="1" x14ac:dyDescent="0.3">
      <c r="A5002" s="11"/>
      <c r="B5002" s="11"/>
      <c r="D5002" s="21"/>
      <c r="E5002" s="22"/>
      <c r="G5002" s="23"/>
      <c r="H5002" s="24"/>
      <c r="Q5002" s="2"/>
      <c r="R5002" s="2"/>
    </row>
    <row r="5003" spans="1:18" ht="15.75" customHeight="1" x14ac:dyDescent="0.3">
      <c r="A5003" s="11"/>
      <c r="B5003" s="11"/>
      <c r="D5003" s="21"/>
      <c r="E5003" s="22"/>
      <c r="G5003" s="23"/>
      <c r="H5003" s="24"/>
      <c r="Q5003" s="2"/>
      <c r="R5003" s="2"/>
    </row>
    <row r="5004" spans="1:18" ht="15.75" customHeight="1" x14ac:dyDescent="0.3">
      <c r="A5004" s="11"/>
      <c r="B5004" s="11"/>
      <c r="D5004" s="21"/>
      <c r="E5004" s="22"/>
      <c r="G5004" s="23"/>
      <c r="H5004" s="24"/>
      <c r="Q5004" s="2"/>
      <c r="R5004" s="2"/>
    </row>
    <row r="5005" spans="1:18" ht="15.75" customHeight="1" x14ac:dyDescent="0.3">
      <c r="A5005" s="11"/>
      <c r="B5005" s="11"/>
      <c r="D5005" s="21"/>
      <c r="E5005" s="22"/>
      <c r="G5005" s="23"/>
      <c r="H5005" s="24"/>
      <c r="Q5005" s="2"/>
      <c r="R5005" s="2"/>
    </row>
    <row r="5006" spans="1:18" ht="15.75" customHeight="1" x14ac:dyDescent="0.3">
      <c r="A5006" s="11"/>
      <c r="B5006" s="11"/>
      <c r="D5006" s="21"/>
      <c r="E5006" s="22"/>
      <c r="G5006" s="23"/>
      <c r="H5006" s="24"/>
      <c r="Q5006" s="2"/>
      <c r="R5006" s="2"/>
    </row>
    <row r="5007" spans="1:18" ht="15.75" customHeight="1" x14ac:dyDescent="0.3">
      <c r="A5007" s="11"/>
      <c r="B5007" s="11"/>
      <c r="D5007" s="21"/>
      <c r="E5007" s="22"/>
      <c r="G5007" s="23"/>
      <c r="H5007" s="24"/>
      <c r="Q5007" s="2"/>
      <c r="R5007" s="2"/>
    </row>
    <row r="5008" spans="1:18" ht="15.75" customHeight="1" x14ac:dyDescent="0.3">
      <c r="A5008" s="11"/>
      <c r="B5008" s="11"/>
      <c r="D5008" s="21"/>
      <c r="E5008" s="22"/>
      <c r="G5008" s="23"/>
      <c r="H5008" s="24"/>
      <c r="Q5008" s="2"/>
      <c r="R5008" s="2"/>
    </row>
    <row r="5009" spans="1:18" ht="15.75" customHeight="1" x14ac:dyDescent="0.3">
      <c r="A5009" s="11"/>
      <c r="B5009" s="11"/>
      <c r="D5009" s="21"/>
      <c r="E5009" s="22"/>
      <c r="G5009" s="23"/>
      <c r="H5009" s="24"/>
      <c r="Q5009" s="2"/>
      <c r="R5009" s="2"/>
    </row>
    <row r="5010" spans="1:18" ht="15.75" customHeight="1" x14ac:dyDescent="0.3">
      <c r="A5010" s="11"/>
      <c r="B5010" s="11"/>
      <c r="D5010" s="21"/>
      <c r="E5010" s="22"/>
      <c r="G5010" s="23"/>
      <c r="H5010" s="24"/>
      <c r="Q5010" s="2"/>
      <c r="R5010" s="2"/>
    </row>
    <row r="5011" spans="1:18" ht="15.75" customHeight="1" x14ac:dyDescent="0.3">
      <c r="A5011" s="11"/>
      <c r="B5011" s="11"/>
      <c r="D5011" s="21"/>
      <c r="E5011" s="22"/>
      <c r="G5011" s="23"/>
      <c r="H5011" s="24"/>
      <c r="Q5011" s="2"/>
      <c r="R5011" s="2"/>
    </row>
    <row r="5012" spans="1:18" ht="15.75" customHeight="1" x14ac:dyDescent="0.3">
      <c r="A5012" s="11"/>
      <c r="B5012" s="11"/>
      <c r="D5012" s="21"/>
      <c r="E5012" s="22"/>
      <c r="G5012" s="23"/>
      <c r="H5012" s="24"/>
      <c r="Q5012" s="2"/>
      <c r="R5012" s="2"/>
    </row>
    <row r="5013" spans="1:18" ht="15.75" customHeight="1" x14ac:dyDescent="0.3">
      <c r="A5013" s="11"/>
      <c r="B5013" s="11"/>
      <c r="D5013" s="21"/>
      <c r="E5013" s="22"/>
      <c r="G5013" s="23"/>
      <c r="H5013" s="24"/>
      <c r="Q5013" s="2"/>
      <c r="R5013" s="2"/>
    </row>
    <row r="5014" spans="1:18" ht="15.75" customHeight="1" x14ac:dyDescent="0.3">
      <c r="A5014" s="11"/>
      <c r="B5014" s="11"/>
      <c r="D5014" s="21"/>
      <c r="E5014" s="22"/>
      <c r="G5014" s="23"/>
      <c r="H5014" s="24"/>
      <c r="Q5014" s="2"/>
      <c r="R5014" s="2"/>
    </row>
    <row r="5015" spans="1:18" ht="15.75" customHeight="1" x14ac:dyDescent="0.3">
      <c r="A5015" s="11"/>
      <c r="B5015" s="11"/>
      <c r="D5015" s="21"/>
      <c r="E5015" s="22"/>
      <c r="G5015" s="23"/>
      <c r="H5015" s="24"/>
      <c r="Q5015" s="2"/>
      <c r="R5015" s="2"/>
    </row>
    <row r="5016" spans="1:18" ht="15.75" customHeight="1" x14ac:dyDescent="0.3">
      <c r="A5016" s="11"/>
      <c r="B5016" s="11"/>
      <c r="D5016" s="21"/>
      <c r="E5016" s="22"/>
      <c r="G5016" s="23"/>
      <c r="H5016" s="24"/>
      <c r="Q5016" s="2"/>
      <c r="R5016" s="2"/>
    </row>
    <row r="5017" spans="1:18" ht="15.75" customHeight="1" x14ac:dyDescent="0.3">
      <c r="A5017" s="11"/>
      <c r="B5017" s="11"/>
      <c r="D5017" s="21"/>
      <c r="E5017" s="22"/>
      <c r="G5017" s="23"/>
      <c r="H5017" s="24"/>
      <c r="Q5017" s="2"/>
      <c r="R5017" s="2"/>
    </row>
    <row r="5018" spans="1:18" ht="15.75" customHeight="1" x14ac:dyDescent="0.3">
      <c r="A5018" s="11"/>
      <c r="B5018" s="11"/>
      <c r="D5018" s="21"/>
      <c r="E5018" s="22"/>
      <c r="G5018" s="23"/>
      <c r="H5018" s="24"/>
      <c r="Q5018" s="2"/>
      <c r="R5018" s="2"/>
    </row>
    <row r="5019" spans="1:18" ht="15.75" customHeight="1" x14ac:dyDescent="0.3">
      <c r="A5019" s="11"/>
      <c r="B5019" s="11"/>
      <c r="D5019" s="21"/>
      <c r="E5019" s="22"/>
      <c r="G5019" s="23"/>
      <c r="H5019" s="24"/>
      <c r="Q5019" s="2"/>
      <c r="R5019" s="2"/>
    </row>
    <row r="5020" spans="1:18" ht="15.75" customHeight="1" x14ac:dyDescent="0.3">
      <c r="A5020" s="11"/>
      <c r="B5020" s="11"/>
      <c r="D5020" s="21"/>
      <c r="E5020" s="22"/>
      <c r="G5020" s="23"/>
      <c r="H5020" s="24"/>
      <c r="Q5020" s="2"/>
      <c r="R5020" s="2"/>
    </row>
    <row r="5021" spans="1:18" ht="15.75" customHeight="1" x14ac:dyDescent="0.3">
      <c r="A5021" s="11"/>
      <c r="B5021" s="11"/>
      <c r="D5021" s="21"/>
      <c r="E5021" s="22"/>
      <c r="G5021" s="23"/>
      <c r="H5021" s="24"/>
      <c r="Q5021" s="2"/>
      <c r="R5021" s="2"/>
    </row>
    <row r="5022" spans="1:18" ht="15.75" customHeight="1" x14ac:dyDescent="0.3">
      <c r="A5022" s="11"/>
      <c r="B5022" s="11"/>
      <c r="D5022" s="21"/>
      <c r="E5022" s="22"/>
      <c r="G5022" s="23"/>
      <c r="H5022" s="24"/>
      <c r="Q5022" s="2"/>
      <c r="R5022" s="2"/>
    </row>
    <row r="5023" spans="1:18" ht="15.75" customHeight="1" x14ac:dyDescent="0.3">
      <c r="A5023" s="11"/>
      <c r="B5023" s="11"/>
      <c r="D5023" s="21"/>
      <c r="E5023" s="22"/>
      <c r="G5023" s="23"/>
      <c r="H5023" s="24"/>
      <c r="Q5023" s="2"/>
      <c r="R5023" s="2"/>
    </row>
    <row r="5024" spans="1:18" ht="15.75" customHeight="1" x14ac:dyDescent="0.3">
      <c r="A5024" s="11"/>
      <c r="B5024" s="11"/>
      <c r="D5024" s="21"/>
      <c r="E5024" s="22"/>
      <c r="G5024" s="23"/>
      <c r="H5024" s="24"/>
      <c r="Q5024" s="2"/>
      <c r="R5024" s="2"/>
    </row>
    <row r="5025" spans="1:18" ht="15.75" customHeight="1" x14ac:dyDescent="0.3">
      <c r="A5025" s="11"/>
      <c r="B5025" s="11"/>
      <c r="D5025" s="21"/>
      <c r="E5025" s="22"/>
      <c r="G5025" s="23"/>
      <c r="H5025" s="24"/>
      <c r="Q5025" s="2"/>
      <c r="R5025" s="2"/>
    </row>
    <row r="5026" spans="1:18" ht="15.75" customHeight="1" x14ac:dyDescent="0.3">
      <c r="A5026" s="11"/>
      <c r="B5026" s="11"/>
      <c r="D5026" s="21"/>
      <c r="E5026" s="22"/>
      <c r="G5026" s="23"/>
      <c r="H5026" s="24"/>
      <c r="Q5026" s="2"/>
      <c r="R5026" s="2"/>
    </row>
    <row r="5027" spans="1:18" ht="15.75" customHeight="1" x14ac:dyDescent="0.3">
      <c r="A5027" s="11"/>
      <c r="B5027" s="11"/>
      <c r="D5027" s="21"/>
      <c r="E5027" s="22"/>
      <c r="G5027" s="23"/>
      <c r="H5027" s="24"/>
      <c r="Q5027" s="2"/>
      <c r="R5027" s="2"/>
    </row>
    <row r="5028" spans="1:18" ht="15.75" customHeight="1" x14ac:dyDescent="0.3">
      <c r="A5028" s="11"/>
      <c r="B5028" s="11"/>
      <c r="D5028" s="21"/>
      <c r="E5028" s="22"/>
      <c r="G5028" s="23"/>
      <c r="H5028" s="24"/>
      <c r="Q5028" s="2"/>
      <c r="R5028" s="2"/>
    </row>
    <row r="5029" spans="1:18" ht="15.75" customHeight="1" x14ac:dyDescent="0.3">
      <c r="A5029" s="11"/>
      <c r="B5029" s="11"/>
      <c r="D5029" s="21"/>
      <c r="E5029" s="22"/>
      <c r="G5029" s="23"/>
      <c r="H5029" s="24"/>
      <c r="Q5029" s="2"/>
      <c r="R5029" s="2"/>
    </row>
    <row r="5030" spans="1:18" ht="15.75" customHeight="1" x14ac:dyDescent="0.3">
      <c r="A5030" s="11"/>
      <c r="B5030" s="11"/>
      <c r="D5030" s="21"/>
      <c r="E5030" s="22"/>
      <c r="G5030" s="23"/>
      <c r="H5030" s="24"/>
      <c r="Q5030" s="2"/>
      <c r="R5030" s="2"/>
    </row>
    <row r="5031" spans="1:18" ht="15.75" customHeight="1" x14ac:dyDescent="0.3">
      <c r="A5031" s="11"/>
      <c r="B5031" s="11"/>
      <c r="D5031" s="21"/>
      <c r="E5031" s="22"/>
      <c r="G5031" s="23"/>
      <c r="H5031" s="24"/>
      <c r="Q5031" s="2"/>
      <c r="R5031" s="2"/>
    </row>
    <row r="5032" spans="1:18" ht="15.75" customHeight="1" x14ac:dyDescent="0.3">
      <c r="A5032" s="11"/>
      <c r="B5032" s="11"/>
      <c r="D5032" s="21"/>
      <c r="E5032" s="22"/>
      <c r="G5032" s="23"/>
      <c r="H5032" s="24"/>
      <c r="Q5032" s="2"/>
      <c r="R5032" s="2"/>
    </row>
    <row r="5033" spans="1:18" ht="15.75" customHeight="1" x14ac:dyDescent="0.3">
      <c r="A5033" s="11"/>
      <c r="B5033" s="11"/>
      <c r="D5033" s="21"/>
      <c r="E5033" s="22"/>
      <c r="G5033" s="23"/>
      <c r="H5033" s="24"/>
      <c r="Q5033" s="2"/>
      <c r="R5033" s="2"/>
    </row>
    <row r="5034" spans="1:18" ht="15.75" customHeight="1" x14ac:dyDescent="0.3">
      <c r="A5034" s="11"/>
      <c r="B5034" s="11"/>
      <c r="D5034" s="21"/>
      <c r="E5034" s="22"/>
      <c r="G5034" s="23"/>
      <c r="H5034" s="24"/>
      <c r="Q5034" s="2"/>
      <c r="R5034" s="2"/>
    </row>
    <row r="5035" spans="1:18" ht="15.75" customHeight="1" x14ac:dyDescent="0.3">
      <c r="A5035" s="11"/>
      <c r="B5035" s="11"/>
      <c r="D5035" s="21"/>
      <c r="E5035" s="22"/>
      <c r="G5035" s="23"/>
      <c r="H5035" s="24"/>
      <c r="Q5035" s="2"/>
      <c r="R5035" s="2"/>
    </row>
    <row r="5036" spans="1:18" ht="15.75" customHeight="1" x14ac:dyDescent="0.3">
      <c r="A5036" s="11"/>
      <c r="B5036" s="11"/>
      <c r="D5036" s="21"/>
      <c r="E5036" s="22"/>
      <c r="G5036" s="23"/>
      <c r="H5036" s="24"/>
      <c r="Q5036" s="2"/>
      <c r="R5036" s="2"/>
    </row>
    <row r="5037" spans="1:18" ht="15.75" customHeight="1" x14ac:dyDescent="0.3">
      <c r="A5037" s="11"/>
      <c r="B5037" s="11"/>
      <c r="D5037" s="21"/>
      <c r="E5037" s="22"/>
      <c r="G5037" s="23"/>
      <c r="H5037" s="24"/>
      <c r="Q5037" s="2"/>
      <c r="R5037" s="2"/>
    </row>
    <row r="5038" spans="1:18" ht="15.75" customHeight="1" x14ac:dyDescent="0.3">
      <c r="A5038" s="11"/>
      <c r="B5038" s="11"/>
      <c r="D5038" s="21"/>
      <c r="E5038" s="22"/>
      <c r="G5038" s="23"/>
      <c r="H5038" s="24"/>
      <c r="Q5038" s="2"/>
      <c r="R5038" s="2"/>
    </row>
    <row r="5039" spans="1:18" ht="15.75" customHeight="1" x14ac:dyDescent="0.3">
      <c r="A5039" s="11"/>
      <c r="B5039" s="11"/>
      <c r="D5039" s="21"/>
      <c r="E5039" s="22"/>
      <c r="G5039" s="23"/>
      <c r="H5039" s="24"/>
      <c r="Q5039" s="2"/>
      <c r="R5039" s="2"/>
    </row>
    <row r="5040" spans="1:18" ht="15.75" customHeight="1" x14ac:dyDescent="0.3">
      <c r="A5040" s="11"/>
      <c r="B5040" s="11"/>
      <c r="D5040" s="21"/>
      <c r="E5040" s="22"/>
      <c r="G5040" s="23"/>
      <c r="H5040" s="24"/>
      <c r="Q5040" s="2"/>
      <c r="R5040" s="2"/>
    </row>
    <row r="5041" spans="1:18" ht="15.75" customHeight="1" x14ac:dyDescent="0.3">
      <c r="A5041" s="11"/>
      <c r="B5041" s="11"/>
      <c r="D5041" s="21"/>
      <c r="E5041" s="22"/>
      <c r="G5041" s="23"/>
      <c r="H5041" s="24"/>
      <c r="Q5041" s="2"/>
      <c r="R5041" s="2"/>
    </row>
    <row r="5042" spans="1:18" ht="15.75" customHeight="1" x14ac:dyDescent="0.3">
      <c r="A5042" s="11"/>
      <c r="B5042" s="11"/>
      <c r="D5042" s="21"/>
      <c r="E5042" s="22"/>
      <c r="G5042" s="23"/>
      <c r="H5042" s="24"/>
      <c r="Q5042" s="2"/>
      <c r="R5042" s="2"/>
    </row>
    <row r="5043" spans="1:18" ht="15.75" customHeight="1" x14ac:dyDescent="0.3">
      <c r="A5043" s="11"/>
      <c r="B5043" s="11"/>
      <c r="D5043" s="21"/>
      <c r="E5043" s="22"/>
      <c r="G5043" s="23"/>
      <c r="H5043" s="24"/>
      <c r="Q5043" s="2"/>
      <c r="R5043" s="2"/>
    </row>
    <row r="5044" spans="1:18" ht="15.75" customHeight="1" x14ac:dyDescent="0.3">
      <c r="A5044" s="11"/>
      <c r="B5044" s="11"/>
      <c r="D5044" s="21"/>
      <c r="E5044" s="22"/>
      <c r="G5044" s="23"/>
      <c r="H5044" s="24"/>
      <c r="Q5044" s="2"/>
      <c r="R5044" s="2"/>
    </row>
    <row r="5045" spans="1:18" ht="15.75" customHeight="1" x14ac:dyDescent="0.3">
      <c r="A5045" s="11"/>
      <c r="B5045" s="11"/>
      <c r="D5045" s="21"/>
      <c r="E5045" s="22"/>
      <c r="G5045" s="23"/>
      <c r="H5045" s="24"/>
      <c r="Q5045" s="2"/>
      <c r="R5045" s="2"/>
    </row>
    <row r="5046" spans="1:18" ht="15.75" customHeight="1" x14ac:dyDescent="0.3">
      <c r="A5046" s="11"/>
      <c r="B5046" s="11"/>
      <c r="D5046" s="21"/>
      <c r="E5046" s="22"/>
      <c r="G5046" s="23"/>
      <c r="H5046" s="24"/>
      <c r="Q5046" s="2"/>
      <c r="R5046" s="2"/>
    </row>
    <row r="5047" spans="1:18" ht="15.75" customHeight="1" x14ac:dyDescent="0.3">
      <c r="A5047" s="11"/>
      <c r="B5047" s="11"/>
      <c r="D5047" s="21"/>
      <c r="E5047" s="22"/>
      <c r="G5047" s="23"/>
      <c r="H5047" s="24"/>
      <c r="Q5047" s="2"/>
      <c r="R5047" s="2"/>
    </row>
    <row r="5048" spans="1:18" ht="15.75" customHeight="1" x14ac:dyDescent="0.3">
      <c r="A5048" s="11"/>
      <c r="B5048" s="11"/>
      <c r="D5048" s="21"/>
      <c r="E5048" s="22"/>
      <c r="G5048" s="23"/>
      <c r="H5048" s="24"/>
      <c r="Q5048" s="2"/>
      <c r="R5048" s="2"/>
    </row>
    <row r="5049" spans="1:18" ht="15.75" customHeight="1" x14ac:dyDescent="0.3">
      <c r="A5049" s="11"/>
      <c r="B5049" s="11"/>
      <c r="D5049" s="21"/>
      <c r="E5049" s="22"/>
      <c r="G5049" s="23"/>
      <c r="H5049" s="24"/>
      <c r="Q5049" s="2"/>
      <c r="R5049" s="2"/>
    </row>
    <row r="5050" spans="1:18" ht="15.75" customHeight="1" x14ac:dyDescent="0.3">
      <c r="A5050" s="11"/>
      <c r="B5050" s="11"/>
      <c r="D5050" s="21"/>
      <c r="E5050" s="22"/>
      <c r="G5050" s="23"/>
      <c r="H5050" s="24"/>
      <c r="Q5050" s="2"/>
      <c r="R5050" s="2"/>
    </row>
    <row r="5051" spans="1:18" ht="15.75" customHeight="1" x14ac:dyDescent="0.3">
      <c r="A5051" s="11"/>
      <c r="B5051" s="11"/>
      <c r="D5051" s="21"/>
      <c r="E5051" s="22"/>
      <c r="G5051" s="23"/>
      <c r="H5051" s="24"/>
      <c r="Q5051" s="2"/>
      <c r="R5051" s="2"/>
    </row>
    <row r="5052" spans="1:18" ht="15.75" customHeight="1" x14ac:dyDescent="0.3">
      <c r="A5052" s="11"/>
      <c r="B5052" s="11"/>
      <c r="D5052" s="21"/>
      <c r="E5052" s="22"/>
      <c r="G5052" s="23"/>
      <c r="H5052" s="24"/>
      <c r="Q5052" s="2"/>
      <c r="R5052" s="2"/>
    </row>
    <row r="5053" spans="1:18" ht="15.75" customHeight="1" x14ac:dyDescent="0.3">
      <c r="A5053" s="11"/>
      <c r="B5053" s="11"/>
      <c r="D5053" s="21"/>
      <c r="E5053" s="22"/>
      <c r="G5053" s="23"/>
      <c r="H5053" s="24"/>
      <c r="Q5053" s="2"/>
      <c r="R5053" s="2"/>
    </row>
    <row r="5054" spans="1:18" ht="15.75" customHeight="1" x14ac:dyDescent="0.3">
      <c r="A5054" s="11"/>
      <c r="B5054" s="11"/>
      <c r="D5054" s="21"/>
      <c r="E5054" s="22"/>
      <c r="G5054" s="23"/>
      <c r="H5054" s="24"/>
      <c r="Q5054" s="2"/>
      <c r="R5054" s="2"/>
    </row>
    <row r="5055" spans="1:18" ht="15.75" customHeight="1" x14ac:dyDescent="0.3">
      <c r="A5055" s="11"/>
      <c r="B5055" s="11"/>
      <c r="D5055" s="21"/>
      <c r="E5055" s="22"/>
      <c r="G5055" s="23"/>
      <c r="H5055" s="24"/>
      <c r="Q5055" s="2"/>
      <c r="R5055" s="2"/>
    </row>
    <row r="5056" spans="1:18" ht="15.75" customHeight="1" x14ac:dyDescent="0.3">
      <c r="A5056" s="11"/>
      <c r="B5056" s="11"/>
      <c r="D5056" s="21"/>
      <c r="E5056" s="22"/>
      <c r="G5056" s="23"/>
      <c r="H5056" s="24"/>
      <c r="Q5056" s="2"/>
      <c r="R5056" s="2"/>
    </row>
    <row r="5057" spans="1:18" ht="15.75" customHeight="1" x14ac:dyDescent="0.3">
      <c r="A5057" s="11"/>
      <c r="B5057" s="11"/>
      <c r="D5057" s="21"/>
      <c r="E5057" s="22"/>
      <c r="G5057" s="23"/>
      <c r="H5057" s="24"/>
      <c r="Q5057" s="2"/>
      <c r="R5057" s="2"/>
    </row>
    <row r="5058" spans="1:18" ht="15.75" customHeight="1" x14ac:dyDescent="0.3">
      <c r="A5058" s="11"/>
      <c r="B5058" s="11"/>
      <c r="D5058" s="21"/>
      <c r="E5058" s="22"/>
      <c r="G5058" s="23"/>
      <c r="H5058" s="24"/>
      <c r="Q5058" s="2"/>
      <c r="R5058" s="2"/>
    </row>
    <row r="5059" spans="1:18" ht="15.75" customHeight="1" x14ac:dyDescent="0.3">
      <c r="A5059" s="11"/>
      <c r="B5059" s="11"/>
      <c r="D5059" s="21"/>
      <c r="E5059" s="22"/>
      <c r="G5059" s="23"/>
      <c r="H5059" s="24"/>
      <c r="Q5059" s="2"/>
      <c r="R5059" s="2"/>
    </row>
    <row r="5060" spans="1:18" ht="15.75" customHeight="1" x14ac:dyDescent="0.3">
      <c r="A5060" s="11"/>
      <c r="B5060" s="11"/>
      <c r="D5060" s="21"/>
      <c r="E5060" s="22"/>
      <c r="G5060" s="23"/>
      <c r="H5060" s="24"/>
      <c r="Q5060" s="2"/>
      <c r="R5060" s="2"/>
    </row>
    <row r="5061" spans="1:18" ht="15.75" customHeight="1" x14ac:dyDescent="0.3">
      <c r="A5061" s="11"/>
      <c r="B5061" s="11"/>
      <c r="D5061" s="21"/>
      <c r="E5061" s="22"/>
      <c r="G5061" s="23"/>
      <c r="H5061" s="24"/>
      <c r="Q5061" s="2"/>
      <c r="R5061" s="2"/>
    </row>
    <row r="5062" spans="1:18" ht="15.75" customHeight="1" x14ac:dyDescent="0.3">
      <c r="A5062" s="11"/>
      <c r="B5062" s="11"/>
      <c r="D5062" s="21"/>
      <c r="E5062" s="22"/>
      <c r="G5062" s="23"/>
      <c r="H5062" s="24"/>
      <c r="Q5062" s="2"/>
      <c r="R5062" s="2"/>
    </row>
    <row r="5063" spans="1:18" ht="15.75" customHeight="1" x14ac:dyDescent="0.3">
      <c r="A5063" s="11"/>
      <c r="B5063" s="11"/>
      <c r="D5063" s="21"/>
      <c r="E5063" s="22"/>
      <c r="G5063" s="23"/>
      <c r="H5063" s="24"/>
      <c r="Q5063" s="2"/>
      <c r="R5063" s="2"/>
    </row>
    <row r="5064" spans="1:18" ht="15.75" customHeight="1" x14ac:dyDescent="0.3">
      <c r="A5064" s="11"/>
      <c r="B5064" s="11"/>
      <c r="D5064" s="21"/>
      <c r="E5064" s="22"/>
      <c r="G5064" s="23"/>
      <c r="H5064" s="24"/>
      <c r="Q5064" s="2"/>
      <c r="R5064" s="2"/>
    </row>
    <row r="5065" spans="1:18" ht="15.75" customHeight="1" x14ac:dyDescent="0.3">
      <c r="A5065" s="11"/>
      <c r="B5065" s="11"/>
      <c r="D5065" s="21"/>
      <c r="E5065" s="22"/>
      <c r="G5065" s="23"/>
      <c r="H5065" s="24"/>
      <c r="Q5065" s="2"/>
      <c r="R5065" s="2"/>
    </row>
    <row r="5066" spans="1:18" ht="15.75" customHeight="1" x14ac:dyDescent="0.3">
      <c r="A5066" s="11"/>
      <c r="B5066" s="11"/>
      <c r="D5066" s="21"/>
      <c r="E5066" s="22"/>
      <c r="G5066" s="23"/>
      <c r="H5066" s="24"/>
      <c r="Q5066" s="2"/>
      <c r="R5066" s="2"/>
    </row>
    <row r="5067" spans="1:18" ht="15.75" customHeight="1" x14ac:dyDescent="0.3">
      <c r="A5067" s="11"/>
      <c r="B5067" s="11"/>
      <c r="D5067" s="21"/>
      <c r="E5067" s="22"/>
      <c r="G5067" s="23"/>
      <c r="H5067" s="24"/>
      <c r="Q5067" s="2"/>
      <c r="R5067" s="2"/>
    </row>
    <row r="5068" spans="1:18" ht="15.75" customHeight="1" x14ac:dyDescent="0.3">
      <c r="A5068" s="11"/>
      <c r="B5068" s="11"/>
      <c r="D5068" s="21"/>
      <c r="E5068" s="22"/>
      <c r="G5068" s="23"/>
      <c r="H5068" s="24"/>
      <c r="Q5068" s="2"/>
      <c r="R5068" s="2"/>
    </row>
    <row r="5069" spans="1:18" ht="15.75" customHeight="1" x14ac:dyDescent="0.3">
      <c r="A5069" s="11"/>
      <c r="B5069" s="11"/>
      <c r="D5069" s="21"/>
      <c r="E5069" s="22"/>
      <c r="G5069" s="23"/>
      <c r="H5069" s="24"/>
      <c r="Q5069" s="2"/>
      <c r="R5069" s="2"/>
    </row>
    <row r="5070" spans="1:18" ht="15.75" customHeight="1" x14ac:dyDescent="0.3">
      <c r="A5070" s="11"/>
      <c r="B5070" s="11"/>
      <c r="D5070" s="21"/>
      <c r="E5070" s="22"/>
      <c r="G5070" s="23"/>
      <c r="H5070" s="24"/>
      <c r="Q5070" s="2"/>
      <c r="R5070" s="2"/>
    </row>
    <row r="5071" spans="1:18" ht="15.75" customHeight="1" x14ac:dyDescent="0.3">
      <c r="A5071" s="11"/>
      <c r="B5071" s="11"/>
      <c r="D5071" s="21"/>
      <c r="E5071" s="22"/>
      <c r="G5071" s="23"/>
      <c r="H5071" s="24"/>
      <c r="Q5071" s="2"/>
      <c r="R5071" s="2"/>
    </row>
    <row r="5072" spans="1:18" ht="15.75" customHeight="1" x14ac:dyDescent="0.3">
      <c r="A5072" s="11"/>
      <c r="B5072" s="11"/>
      <c r="D5072" s="21"/>
      <c r="E5072" s="22"/>
      <c r="G5072" s="23"/>
      <c r="H5072" s="24"/>
      <c r="Q5072" s="2"/>
      <c r="R5072" s="2"/>
    </row>
    <row r="5073" spans="1:18" ht="15.75" customHeight="1" x14ac:dyDescent="0.3">
      <c r="A5073" s="11"/>
      <c r="B5073" s="11"/>
      <c r="D5073" s="21"/>
      <c r="E5073" s="22"/>
      <c r="G5073" s="23"/>
      <c r="H5073" s="24"/>
      <c r="Q5073" s="2"/>
      <c r="R5073" s="2"/>
    </row>
    <row r="5074" spans="1:18" ht="15.75" customHeight="1" x14ac:dyDescent="0.3">
      <c r="A5074" s="11"/>
      <c r="B5074" s="11"/>
      <c r="D5074" s="21"/>
      <c r="E5074" s="22"/>
      <c r="G5074" s="23"/>
      <c r="H5074" s="24"/>
      <c r="Q5074" s="2"/>
      <c r="R5074" s="2"/>
    </row>
    <row r="5075" spans="1:18" ht="15.75" customHeight="1" x14ac:dyDescent="0.3">
      <c r="A5075" s="11"/>
      <c r="B5075" s="11"/>
      <c r="D5075" s="21"/>
      <c r="E5075" s="22"/>
      <c r="G5075" s="23"/>
      <c r="H5075" s="24"/>
      <c r="Q5075" s="2"/>
      <c r="R5075" s="2"/>
    </row>
    <row r="5076" spans="1:18" ht="15.75" customHeight="1" x14ac:dyDescent="0.3">
      <c r="A5076" s="11"/>
      <c r="B5076" s="11"/>
      <c r="D5076" s="21"/>
      <c r="E5076" s="22"/>
      <c r="G5076" s="23"/>
      <c r="H5076" s="24"/>
      <c r="Q5076" s="2"/>
      <c r="R5076" s="2"/>
    </row>
    <row r="5077" spans="1:18" ht="15.75" customHeight="1" x14ac:dyDescent="0.3">
      <c r="A5077" s="11"/>
      <c r="B5077" s="11"/>
      <c r="D5077" s="21"/>
      <c r="E5077" s="22"/>
      <c r="G5077" s="23"/>
      <c r="H5077" s="24"/>
      <c r="Q5077" s="2"/>
      <c r="R5077" s="2"/>
    </row>
    <row r="5078" spans="1:18" ht="15.75" customHeight="1" x14ac:dyDescent="0.3">
      <c r="A5078" s="11"/>
      <c r="B5078" s="11"/>
      <c r="D5078" s="21"/>
      <c r="E5078" s="22"/>
      <c r="G5078" s="23"/>
      <c r="H5078" s="24"/>
      <c r="Q5078" s="2"/>
      <c r="R5078" s="2"/>
    </row>
    <row r="5079" spans="1:18" ht="15.75" customHeight="1" x14ac:dyDescent="0.3">
      <c r="A5079" s="11"/>
      <c r="B5079" s="11"/>
      <c r="D5079" s="21"/>
      <c r="E5079" s="22"/>
      <c r="G5079" s="23"/>
      <c r="H5079" s="24"/>
      <c r="Q5079" s="2"/>
      <c r="R5079" s="2"/>
    </row>
    <row r="5080" spans="1:18" ht="15.75" customHeight="1" x14ac:dyDescent="0.3">
      <c r="A5080" s="11"/>
      <c r="B5080" s="11"/>
      <c r="D5080" s="21"/>
      <c r="E5080" s="22"/>
      <c r="G5080" s="23"/>
      <c r="H5080" s="24"/>
      <c r="Q5080" s="2"/>
      <c r="R5080" s="2"/>
    </row>
    <row r="5081" spans="1:18" ht="15.75" customHeight="1" x14ac:dyDescent="0.3">
      <c r="A5081" s="11"/>
      <c r="B5081" s="11"/>
      <c r="D5081" s="21"/>
      <c r="E5081" s="22"/>
      <c r="G5081" s="23"/>
      <c r="H5081" s="24"/>
      <c r="Q5081" s="2"/>
      <c r="R5081" s="2"/>
    </row>
    <row r="5082" spans="1:18" ht="15.75" customHeight="1" x14ac:dyDescent="0.3">
      <c r="A5082" s="11"/>
      <c r="B5082" s="11"/>
      <c r="D5082" s="21"/>
      <c r="E5082" s="22"/>
      <c r="G5082" s="23"/>
      <c r="H5082" s="24"/>
      <c r="Q5082" s="2"/>
      <c r="R5082" s="2"/>
    </row>
    <row r="5083" spans="1:18" ht="15.75" customHeight="1" x14ac:dyDescent="0.3">
      <c r="A5083" s="11"/>
      <c r="B5083" s="11"/>
      <c r="D5083" s="21"/>
      <c r="E5083" s="22"/>
      <c r="G5083" s="23"/>
      <c r="H5083" s="24"/>
      <c r="Q5083" s="2"/>
      <c r="R5083" s="2"/>
    </row>
    <row r="5084" spans="1:18" ht="15.75" customHeight="1" x14ac:dyDescent="0.3">
      <c r="A5084" s="11"/>
      <c r="B5084" s="11"/>
      <c r="D5084" s="21"/>
      <c r="E5084" s="22"/>
      <c r="G5084" s="23"/>
      <c r="H5084" s="24"/>
      <c r="Q5084" s="2"/>
      <c r="R5084" s="2"/>
    </row>
    <row r="5085" spans="1:18" ht="15.75" customHeight="1" x14ac:dyDescent="0.3">
      <c r="A5085" s="11"/>
      <c r="B5085" s="11"/>
      <c r="D5085" s="21"/>
      <c r="E5085" s="22"/>
      <c r="G5085" s="23"/>
      <c r="H5085" s="24"/>
      <c r="Q5085" s="2"/>
      <c r="R5085" s="2"/>
    </row>
    <row r="5086" spans="1:18" ht="15.75" customHeight="1" x14ac:dyDescent="0.3">
      <c r="A5086" s="11"/>
      <c r="B5086" s="11"/>
      <c r="D5086" s="21"/>
      <c r="E5086" s="22"/>
      <c r="G5086" s="23"/>
      <c r="H5086" s="24"/>
      <c r="Q5086" s="2"/>
      <c r="R5086" s="2"/>
    </row>
    <row r="5087" spans="1:18" ht="15.75" customHeight="1" x14ac:dyDescent="0.3">
      <c r="A5087" s="11"/>
      <c r="B5087" s="11"/>
      <c r="D5087" s="21"/>
      <c r="E5087" s="22"/>
      <c r="G5087" s="23"/>
      <c r="H5087" s="24"/>
      <c r="Q5087" s="2"/>
      <c r="R5087" s="2"/>
    </row>
    <row r="5088" spans="1:18" ht="15.75" customHeight="1" x14ac:dyDescent="0.3">
      <c r="A5088" s="11"/>
      <c r="B5088" s="11"/>
      <c r="D5088" s="21"/>
      <c r="E5088" s="22"/>
      <c r="G5088" s="23"/>
      <c r="H5088" s="24"/>
      <c r="Q5088" s="2"/>
      <c r="R5088" s="2"/>
    </row>
    <row r="5089" spans="1:18" ht="15.75" customHeight="1" x14ac:dyDescent="0.3">
      <c r="A5089" s="11"/>
      <c r="B5089" s="11"/>
      <c r="D5089" s="21"/>
      <c r="E5089" s="22"/>
      <c r="G5089" s="23"/>
      <c r="H5089" s="24"/>
      <c r="Q5089" s="2"/>
      <c r="R5089" s="2"/>
    </row>
    <row r="5090" spans="1:18" ht="15.75" customHeight="1" x14ac:dyDescent="0.3">
      <c r="A5090" s="11"/>
      <c r="B5090" s="11"/>
      <c r="D5090" s="21"/>
      <c r="E5090" s="22"/>
      <c r="G5090" s="23"/>
      <c r="H5090" s="24"/>
      <c r="Q5090" s="2"/>
      <c r="R5090" s="2"/>
    </row>
    <row r="5091" spans="1:18" ht="15.75" customHeight="1" x14ac:dyDescent="0.3">
      <c r="A5091" s="11"/>
      <c r="B5091" s="11"/>
      <c r="D5091" s="21"/>
      <c r="E5091" s="22"/>
      <c r="G5091" s="23"/>
      <c r="H5091" s="24"/>
      <c r="Q5091" s="2"/>
      <c r="R5091" s="2"/>
    </row>
    <row r="5092" spans="1:18" ht="15.75" customHeight="1" x14ac:dyDescent="0.3">
      <c r="A5092" s="11"/>
      <c r="B5092" s="11"/>
      <c r="D5092" s="21"/>
      <c r="E5092" s="22"/>
      <c r="G5092" s="23"/>
      <c r="H5092" s="24"/>
      <c r="Q5092" s="2"/>
      <c r="R5092" s="2"/>
    </row>
    <row r="5093" spans="1:18" ht="15.75" customHeight="1" x14ac:dyDescent="0.3">
      <c r="A5093" s="11"/>
      <c r="B5093" s="11"/>
      <c r="D5093" s="21"/>
      <c r="E5093" s="22"/>
      <c r="G5093" s="23"/>
      <c r="H5093" s="24"/>
      <c r="Q5093" s="2"/>
      <c r="R5093" s="2"/>
    </row>
    <row r="5094" spans="1:18" ht="15.75" customHeight="1" x14ac:dyDescent="0.3">
      <c r="A5094" s="11"/>
      <c r="B5094" s="11"/>
      <c r="D5094" s="21"/>
      <c r="E5094" s="22"/>
      <c r="G5094" s="23"/>
      <c r="H5094" s="24"/>
      <c r="Q5094" s="2"/>
      <c r="R5094" s="2"/>
    </row>
    <row r="5095" spans="1:18" ht="15.75" customHeight="1" x14ac:dyDescent="0.3">
      <c r="A5095" s="11"/>
      <c r="B5095" s="11"/>
      <c r="D5095" s="21"/>
      <c r="E5095" s="22"/>
      <c r="G5095" s="23"/>
      <c r="H5095" s="24"/>
      <c r="Q5095" s="2"/>
      <c r="R5095" s="2"/>
    </row>
    <row r="5096" spans="1:18" ht="15.75" customHeight="1" x14ac:dyDescent="0.3">
      <c r="A5096" s="11"/>
      <c r="B5096" s="11"/>
      <c r="D5096" s="21"/>
      <c r="E5096" s="22"/>
      <c r="G5096" s="23"/>
      <c r="H5096" s="24"/>
      <c r="Q5096" s="2"/>
      <c r="R5096" s="2"/>
    </row>
    <row r="5097" spans="1:18" ht="15.75" customHeight="1" x14ac:dyDescent="0.3">
      <c r="A5097" s="11"/>
      <c r="B5097" s="11"/>
      <c r="D5097" s="21"/>
      <c r="E5097" s="22"/>
      <c r="G5097" s="23"/>
      <c r="H5097" s="24"/>
      <c r="Q5097" s="2"/>
      <c r="R5097" s="2"/>
    </row>
    <row r="5098" spans="1:18" ht="15.75" customHeight="1" x14ac:dyDescent="0.3">
      <c r="A5098" s="11"/>
      <c r="B5098" s="11"/>
      <c r="D5098" s="21"/>
      <c r="E5098" s="22"/>
      <c r="G5098" s="23"/>
      <c r="H5098" s="24"/>
      <c r="Q5098" s="2"/>
      <c r="R5098" s="2"/>
    </row>
    <row r="5099" spans="1:18" ht="15.75" customHeight="1" x14ac:dyDescent="0.3">
      <c r="A5099" s="11"/>
      <c r="B5099" s="11"/>
      <c r="D5099" s="21"/>
      <c r="E5099" s="22"/>
      <c r="G5099" s="23"/>
      <c r="H5099" s="24"/>
      <c r="Q5099" s="2"/>
      <c r="R5099" s="2"/>
    </row>
    <row r="5100" spans="1:18" ht="15.75" customHeight="1" x14ac:dyDescent="0.3">
      <c r="A5100" s="11"/>
      <c r="B5100" s="11"/>
      <c r="D5100" s="21"/>
      <c r="E5100" s="22"/>
      <c r="G5100" s="23"/>
      <c r="H5100" s="24"/>
      <c r="Q5100" s="2"/>
      <c r="R5100" s="2"/>
    </row>
    <row r="5101" spans="1:18" ht="15.75" customHeight="1" x14ac:dyDescent="0.3">
      <c r="A5101" s="11"/>
      <c r="B5101" s="11"/>
      <c r="D5101" s="21"/>
      <c r="E5101" s="22"/>
      <c r="G5101" s="23"/>
      <c r="H5101" s="24"/>
      <c r="Q5101" s="2"/>
      <c r="R5101" s="2"/>
    </row>
    <row r="5102" spans="1:18" ht="15.75" customHeight="1" x14ac:dyDescent="0.3">
      <c r="A5102" s="11"/>
      <c r="B5102" s="11"/>
      <c r="D5102" s="21"/>
      <c r="E5102" s="22"/>
      <c r="G5102" s="23"/>
      <c r="H5102" s="24"/>
      <c r="Q5102" s="2"/>
      <c r="R5102" s="2"/>
    </row>
    <row r="5103" spans="1:18" ht="15.75" customHeight="1" x14ac:dyDescent="0.3">
      <c r="A5103" s="11"/>
      <c r="B5103" s="11"/>
      <c r="D5103" s="21"/>
      <c r="E5103" s="22"/>
      <c r="G5103" s="23"/>
      <c r="H5103" s="24"/>
      <c r="Q5103" s="2"/>
      <c r="R5103" s="2"/>
    </row>
    <row r="5104" spans="1:18" ht="15.75" customHeight="1" x14ac:dyDescent="0.3">
      <c r="A5104" s="11"/>
      <c r="B5104" s="11"/>
      <c r="D5104" s="21"/>
      <c r="E5104" s="22"/>
      <c r="G5104" s="23"/>
      <c r="H5104" s="24"/>
      <c r="Q5104" s="2"/>
      <c r="R5104" s="2"/>
    </row>
    <row r="5105" spans="1:18" ht="15.75" customHeight="1" x14ac:dyDescent="0.3">
      <c r="A5105" s="11"/>
      <c r="B5105" s="11"/>
      <c r="D5105" s="21"/>
      <c r="E5105" s="22"/>
      <c r="G5105" s="23"/>
      <c r="H5105" s="24"/>
      <c r="Q5105" s="2"/>
      <c r="R5105" s="2"/>
    </row>
    <row r="5106" spans="1:18" ht="15.75" customHeight="1" x14ac:dyDescent="0.3">
      <c r="A5106" s="11"/>
      <c r="B5106" s="11"/>
      <c r="D5106" s="21"/>
      <c r="E5106" s="22"/>
      <c r="G5106" s="23"/>
      <c r="H5106" s="24"/>
      <c r="Q5106" s="2"/>
      <c r="R5106" s="2"/>
    </row>
    <row r="5107" spans="1:18" ht="15.75" customHeight="1" x14ac:dyDescent="0.3">
      <c r="A5107" s="11"/>
      <c r="B5107" s="11"/>
      <c r="D5107" s="21"/>
      <c r="E5107" s="22"/>
      <c r="G5107" s="23"/>
      <c r="H5107" s="24"/>
      <c r="Q5107" s="2"/>
      <c r="R5107" s="2"/>
    </row>
    <row r="5108" spans="1:18" ht="15.75" customHeight="1" x14ac:dyDescent="0.3">
      <c r="A5108" s="11"/>
      <c r="B5108" s="11"/>
      <c r="D5108" s="21"/>
      <c r="E5108" s="22"/>
      <c r="G5108" s="23"/>
      <c r="H5108" s="24"/>
      <c r="Q5108" s="2"/>
      <c r="R5108" s="2"/>
    </row>
    <row r="5109" spans="1:18" ht="15.75" customHeight="1" x14ac:dyDescent="0.3">
      <c r="A5109" s="11"/>
      <c r="B5109" s="11"/>
      <c r="D5109" s="21"/>
      <c r="E5109" s="22"/>
      <c r="G5109" s="23"/>
      <c r="H5109" s="24"/>
      <c r="Q5109" s="2"/>
      <c r="R5109" s="2"/>
    </row>
    <row r="5110" spans="1:18" ht="15.75" customHeight="1" x14ac:dyDescent="0.3">
      <c r="A5110" s="11"/>
      <c r="B5110" s="11"/>
      <c r="D5110" s="21"/>
      <c r="E5110" s="22"/>
      <c r="G5110" s="23"/>
      <c r="H5110" s="24"/>
      <c r="Q5110" s="2"/>
      <c r="R5110" s="2"/>
    </row>
    <row r="5111" spans="1:18" ht="15.75" customHeight="1" x14ac:dyDescent="0.3">
      <c r="A5111" s="11"/>
      <c r="B5111" s="11"/>
      <c r="D5111" s="21"/>
      <c r="E5111" s="22"/>
      <c r="G5111" s="23"/>
      <c r="H5111" s="24"/>
      <c r="Q5111" s="2"/>
      <c r="R5111" s="2"/>
    </row>
    <row r="5112" spans="1:18" ht="15.75" customHeight="1" x14ac:dyDescent="0.3">
      <c r="A5112" s="11"/>
      <c r="B5112" s="11"/>
      <c r="D5112" s="21"/>
      <c r="E5112" s="22"/>
      <c r="G5112" s="23"/>
      <c r="H5112" s="24"/>
      <c r="Q5112" s="2"/>
      <c r="R5112" s="2"/>
    </row>
    <row r="5113" spans="1:18" ht="15.75" customHeight="1" x14ac:dyDescent="0.3">
      <c r="A5113" s="11"/>
      <c r="B5113" s="11"/>
      <c r="D5113" s="21"/>
      <c r="E5113" s="22"/>
      <c r="G5113" s="23"/>
      <c r="H5113" s="24"/>
      <c r="Q5113" s="2"/>
      <c r="R5113" s="2"/>
    </row>
    <row r="5114" spans="1:18" ht="15.75" customHeight="1" x14ac:dyDescent="0.3">
      <c r="A5114" s="11"/>
      <c r="B5114" s="11"/>
      <c r="D5114" s="21"/>
      <c r="E5114" s="22"/>
      <c r="G5114" s="23"/>
      <c r="H5114" s="24"/>
      <c r="Q5114" s="2"/>
      <c r="R5114" s="2"/>
    </row>
    <row r="5115" spans="1:18" ht="15.75" customHeight="1" x14ac:dyDescent="0.3">
      <c r="A5115" s="11"/>
      <c r="B5115" s="11"/>
      <c r="D5115" s="21"/>
      <c r="E5115" s="22"/>
      <c r="G5115" s="23"/>
      <c r="H5115" s="24"/>
      <c r="Q5115" s="2"/>
      <c r="R5115" s="2"/>
    </row>
    <row r="5116" spans="1:18" ht="15.75" customHeight="1" x14ac:dyDescent="0.3">
      <c r="A5116" s="11"/>
      <c r="B5116" s="11"/>
      <c r="D5116" s="21"/>
      <c r="E5116" s="22"/>
      <c r="G5116" s="23"/>
      <c r="H5116" s="24"/>
      <c r="Q5116" s="2"/>
      <c r="R5116" s="2"/>
    </row>
    <row r="5117" spans="1:18" ht="15.75" customHeight="1" x14ac:dyDescent="0.3">
      <c r="A5117" s="11"/>
      <c r="B5117" s="11"/>
      <c r="D5117" s="21"/>
      <c r="E5117" s="22"/>
      <c r="G5117" s="23"/>
      <c r="H5117" s="24"/>
      <c r="Q5117" s="2"/>
      <c r="R5117" s="2"/>
    </row>
    <row r="5118" spans="1:18" ht="15.75" customHeight="1" x14ac:dyDescent="0.3">
      <c r="A5118" s="11"/>
      <c r="B5118" s="11"/>
      <c r="D5118" s="21"/>
      <c r="E5118" s="22"/>
      <c r="G5118" s="23"/>
      <c r="H5118" s="24"/>
      <c r="Q5118" s="2"/>
      <c r="R5118" s="2"/>
    </row>
    <row r="5119" spans="1:18" ht="15.75" customHeight="1" x14ac:dyDescent="0.3">
      <c r="A5119" s="11"/>
      <c r="B5119" s="11"/>
      <c r="D5119" s="21"/>
      <c r="E5119" s="22"/>
      <c r="G5119" s="23"/>
      <c r="H5119" s="24"/>
      <c r="Q5119" s="2"/>
      <c r="R5119" s="2"/>
    </row>
    <row r="5120" spans="1:18" ht="15.75" customHeight="1" x14ac:dyDescent="0.3">
      <c r="A5120" s="11"/>
      <c r="B5120" s="11"/>
      <c r="D5120" s="21"/>
      <c r="E5120" s="22"/>
      <c r="G5120" s="23"/>
      <c r="H5120" s="24"/>
      <c r="Q5120" s="2"/>
      <c r="R5120" s="2"/>
    </row>
    <row r="5121" spans="1:18" ht="15.75" customHeight="1" x14ac:dyDescent="0.3">
      <c r="A5121" s="11"/>
      <c r="B5121" s="11"/>
      <c r="D5121" s="21"/>
      <c r="E5121" s="22"/>
      <c r="G5121" s="23"/>
      <c r="H5121" s="24"/>
      <c r="Q5121" s="2"/>
      <c r="R5121" s="2"/>
    </row>
    <row r="5122" spans="1:18" ht="15.75" customHeight="1" x14ac:dyDescent="0.3">
      <c r="A5122" s="11"/>
      <c r="B5122" s="11"/>
      <c r="D5122" s="21"/>
      <c r="E5122" s="22"/>
      <c r="G5122" s="23"/>
      <c r="H5122" s="24"/>
      <c r="Q5122" s="2"/>
      <c r="R5122" s="2"/>
    </row>
    <row r="5123" spans="1:18" ht="15.75" customHeight="1" x14ac:dyDescent="0.3">
      <c r="A5123" s="11"/>
      <c r="B5123" s="11"/>
      <c r="D5123" s="21"/>
      <c r="E5123" s="22"/>
      <c r="G5123" s="23"/>
      <c r="H5123" s="24"/>
      <c r="Q5123" s="2"/>
      <c r="R5123" s="2"/>
    </row>
    <row r="5124" spans="1:18" ht="15.75" customHeight="1" x14ac:dyDescent="0.3">
      <c r="A5124" s="11"/>
      <c r="B5124" s="11"/>
      <c r="D5124" s="21"/>
      <c r="E5124" s="22"/>
      <c r="G5124" s="23"/>
      <c r="H5124" s="24"/>
      <c r="Q5124" s="2"/>
      <c r="R5124" s="2"/>
    </row>
    <row r="5125" spans="1:18" ht="15.75" customHeight="1" x14ac:dyDescent="0.3">
      <c r="A5125" s="11"/>
      <c r="B5125" s="11"/>
      <c r="D5125" s="21"/>
      <c r="E5125" s="22"/>
      <c r="G5125" s="23"/>
      <c r="H5125" s="24"/>
      <c r="Q5125" s="2"/>
      <c r="R5125" s="2"/>
    </row>
    <row r="5126" spans="1:18" ht="15.75" customHeight="1" x14ac:dyDescent="0.3">
      <c r="A5126" s="11"/>
      <c r="B5126" s="11"/>
      <c r="D5126" s="21"/>
      <c r="E5126" s="22"/>
      <c r="G5126" s="23"/>
      <c r="H5126" s="24"/>
      <c r="Q5126" s="2"/>
      <c r="R5126" s="2"/>
    </row>
    <row r="5127" spans="1:18" ht="15.75" customHeight="1" x14ac:dyDescent="0.3">
      <c r="A5127" s="11"/>
      <c r="B5127" s="11"/>
      <c r="D5127" s="21"/>
      <c r="E5127" s="22"/>
      <c r="G5127" s="23"/>
      <c r="H5127" s="24"/>
      <c r="Q5127" s="2"/>
      <c r="R5127" s="2"/>
    </row>
    <row r="5128" spans="1:18" ht="15.75" customHeight="1" x14ac:dyDescent="0.3">
      <c r="A5128" s="11"/>
      <c r="B5128" s="11"/>
      <c r="D5128" s="21"/>
      <c r="E5128" s="22"/>
      <c r="G5128" s="23"/>
      <c r="H5128" s="24"/>
      <c r="Q5128" s="2"/>
      <c r="R5128" s="2"/>
    </row>
    <row r="5129" spans="1:18" ht="15.75" customHeight="1" x14ac:dyDescent="0.3">
      <c r="A5129" s="11"/>
      <c r="B5129" s="11"/>
      <c r="D5129" s="21"/>
      <c r="E5129" s="22"/>
      <c r="G5129" s="23"/>
      <c r="H5129" s="24"/>
      <c r="Q5129" s="2"/>
      <c r="R5129" s="2"/>
    </row>
    <row r="5130" spans="1:18" ht="15.75" customHeight="1" x14ac:dyDescent="0.3">
      <c r="A5130" s="11"/>
      <c r="B5130" s="11"/>
      <c r="D5130" s="21"/>
      <c r="E5130" s="22"/>
      <c r="G5130" s="23"/>
      <c r="H5130" s="24"/>
      <c r="Q5130" s="2"/>
      <c r="R5130" s="2"/>
    </row>
    <row r="5131" spans="1:18" ht="15.75" customHeight="1" x14ac:dyDescent="0.3">
      <c r="A5131" s="11"/>
      <c r="B5131" s="11"/>
      <c r="D5131" s="21"/>
      <c r="E5131" s="22"/>
      <c r="G5131" s="23"/>
      <c r="H5131" s="24"/>
      <c r="Q5131" s="2"/>
      <c r="R5131" s="2"/>
    </row>
    <row r="5132" spans="1:18" ht="15.75" customHeight="1" x14ac:dyDescent="0.3">
      <c r="A5132" s="11"/>
      <c r="B5132" s="11"/>
      <c r="D5132" s="21"/>
      <c r="E5132" s="22"/>
      <c r="G5132" s="23"/>
      <c r="H5132" s="24"/>
      <c r="Q5132" s="2"/>
      <c r="R5132" s="2"/>
    </row>
    <row r="5133" spans="1:18" ht="15.75" customHeight="1" x14ac:dyDescent="0.3">
      <c r="A5133" s="11"/>
      <c r="B5133" s="11"/>
      <c r="D5133" s="21"/>
      <c r="E5133" s="22"/>
      <c r="G5133" s="23"/>
      <c r="H5133" s="24"/>
      <c r="Q5133" s="2"/>
      <c r="R5133" s="2"/>
    </row>
    <row r="5134" spans="1:18" ht="15.75" customHeight="1" x14ac:dyDescent="0.3">
      <c r="A5134" s="11"/>
      <c r="B5134" s="11"/>
      <c r="D5134" s="21"/>
      <c r="E5134" s="22"/>
      <c r="G5134" s="23"/>
      <c r="H5134" s="24"/>
      <c r="Q5134" s="2"/>
      <c r="R5134" s="2"/>
    </row>
    <row r="5135" spans="1:18" ht="15.75" customHeight="1" x14ac:dyDescent="0.3">
      <c r="A5135" s="11"/>
      <c r="B5135" s="11"/>
      <c r="D5135" s="21"/>
      <c r="E5135" s="22"/>
      <c r="G5135" s="23"/>
      <c r="H5135" s="24"/>
      <c r="Q5135" s="2"/>
      <c r="R5135" s="2"/>
    </row>
    <row r="5136" spans="1:18" ht="15.75" customHeight="1" x14ac:dyDescent="0.3">
      <c r="A5136" s="11"/>
      <c r="B5136" s="11"/>
      <c r="D5136" s="21"/>
      <c r="E5136" s="22"/>
      <c r="G5136" s="23"/>
      <c r="H5136" s="24"/>
      <c r="Q5136" s="2"/>
      <c r="R5136" s="2"/>
    </row>
    <row r="5137" spans="1:18" ht="15.75" customHeight="1" x14ac:dyDescent="0.3">
      <c r="A5137" s="11"/>
      <c r="B5137" s="11"/>
      <c r="D5137" s="21"/>
      <c r="E5137" s="22"/>
      <c r="G5137" s="23"/>
      <c r="H5137" s="24"/>
      <c r="Q5137" s="2"/>
      <c r="R5137" s="2"/>
    </row>
    <row r="5138" spans="1:18" ht="15.75" customHeight="1" x14ac:dyDescent="0.3">
      <c r="A5138" s="11"/>
      <c r="B5138" s="11"/>
      <c r="D5138" s="21"/>
      <c r="E5138" s="22"/>
      <c r="G5138" s="23"/>
      <c r="H5138" s="24"/>
      <c r="Q5138" s="2"/>
      <c r="R5138" s="2"/>
    </row>
    <row r="5139" spans="1:18" ht="15.75" customHeight="1" x14ac:dyDescent="0.3">
      <c r="A5139" s="11"/>
      <c r="B5139" s="11"/>
      <c r="D5139" s="21"/>
      <c r="E5139" s="22"/>
      <c r="G5139" s="23"/>
      <c r="H5139" s="24"/>
      <c r="Q5139" s="2"/>
      <c r="R5139" s="2"/>
    </row>
    <row r="5140" spans="1:18" ht="15.75" customHeight="1" x14ac:dyDescent="0.3">
      <c r="A5140" s="11"/>
      <c r="B5140" s="11"/>
      <c r="D5140" s="21"/>
      <c r="E5140" s="22"/>
      <c r="G5140" s="23"/>
      <c r="H5140" s="24"/>
      <c r="Q5140" s="2"/>
      <c r="R5140" s="2"/>
    </row>
    <row r="5141" spans="1:18" ht="15.75" customHeight="1" x14ac:dyDescent="0.3">
      <c r="A5141" s="11"/>
      <c r="B5141" s="11"/>
      <c r="D5141" s="21"/>
      <c r="E5141" s="22"/>
      <c r="G5141" s="23"/>
      <c r="H5141" s="24"/>
      <c r="Q5141" s="2"/>
      <c r="R5141" s="2"/>
    </row>
    <row r="5142" spans="1:18" ht="15.75" customHeight="1" x14ac:dyDescent="0.3">
      <c r="A5142" s="11"/>
      <c r="B5142" s="11"/>
      <c r="D5142" s="21"/>
      <c r="E5142" s="22"/>
      <c r="G5142" s="23"/>
      <c r="H5142" s="24"/>
      <c r="Q5142" s="2"/>
      <c r="R5142" s="2"/>
    </row>
    <row r="5143" spans="1:18" ht="15.75" customHeight="1" x14ac:dyDescent="0.3">
      <c r="A5143" s="11"/>
      <c r="B5143" s="11"/>
      <c r="D5143" s="21"/>
      <c r="E5143" s="22"/>
      <c r="G5143" s="23"/>
      <c r="H5143" s="24"/>
      <c r="Q5143" s="2"/>
      <c r="R5143" s="2"/>
    </row>
    <row r="5144" spans="1:18" ht="15.75" customHeight="1" x14ac:dyDescent="0.3">
      <c r="A5144" s="11"/>
      <c r="B5144" s="11"/>
      <c r="D5144" s="21"/>
      <c r="E5144" s="22"/>
      <c r="G5144" s="23"/>
      <c r="H5144" s="24"/>
      <c r="Q5144" s="2"/>
      <c r="R5144" s="2"/>
    </row>
    <row r="5145" spans="1:18" ht="15.75" customHeight="1" x14ac:dyDescent="0.3">
      <c r="A5145" s="11"/>
      <c r="B5145" s="11"/>
      <c r="D5145" s="21"/>
      <c r="E5145" s="22"/>
      <c r="G5145" s="23"/>
      <c r="H5145" s="24"/>
      <c r="Q5145" s="2"/>
      <c r="R5145" s="2"/>
    </row>
    <row r="5146" spans="1:18" ht="15.75" customHeight="1" x14ac:dyDescent="0.3">
      <c r="A5146" s="11"/>
      <c r="B5146" s="11"/>
      <c r="D5146" s="21"/>
      <c r="E5146" s="22"/>
      <c r="G5146" s="23"/>
      <c r="H5146" s="24"/>
      <c r="Q5146" s="2"/>
      <c r="R5146" s="2"/>
    </row>
    <row r="5147" spans="1:18" ht="15.75" customHeight="1" x14ac:dyDescent="0.3">
      <c r="A5147" s="11"/>
      <c r="B5147" s="11"/>
      <c r="D5147" s="21"/>
      <c r="E5147" s="22"/>
      <c r="G5147" s="23"/>
      <c r="H5147" s="24"/>
      <c r="Q5147" s="2"/>
      <c r="R5147" s="2"/>
    </row>
    <row r="5148" spans="1:18" ht="15.75" customHeight="1" x14ac:dyDescent="0.3">
      <c r="A5148" s="11"/>
      <c r="B5148" s="11"/>
      <c r="D5148" s="21"/>
      <c r="E5148" s="22"/>
      <c r="G5148" s="23"/>
      <c r="H5148" s="24"/>
      <c r="Q5148" s="2"/>
      <c r="R5148" s="2"/>
    </row>
    <row r="5149" spans="1:18" ht="15.75" customHeight="1" x14ac:dyDescent="0.3">
      <c r="A5149" s="11"/>
      <c r="B5149" s="11"/>
      <c r="D5149" s="21"/>
      <c r="E5149" s="22"/>
      <c r="G5149" s="23"/>
      <c r="H5149" s="24"/>
      <c r="Q5149" s="2"/>
      <c r="R5149" s="2"/>
    </row>
    <row r="5150" spans="1:18" ht="15.75" customHeight="1" x14ac:dyDescent="0.3">
      <c r="A5150" s="11"/>
      <c r="B5150" s="11"/>
      <c r="D5150" s="21"/>
      <c r="E5150" s="22"/>
      <c r="G5150" s="23"/>
      <c r="H5150" s="24"/>
      <c r="Q5150" s="2"/>
      <c r="R5150" s="2"/>
    </row>
    <row r="5151" spans="1:18" ht="15.75" customHeight="1" x14ac:dyDescent="0.3">
      <c r="A5151" s="11"/>
      <c r="B5151" s="11"/>
      <c r="D5151" s="21"/>
      <c r="E5151" s="22"/>
      <c r="G5151" s="23"/>
      <c r="H5151" s="24"/>
      <c r="Q5151" s="2"/>
      <c r="R5151" s="2"/>
    </row>
    <row r="5152" spans="1:18" ht="15.75" customHeight="1" x14ac:dyDescent="0.3">
      <c r="A5152" s="11"/>
      <c r="B5152" s="11"/>
      <c r="D5152" s="21"/>
      <c r="E5152" s="22"/>
      <c r="G5152" s="23"/>
      <c r="H5152" s="24"/>
      <c r="Q5152" s="2"/>
      <c r="R5152" s="2"/>
    </row>
    <row r="5153" spans="1:18" ht="15.75" customHeight="1" x14ac:dyDescent="0.3">
      <c r="A5153" s="11"/>
      <c r="B5153" s="11"/>
      <c r="D5153" s="21"/>
      <c r="E5153" s="22"/>
      <c r="G5153" s="23"/>
      <c r="H5153" s="24"/>
      <c r="Q5153" s="2"/>
      <c r="R5153" s="2"/>
    </row>
    <row r="5154" spans="1:18" ht="15.75" customHeight="1" x14ac:dyDescent="0.3">
      <c r="A5154" s="11"/>
      <c r="B5154" s="11"/>
      <c r="D5154" s="21"/>
      <c r="E5154" s="22"/>
      <c r="G5154" s="23"/>
      <c r="H5154" s="24"/>
      <c r="Q5154" s="2"/>
      <c r="R5154" s="2"/>
    </row>
    <row r="5155" spans="1:18" ht="15.75" customHeight="1" x14ac:dyDescent="0.3">
      <c r="A5155" s="11"/>
      <c r="B5155" s="11"/>
      <c r="D5155" s="21"/>
      <c r="E5155" s="22"/>
      <c r="G5155" s="23"/>
      <c r="H5155" s="24"/>
      <c r="Q5155" s="2"/>
      <c r="R5155" s="2"/>
    </row>
    <row r="5156" spans="1:18" ht="15.75" customHeight="1" x14ac:dyDescent="0.3">
      <c r="A5156" s="11"/>
      <c r="B5156" s="11"/>
      <c r="D5156" s="21"/>
      <c r="E5156" s="22"/>
      <c r="G5156" s="23"/>
      <c r="H5156" s="24"/>
      <c r="Q5156" s="2"/>
      <c r="R5156" s="2"/>
    </row>
    <row r="5157" spans="1:18" ht="15.75" customHeight="1" x14ac:dyDescent="0.3">
      <c r="A5157" s="11"/>
      <c r="B5157" s="11"/>
      <c r="D5157" s="21"/>
      <c r="E5157" s="22"/>
      <c r="G5157" s="23"/>
      <c r="H5157" s="24"/>
      <c r="Q5157" s="2"/>
      <c r="R5157" s="2"/>
    </row>
    <row r="5158" spans="1:18" ht="15.75" customHeight="1" x14ac:dyDescent="0.3">
      <c r="A5158" s="11"/>
      <c r="B5158" s="11"/>
      <c r="D5158" s="21"/>
      <c r="E5158" s="22"/>
      <c r="G5158" s="23"/>
      <c r="H5158" s="24"/>
      <c r="Q5158" s="2"/>
      <c r="R5158" s="2"/>
    </row>
    <row r="5159" spans="1:18" ht="15.75" customHeight="1" x14ac:dyDescent="0.3">
      <c r="A5159" s="11"/>
      <c r="B5159" s="11"/>
      <c r="D5159" s="21"/>
      <c r="E5159" s="22"/>
      <c r="G5159" s="23"/>
      <c r="H5159" s="24"/>
      <c r="Q5159" s="2"/>
      <c r="R5159" s="2"/>
    </row>
    <row r="5160" spans="1:18" ht="15.75" customHeight="1" x14ac:dyDescent="0.3">
      <c r="A5160" s="11"/>
      <c r="B5160" s="11"/>
      <c r="D5160" s="21"/>
      <c r="E5160" s="22"/>
      <c r="G5160" s="23"/>
      <c r="H5160" s="24"/>
      <c r="Q5160" s="2"/>
      <c r="R5160" s="2"/>
    </row>
    <row r="5161" spans="1:18" ht="15.75" customHeight="1" x14ac:dyDescent="0.3">
      <c r="A5161" s="11"/>
      <c r="B5161" s="11"/>
      <c r="D5161" s="21"/>
      <c r="E5161" s="22"/>
      <c r="G5161" s="23"/>
      <c r="H5161" s="24"/>
      <c r="Q5161" s="2"/>
      <c r="R5161" s="2"/>
    </row>
    <row r="5162" spans="1:18" ht="15.75" customHeight="1" x14ac:dyDescent="0.3">
      <c r="A5162" s="11"/>
      <c r="B5162" s="11"/>
      <c r="D5162" s="21"/>
      <c r="E5162" s="22"/>
      <c r="G5162" s="23"/>
      <c r="H5162" s="24"/>
      <c r="Q5162" s="2"/>
      <c r="R5162" s="2"/>
    </row>
    <row r="5163" spans="1:18" ht="15.75" customHeight="1" x14ac:dyDescent="0.3">
      <c r="A5163" s="11"/>
      <c r="B5163" s="11"/>
      <c r="D5163" s="21"/>
      <c r="E5163" s="22"/>
      <c r="G5163" s="23"/>
      <c r="H5163" s="24"/>
      <c r="Q5163" s="2"/>
      <c r="R5163" s="2"/>
    </row>
    <row r="5164" spans="1:18" ht="15.75" customHeight="1" x14ac:dyDescent="0.3">
      <c r="A5164" s="11"/>
      <c r="B5164" s="11"/>
      <c r="D5164" s="21"/>
      <c r="E5164" s="22"/>
      <c r="G5164" s="23"/>
      <c r="H5164" s="24"/>
      <c r="Q5164" s="2"/>
      <c r="R5164" s="2"/>
    </row>
    <row r="5165" spans="1:18" ht="15.75" customHeight="1" x14ac:dyDescent="0.3">
      <c r="A5165" s="11"/>
      <c r="B5165" s="11"/>
      <c r="D5165" s="21"/>
      <c r="E5165" s="22"/>
      <c r="G5165" s="23"/>
      <c r="H5165" s="24"/>
      <c r="Q5165" s="2"/>
      <c r="R5165" s="2"/>
    </row>
    <row r="5166" spans="1:18" ht="15.75" customHeight="1" x14ac:dyDescent="0.3">
      <c r="A5166" s="11"/>
      <c r="B5166" s="11"/>
      <c r="D5166" s="21"/>
      <c r="E5166" s="22"/>
      <c r="G5166" s="23"/>
      <c r="H5166" s="24"/>
      <c r="Q5166" s="2"/>
      <c r="R5166" s="2"/>
    </row>
    <row r="5167" spans="1:18" ht="15.75" customHeight="1" x14ac:dyDescent="0.3">
      <c r="A5167" s="11"/>
      <c r="B5167" s="11"/>
      <c r="D5167" s="21"/>
      <c r="E5167" s="22"/>
      <c r="G5167" s="23"/>
      <c r="H5167" s="24"/>
      <c r="Q5167" s="2"/>
      <c r="R5167" s="2"/>
    </row>
    <row r="5168" spans="1:18" ht="15.75" customHeight="1" x14ac:dyDescent="0.3">
      <c r="A5168" s="11"/>
      <c r="B5168" s="11"/>
      <c r="D5168" s="21"/>
      <c r="E5168" s="22"/>
      <c r="G5168" s="23"/>
      <c r="H5168" s="24"/>
      <c r="Q5168" s="2"/>
      <c r="R5168" s="2"/>
    </row>
    <row r="5169" spans="1:18" ht="15.75" customHeight="1" x14ac:dyDescent="0.3">
      <c r="A5169" s="11"/>
      <c r="B5169" s="11"/>
      <c r="D5169" s="21"/>
      <c r="E5169" s="22"/>
      <c r="G5169" s="23"/>
      <c r="H5169" s="24"/>
      <c r="Q5169" s="2"/>
      <c r="R5169" s="2"/>
    </row>
    <row r="5170" spans="1:18" ht="15.75" customHeight="1" x14ac:dyDescent="0.3">
      <c r="A5170" s="11"/>
      <c r="B5170" s="11"/>
      <c r="D5170" s="21"/>
      <c r="E5170" s="22"/>
      <c r="G5170" s="23"/>
      <c r="H5170" s="24"/>
      <c r="Q5170" s="2"/>
      <c r="R5170" s="2"/>
    </row>
    <row r="5171" spans="1:18" ht="15.75" customHeight="1" x14ac:dyDescent="0.3">
      <c r="A5171" s="11"/>
      <c r="B5171" s="11"/>
      <c r="D5171" s="21"/>
      <c r="E5171" s="22"/>
      <c r="G5171" s="23"/>
      <c r="H5171" s="24"/>
      <c r="Q5171" s="2"/>
      <c r="R5171" s="2"/>
    </row>
    <row r="5172" spans="1:18" ht="15.75" customHeight="1" x14ac:dyDescent="0.3">
      <c r="A5172" s="11"/>
      <c r="B5172" s="11"/>
      <c r="D5172" s="21"/>
      <c r="E5172" s="22"/>
      <c r="G5172" s="23"/>
      <c r="H5172" s="24"/>
      <c r="Q5172" s="2"/>
      <c r="R5172" s="2"/>
    </row>
    <row r="5173" spans="1:18" ht="15.75" customHeight="1" x14ac:dyDescent="0.3">
      <c r="A5173" s="11"/>
      <c r="B5173" s="11"/>
      <c r="D5173" s="21"/>
      <c r="E5173" s="22"/>
      <c r="G5173" s="23"/>
      <c r="H5173" s="24"/>
      <c r="Q5173" s="2"/>
      <c r="R5173" s="2"/>
    </row>
    <row r="5174" spans="1:18" ht="15.75" customHeight="1" x14ac:dyDescent="0.3">
      <c r="A5174" s="11"/>
      <c r="B5174" s="11"/>
      <c r="D5174" s="21"/>
      <c r="E5174" s="22"/>
      <c r="G5174" s="23"/>
      <c r="H5174" s="24"/>
      <c r="Q5174" s="2"/>
      <c r="R5174" s="2"/>
    </row>
    <row r="5175" spans="1:18" ht="15.75" customHeight="1" x14ac:dyDescent="0.3">
      <c r="A5175" s="11"/>
      <c r="B5175" s="11"/>
      <c r="D5175" s="21"/>
      <c r="E5175" s="22"/>
      <c r="G5175" s="23"/>
      <c r="H5175" s="24"/>
      <c r="Q5175" s="2"/>
      <c r="R5175" s="2"/>
    </row>
    <row r="5176" spans="1:18" ht="15.75" customHeight="1" x14ac:dyDescent="0.3">
      <c r="A5176" s="11"/>
      <c r="B5176" s="11"/>
      <c r="D5176" s="21"/>
      <c r="E5176" s="22"/>
      <c r="G5176" s="23"/>
      <c r="H5176" s="24"/>
      <c r="Q5176" s="2"/>
      <c r="R5176" s="2"/>
    </row>
    <row r="5177" spans="1:18" ht="15.75" customHeight="1" x14ac:dyDescent="0.3">
      <c r="A5177" s="11"/>
      <c r="B5177" s="11"/>
      <c r="D5177" s="21"/>
      <c r="E5177" s="22"/>
      <c r="G5177" s="23"/>
      <c r="H5177" s="24"/>
      <c r="Q5177" s="2"/>
      <c r="R5177" s="2"/>
    </row>
    <row r="5178" spans="1:18" ht="15.75" customHeight="1" x14ac:dyDescent="0.3">
      <c r="A5178" s="11"/>
      <c r="B5178" s="11"/>
      <c r="D5178" s="21"/>
      <c r="E5178" s="22"/>
      <c r="G5178" s="23"/>
      <c r="H5178" s="24"/>
      <c r="Q5178" s="2"/>
      <c r="R5178" s="2"/>
    </row>
    <row r="5179" spans="1:18" ht="15.75" customHeight="1" x14ac:dyDescent="0.3">
      <c r="A5179" s="11"/>
      <c r="B5179" s="11"/>
      <c r="D5179" s="21"/>
      <c r="E5179" s="22"/>
      <c r="G5179" s="23"/>
      <c r="H5179" s="24"/>
      <c r="Q5179" s="2"/>
      <c r="R5179" s="2"/>
    </row>
    <row r="5180" spans="1:18" ht="15.75" customHeight="1" x14ac:dyDescent="0.3">
      <c r="A5180" s="11"/>
      <c r="B5180" s="11"/>
      <c r="D5180" s="21"/>
      <c r="E5180" s="22"/>
      <c r="G5180" s="23"/>
      <c r="H5180" s="24"/>
      <c r="Q5180" s="2"/>
      <c r="R5180" s="2"/>
    </row>
    <row r="5181" spans="1:18" ht="15.75" customHeight="1" x14ac:dyDescent="0.3">
      <c r="A5181" s="11"/>
      <c r="B5181" s="11"/>
      <c r="D5181" s="21"/>
      <c r="E5181" s="22"/>
      <c r="G5181" s="23"/>
      <c r="H5181" s="24"/>
      <c r="Q5181" s="2"/>
      <c r="R5181" s="2"/>
    </row>
    <row r="5182" spans="1:18" ht="15.75" customHeight="1" x14ac:dyDescent="0.3">
      <c r="A5182" s="11"/>
      <c r="B5182" s="11"/>
      <c r="D5182" s="21"/>
      <c r="E5182" s="22"/>
      <c r="G5182" s="23"/>
      <c r="H5182" s="24"/>
      <c r="Q5182" s="2"/>
      <c r="R5182" s="2"/>
    </row>
    <row r="5183" spans="1:18" ht="15.75" customHeight="1" x14ac:dyDescent="0.3">
      <c r="A5183" s="11"/>
      <c r="B5183" s="11"/>
      <c r="D5183" s="21"/>
      <c r="E5183" s="22"/>
      <c r="G5183" s="23"/>
      <c r="H5183" s="24"/>
      <c r="Q5183" s="2"/>
      <c r="R5183" s="2"/>
    </row>
    <row r="5184" spans="1:18" ht="15.75" customHeight="1" x14ac:dyDescent="0.3">
      <c r="A5184" s="11"/>
      <c r="B5184" s="11"/>
      <c r="D5184" s="21"/>
      <c r="E5184" s="22"/>
      <c r="G5184" s="23"/>
      <c r="H5184" s="24"/>
      <c r="Q5184" s="2"/>
      <c r="R5184" s="2"/>
    </row>
    <row r="5185" spans="1:18" ht="15.75" customHeight="1" x14ac:dyDescent="0.3">
      <c r="A5185" s="11"/>
      <c r="B5185" s="11"/>
      <c r="D5185" s="21"/>
      <c r="E5185" s="22"/>
      <c r="G5185" s="23"/>
      <c r="H5185" s="24"/>
      <c r="Q5185" s="2"/>
      <c r="R5185" s="2"/>
    </row>
    <row r="5186" spans="1:18" ht="15.75" customHeight="1" x14ac:dyDescent="0.3">
      <c r="A5186" s="11"/>
      <c r="B5186" s="11"/>
      <c r="D5186" s="21"/>
      <c r="E5186" s="22"/>
      <c r="G5186" s="23"/>
      <c r="H5186" s="24"/>
      <c r="Q5186" s="2"/>
      <c r="R5186" s="2"/>
    </row>
    <row r="5187" spans="1:18" ht="15.75" customHeight="1" x14ac:dyDescent="0.3">
      <c r="A5187" s="11"/>
      <c r="B5187" s="11"/>
      <c r="D5187" s="21"/>
      <c r="E5187" s="22"/>
      <c r="G5187" s="23"/>
      <c r="H5187" s="24"/>
      <c r="Q5187" s="2"/>
      <c r="R5187" s="2"/>
    </row>
    <row r="5188" spans="1:18" ht="15.75" customHeight="1" x14ac:dyDescent="0.3">
      <c r="A5188" s="11"/>
      <c r="B5188" s="11"/>
      <c r="D5188" s="21"/>
      <c r="E5188" s="22"/>
      <c r="G5188" s="23"/>
      <c r="H5188" s="24"/>
      <c r="Q5188" s="2"/>
      <c r="R5188" s="2"/>
    </row>
    <row r="5189" spans="1:18" ht="15.75" customHeight="1" x14ac:dyDescent="0.3">
      <c r="A5189" s="11"/>
      <c r="B5189" s="11"/>
      <c r="D5189" s="21"/>
      <c r="E5189" s="22"/>
      <c r="G5189" s="23"/>
      <c r="H5189" s="24"/>
      <c r="Q5189" s="2"/>
      <c r="R5189" s="2"/>
    </row>
    <row r="5190" spans="1:18" ht="15.75" customHeight="1" x14ac:dyDescent="0.3">
      <c r="A5190" s="11"/>
      <c r="B5190" s="11"/>
      <c r="D5190" s="21"/>
      <c r="E5190" s="22"/>
      <c r="G5190" s="23"/>
      <c r="H5190" s="24"/>
      <c r="Q5190" s="2"/>
      <c r="R5190" s="2"/>
    </row>
    <row r="5191" spans="1:18" ht="15.75" customHeight="1" x14ac:dyDescent="0.3">
      <c r="A5191" s="11"/>
      <c r="B5191" s="11"/>
      <c r="D5191" s="21"/>
      <c r="E5191" s="22"/>
      <c r="G5191" s="23"/>
      <c r="H5191" s="24"/>
      <c r="Q5191" s="2"/>
      <c r="R5191" s="2"/>
    </row>
    <row r="5192" spans="1:18" ht="15.75" customHeight="1" x14ac:dyDescent="0.3">
      <c r="A5192" s="11"/>
      <c r="B5192" s="11"/>
      <c r="D5192" s="21"/>
      <c r="E5192" s="22"/>
      <c r="G5192" s="23"/>
      <c r="H5192" s="24"/>
      <c r="Q5192" s="2"/>
      <c r="R5192" s="2"/>
    </row>
    <row r="5193" spans="1:18" ht="15.75" customHeight="1" x14ac:dyDescent="0.3">
      <c r="A5193" s="11"/>
      <c r="B5193" s="11"/>
      <c r="D5193" s="21"/>
      <c r="E5193" s="22"/>
      <c r="G5193" s="23"/>
      <c r="H5193" s="24"/>
      <c r="Q5193" s="2"/>
      <c r="R5193" s="2"/>
    </row>
    <row r="5194" spans="1:18" ht="15.75" customHeight="1" x14ac:dyDescent="0.3">
      <c r="A5194" s="11"/>
      <c r="B5194" s="11"/>
      <c r="D5194" s="21"/>
      <c r="E5194" s="22"/>
      <c r="G5194" s="23"/>
      <c r="H5194" s="24"/>
      <c r="Q5194" s="2"/>
      <c r="R5194" s="2"/>
    </row>
    <row r="5195" spans="1:18" ht="15.75" customHeight="1" x14ac:dyDescent="0.3">
      <c r="A5195" s="11"/>
      <c r="B5195" s="11"/>
      <c r="D5195" s="21"/>
      <c r="E5195" s="22"/>
      <c r="G5195" s="23"/>
      <c r="H5195" s="24"/>
      <c r="Q5195" s="2"/>
      <c r="R5195" s="2"/>
    </row>
    <row r="5196" spans="1:18" ht="15.75" customHeight="1" x14ac:dyDescent="0.3">
      <c r="A5196" s="11"/>
      <c r="B5196" s="11"/>
      <c r="D5196" s="21"/>
      <c r="E5196" s="22"/>
      <c r="G5196" s="23"/>
      <c r="H5196" s="24"/>
      <c r="Q5196" s="2"/>
      <c r="R5196" s="2"/>
    </row>
    <row r="5197" spans="1:18" ht="15.75" customHeight="1" x14ac:dyDescent="0.3">
      <c r="A5197" s="11"/>
      <c r="B5197" s="11"/>
      <c r="D5197" s="21"/>
      <c r="E5197" s="22"/>
      <c r="G5197" s="23"/>
      <c r="H5197" s="24"/>
      <c r="Q5197" s="2"/>
      <c r="R5197" s="2"/>
    </row>
    <row r="5198" spans="1:18" ht="15.75" customHeight="1" x14ac:dyDescent="0.3">
      <c r="A5198" s="11"/>
      <c r="B5198" s="11"/>
      <c r="D5198" s="21"/>
      <c r="E5198" s="22"/>
      <c r="G5198" s="23"/>
      <c r="H5198" s="24"/>
      <c r="Q5198" s="2"/>
      <c r="R5198" s="2"/>
    </row>
    <row r="5199" spans="1:18" ht="15.75" customHeight="1" x14ac:dyDescent="0.3">
      <c r="A5199" s="11"/>
      <c r="B5199" s="11"/>
      <c r="D5199" s="21"/>
      <c r="E5199" s="22"/>
      <c r="G5199" s="23"/>
      <c r="H5199" s="24"/>
      <c r="Q5199" s="2"/>
      <c r="R5199" s="2"/>
    </row>
    <row r="5200" spans="1:18" ht="15.75" customHeight="1" x14ac:dyDescent="0.3">
      <c r="A5200" s="11"/>
      <c r="B5200" s="11"/>
      <c r="D5200" s="21"/>
      <c r="E5200" s="22"/>
      <c r="G5200" s="23"/>
      <c r="H5200" s="24"/>
      <c r="Q5200" s="2"/>
      <c r="R5200" s="2"/>
    </row>
    <row r="5201" spans="1:18" ht="15.75" customHeight="1" x14ac:dyDescent="0.3">
      <c r="A5201" s="11"/>
      <c r="B5201" s="11"/>
      <c r="D5201" s="21"/>
      <c r="E5201" s="22"/>
      <c r="G5201" s="23"/>
      <c r="H5201" s="24"/>
      <c r="Q5201" s="2"/>
      <c r="R5201" s="2"/>
    </row>
    <row r="5202" spans="1:18" ht="15.75" customHeight="1" x14ac:dyDescent="0.3">
      <c r="A5202" s="11"/>
      <c r="B5202" s="11"/>
      <c r="D5202" s="21"/>
      <c r="E5202" s="22"/>
      <c r="G5202" s="23"/>
      <c r="H5202" s="24"/>
      <c r="Q5202" s="2"/>
      <c r="R5202" s="2"/>
    </row>
    <row r="5203" spans="1:18" ht="15.75" customHeight="1" x14ac:dyDescent="0.3">
      <c r="A5203" s="11"/>
      <c r="B5203" s="11"/>
      <c r="D5203" s="21"/>
      <c r="E5203" s="22"/>
      <c r="G5203" s="23"/>
      <c r="H5203" s="24"/>
      <c r="Q5203" s="2"/>
      <c r="R5203" s="2"/>
    </row>
    <row r="5204" spans="1:18" ht="15.75" customHeight="1" x14ac:dyDescent="0.3">
      <c r="A5204" s="11"/>
      <c r="B5204" s="11"/>
      <c r="D5204" s="21"/>
      <c r="E5204" s="22"/>
      <c r="G5204" s="23"/>
      <c r="H5204" s="24"/>
      <c r="Q5204" s="2"/>
      <c r="R5204" s="2"/>
    </row>
    <row r="5205" spans="1:18" ht="15.75" customHeight="1" x14ac:dyDescent="0.3">
      <c r="A5205" s="11"/>
      <c r="B5205" s="11"/>
      <c r="D5205" s="21"/>
      <c r="E5205" s="22"/>
      <c r="G5205" s="23"/>
      <c r="H5205" s="24"/>
      <c r="Q5205" s="2"/>
      <c r="R5205" s="2"/>
    </row>
    <row r="5206" spans="1:18" ht="15.75" customHeight="1" x14ac:dyDescent="0.3">
      <c r="A5206" s="11"/>
      <c r="B5206" s="11"/>
      <c r="D5206" s="21"/>
      <c r="E5206" s="22"/>
      <c r="G5206" s="23"/>
      <c r="H5206" s="24"/>
      <c r="Q5206" s="2"/>
      <c r="R5206" s="2"/>
    </row>
    <row r="5207" spans="1:18" ht="15.75" customHeight="1" x14ac:dyDescent="0.3">
      <c r="A5207" s="11"/>
      <c r="B5207" s="11"/>
      <c r="D5207" s="21"/>
      <c r="E5207" s="22"/>
      <c r="G5207" s="23"/>
      <c r="H5207" s="24"/>
      <c r="Q5207" s="2"/>
      <c r="R5207" s="2"/>
    </row>
    <row r="5208" spans="1:18" ht="15.75" customHeight="1" x14ac:dyDescent="0.3">
      <c r="A5208" s="11"/>
      <c r="B5208" s="11"/>
      <c r="D5208" s="21"/>
      <c r="E5208" s="22"/>
      <c r="G5208" s="23"/>
      <c r="H5208" s="24"/>
      <c r="Q5208" s="2"/>
      <c r="R5208" s="2"/>
    </row>
    <row r="5209" spans="1:18" ht="15.75" customHeight="1" x14ac:dyDescent="0.3">
      <c r="A5209" s="11"/>
      <c r="B5209" s="11"/>
      <c r="D5209" s="21"/>
      <c r="E5209" s="22"/>
      <c r="G5209" s="23"/>
      <c r="H5209" s="24"/>
      <c r="Q5209" s="2"/>
      <c r="R5209" s="2"/>
    </row>
    <row r="5210" spans="1:18" ht="15.75" customHeight="1" x14ac:dyDescent="0.3">
      <c r="A5210" s="11"/>
      <c r="B5210" s="11"/>
      <c r="D5210" s="21"/>
      <c r="E5210" s="22"/>
      <c r="G5210" s="23"/>
      <c r="H5210" s="24"/>
      <c r="Q5210" s="2"/>
      <c r="R5210" s="2"/>
    </row>
    <row r="5211" spans="1:18" ht="15.75" customHeight="1" x14ac:dyDescent="0.3">
      <c r="A5211" s="11"/>
      <c r="B5211" s="11"/>
      <c r="D5211" s="21"/>
      <c r="E5211" s="22"/>
      <c r="G5211" s="23"/>
      <c r="H5211" s="24"/>
      <c r="Q5211" s="2"/>
      <c r="R5211" s="2"/>
    </row>
    <row r="5212" spans="1:18" ht="15.75" customHeight="1" x14ac:dyDescent="0.3">
      <c r="A5212" s="11"/>
      <c r="B5212" s="11"/>
      <c r="D5212" s="21"/>
      <c r="E5212" s="22"/>
      <c r="G5212" s="23"/>
      <c r="H5212" s="24"/>
      <c r="Q5212" s="2"/>
      <c r="R5212" s="2"/>
    </row>
    <row r="5213" spans="1:18" ht="15.75" customHeight="1" x14ac:dyDescent="0.3">
      <c r="A5213" s="11"/>
      <c r="B5213" s="11"/>
      <c r="D5213" s="21"/>
      <c r="E5213" s="22"/>
      <c r="G5213" s="23"/>
      <c r="H5213" s="24"/>
      <c r="Q5213" s="2"/>
      <c r="R5213" s="2"/>
    </row>
    <row r="5214" spans="1:18" ht="15.75" customHeight="1" x14ac:dyDescent="0.3">
      <c r="A5214" s="11"/>
      <c r="B5214" s="11"/>
      <c r="D5214" s="21"/>
      <c r="E5214" s="22"/>
      <c r="G5214" s="23"/>
      <c r="H5214" s="24"/>
      <c r="Q5214" s="2"/>
      <c r="R5214" s="2"/>
    </row>
    <row r="5215" spans="1:18" ht="15.75" customHeight="1" x14ac:dyDescent="0.3">
      <c r="A5215" s="11"/>
      <c r="B5215" s="11"/>
      <c r="D5215" s="21"/>
      <c r="E5215" s="22"/>
      <c r="G5215" s="23"/>
      <c r="H5215" s="24"/>
      <c r="Q5215" s="2"/>
      <c r="R5215" s="2"/>
    </row>
    <row r="5216" spans="1:18" ht="15.75" customHeight="1" x14ac:dyDescent="0.3">
      <c r="A5216" s="11"/>
      <c r="B5216" s="11"/>
      <c r="D5216" s="21"/>
      <c r="E5216" s="22"/>
      <c r="G5216" s="23"/>
      <c r="H5216" s="24"/>
      <c r="Q5216" s="2"/>
      <c r="R5216" s="2"/>
    </row>
    <row r="5217" spans="1:18" ht="15.75" customHeight="1" x14ac:dyDescent="0.3">
      <c r="A5217" s="11"/>
      <c r="B5217" s="11"/>
      <c r="D5217" s="21"/>
      <c r="E5217" s="22"/>
      <c r="G5217" s="23"/>
      <c r="H5217" s="24"/>
      <c r="Q5217" s="2"/>
      <c r="R5217" s="2"/>
    </row>
    <row r="5218" spans="1:18" ht="15.75" customHeight="1" x14ac:dyDescent="0.3">
      <c r="A5218" s="11"/>
      <c r="B5218" s="11"/>
      <c r="D5218" s="21"/>
      <c r="E5218" s="22"/>
      <c r="G5218" s="23"/>
      <c r="H5218" s="24"/>
      <c r="Q5218" s="2"/>
      <c r="R5218" s="2"/>
    </row>
    <row r="5219" spans="1:18" ht="15.75" customHeight="1" x14ac:dyDescent="0.3">
      <c r="A5219" s="11"/>
      <c r="B5219" s="11"/>
      <c r="D5219" s="21"/>
      <c r="E5219" s="22"/>
      <c r="G5219" s="23"/>
      <c r="H5219" s="24"/>
      <c r="Q5219" s="2"/>
      <c r="R5219" s="2"/>
    </row>
    <row r="5220" spans="1:18" ht="15.75" customHeight="1" x14ac:dyDescent="0.3">
      <c r="A5220" s="11"/>
      <c r="B5220" s="11"/>
      <c r="D5220" s="21"/>
      <c r="E5220" s="22"/>
      <c r="G5220" s="23"/>
      <c r="H5220" s="24"/>
      <c r="Q5220" s="2"/>
      <c r="R5220" s="2"/>
    </row>
    <row r="5221" spans="1:18" ht="15.75" customHeight="1" x14ac:dyDescent="0.3">
      <c r="A5221" s="11"/>
      <c r="B5221" s="11"/>
      <c r="D5221" s="21"/>
      <c r="E5221" s="22"/>
      <c r="G5221" s="23"/>
      <c r="H5221" s="24"/>
      <c r="Q5221" s="2"/>
      <c r="R5221" s="2"/>
    </row>
    <row r="5222" spans="1:18" ht="15.75" customHeight="1" x14ac:dyDescent="0.3">
      <c r="A5222" s="11"/>
      <c r="B5222" s="11"/>
      <c r="D5222" s="21"/>
      <c r="E5222" s="22"/>
      <c r="G5222" s="23"/>
      <c r="H5222" s="24"/>
      <c r="Q5222" s="2"/>
      <c r="R5222" s="2"/>
    </row>
    <row r="5223" spans="1:18" ht="15.75" customHeight="1" x14ac:dyDescent="0.3">
      <c r="A5223" s="11"/>
      <c r="B5223" s="11"/>
      <c r="D5223" s="21"/>
      <c r="E5223" s="22"/>
      <c r="G5223" s="23"/>
      <c r="H5223" s="24"/>
      <c r="Q5223" s="2"/>
      <c r="R5223" s="2"/>
    </row>
    <row r="5224" spans="1:18" ht="15.75" customHeight="1" x14ac:dyDescent="0.3">
      <c r="A5224" s="11"/>
      <c r="B5224" s="11"/>
      <c r="D5224" s="21"/>
      <c r="E5224" s="22"/>
      <c r="G5224" s="23"/>
      <c r="H5224" s="24"/>
      <c r="Q5224" s="2"/>
      <c r="R5224" s="2"/>
    </row>
    <row r="5225" spans="1:18" ht="15.75" customHeight="1" x14ac:dyDescent="0.3">
      <c r="A5225" s="11"/>
      <c r="B5225" s="11"/>
      <c r="D5225" s="21"/>
      <c r="E5225" s="22"/>
      <c r="G5225" s="23"/>
      <c r="H5225" s="24"/>
      <c r="Q5225" s="2"/>
      <c r="R5225" s="2"/>
    </row>
    <row r="5226" spans="1:18" ht="15.75" customHeight="1" x14ac:dyDescent="0.3">
      <c r="A5226" s="11"/>
      <c r="B5226" s="11"/>
      <c r="D5226" s="21"/>
      <c r="E5226" s="22"/>
      <c r="G5226" s="23"/>
      <c r="H5226" s="24"/>
      <c r="Q5226" s="2"/>
      <c r="R5226" s="2"/>
    </row>
    <row r="5227" spans="1:18" ht="15.75" customHeight="1" x14ac:dyDescent="0.3">
      <c r="A5227" s="11"/>
      <c r="B5227" s="11"/>
      <c r="D5227" s="21"/>
      <c r="E5227" s="22"/>
      <c r="G5227" s="23"/>
      <c r="H5227" s="24"/>
      <c r="Q5227" s="2"/>
      <c r="R5227" s="2"/>
    </row>
    <row r="5228" spans="1:18" ht="15.75" customHeight="1" x14ac:dyDescent="0.3">
      <c r="A5228" s="11"/>
      <c r="B5228" s="11"/>
      <c r="D5228" s="21"/>
      <c r="E5228" s="22"/>
      <c r="G5228" s="23"/>
      <c r="H5228" s="24"/>
      <c r="Q5228" s="2"/>
      <c r="R5228" s="2"/>
    </row>
    <row r="5229" spans="1:18" ht="15.75" customHeight="1" x14ac:dyDescent="0.3">
      <c r="A5229" s="11"/>
      <c r="B5229" s="11"/>
      <c r="D5229" s="21"/>
      <c r="E5229" s="22"/>
      <c r="G5229" s="23"/>
      <c r="H5229" s="24"/>
      <c r="Q5229" s="2"/>
      <c r="R5229" s="2"/>
    </row>
    <row r="5230" spans="1:18" ht="15.75" customHeight="1" x14ac:dyDescent="0.3">
      <c r="A5230" s="11"/>
      <c r="B5230" s="11"/>
      <c r="D5230" s="21"/>
      <c r="E5230" s="22"/>
      <c r="G5230" s="23"/>
      <c r="H5230" s="24"/>
      <c r="Q5230" s="2"/>
      <c r="R5230" s="2"/>
    </row>
    <row r="5231" spans="1:18" ht="15.75" customHeight="1" x14ac:dyDescent="0.3">
      <c r="A5231" s="11"/>
      <c r="B5231" s="11"/>
      <c r="D5231" s="21"/>
      <c r="E5231" s="22"/>
      <c r="G5231" s="23"/>
      <c r="H5231" s="24"/>
      <c r="Q5231" s="2"/>
      <c r="R5231" s="2"/>
    </row>
    <row r="5232" spans="1:18" ht="15.75" customHeight="1" x14ac:dyDescent="0.3">
      <c r="A5232" s="11"/>
      <c r="B5232" s="11"/>
      <c r="D5232" s="21"/>
      <c r="E5232" s="22"/>
      <c r="G5232" s="23"/>
      <c r="H5232" s="24"/>
      <c r="Q5232" s="2"/>
      <c r="R5232" s="2"/>
    </row>
    <row r="5233" spans="1:18" ht="15.75" customHeight="1" x14ac:dyDescent="0.3">
      <c r="A5233" s="11"/>
      <c r="B5233" s="11"/>
      <c r="D5233" s="21"/>
      <c r="E5233" s="22"/>
      <c r="G5233" s="23"/>
      <c r="H5233" s="24"/>
      <c r="Q5233" s="2"/>
      <c r="R5233" s="2"/>
    </row>
    <row r="5234" spans="1:18" ht="15.75" customHeight="1" x14ac:dyDescent="0.3">
      <c r="A5234" s="11"/>
      <c r="B5234" s="11"/>
      <c r="D5234" s="21"/>
      <c r="E5234" s="22"/>
      <c r="G5234" s="23"/>
      <c r="H5234" s="24"/>
      <c r="Q5234" s="2"/>
      <c r="R5234" s="2"/>
    </row>
    <row r="5235" spans="1:18" ht="15.75" customHeight="1" x14ac:dyDescent="0.3">
      <c r="A5235" s="11"/>
      <c r="B5235" s="11"/>
      <c r="D5235" s="21"/>
      <c r="E5235" s="22"/>
      <c r="G5235" s="23"/>
      <c r="H5235" s="24"/>
      <c r="Q5235" s="2"/>
      <c r="R5235" s="2"/>
    </row>
    <row r="5236" spans="1:18" ht="15.75" customHeight="1" x14ac:dyDescent="0.3">
      <c r="A5236" s="11"/>
      <c r="B5236" s="11"/>
      <c r="D5236" s="21"/>
      <c r="E5236" s="22"/>
      <c r="G5236" s="23"/>
      <c r="H5236" s="24"/>
      <c r="Q5236" s="2"/>
      <c r="R5236" s="2"/>
    </row>
    <row r="5237" spans="1:18" ht="15.75" customHeight="1" x14ac:dyDescent="0.3">
      <c r="A5237" s="11"/>
      <c r="B5237" s="11"/>
      <c r="D5237" s="21"/>
      <c r="E5237" s="22"/>
      <c r="G5237" s="23"/>
      <c r="H5237" s="24"/>
      <c r="Q5237" s="2"/>
      <c r="R5237" s="2"/>
    </row>
    <row r="5238" spans="1:18" ht="15.75" customHeight="1" x14ac:dyDescent="0.3">
      <c r="A5238" s="11"/>
      <c r="B5238" s="11"/>
      <c r="D5238" s="21"/>
      <c r="E5238" s="22"/>
      <c r="G5238" s="23"/>
      <c r="H5238" s="24"/>
      <c r="Q5238" s="2"/>
      <c r="R5238" s="2"/>
    </row>
    <row r="5239" spans="1:18" ht="15.75" customHeight="1" x14ac:dyDescent="0.3">
      <c r="A5239" s="11"/>
      <c r="B5239" s="11"/>
      <c r="D5239" s="21"/>
      <c r="E5239" s="22"/>
      <c r="G5239" s="23"/>
      <c r="H5239" s="24"/>
      <c r="Q5239" s="2"/>
      <c r="R5239" s="2"/>
    </row>
    <row r="5240" spans="1:18" ht="15.75" customHeight="1" x14ac:dyDescent="0.3">
      <c r="A5240" s="11"/>
      <c r="B5240" s="11"/>
      <c r="D5240" s="21"/>
      <c r="E5240" s="22"/>
      <c r="G5240" s="23"/>
      <c r="H5240" s="24"/>
      <c r="Q5240" s="2"/>
      <c r="R5240" s="2"/>
    </row>
    <row r="5241" spans="1:18" ht="15.75" customHeight="1" x14ac:dyDescent="0.3">
      <c r="A5241" s="11"/>
      <c r="B5241" s="11"/>
      <c r="D5241" s="21"/>
      <c r="E5241" s="22"/>
      <c r="G5241" s="23"/>
      <c r="H5241" s="24"/>
      <c r="Q5241" s="2"/>
      <c r="R5241" s="2"/>
    </row>
    <row r="5242" spans="1:18" ht="15.75" customHeight="1" x14ac:dyDescent="0.3">
      <c r="A5242" s="11"/>
      <c r="B5242" s="11"/>
      <c r="D5242" s="21"/>
      <c r="E5242" s="22"/>
      <c r="G5242" s="23"/>
      <c r="H5242" s="24"/>
      <c r="Q5242" s="2"/>
      <c r="R5242" s="2"/>
    </row>
    <row r="5243" spans="1:18" ht="15.75" customHeight="1" x14ac:dyDescent="0.3">
      <c r="A5243" s="11"/>
      <c r="B5243" s="11"/>
      <c r="D5243" s="21"/>
      <c r="E5243" s="22"/>
      <c r="G5243" s="23"/>
      <c r="H5243" s="24"/>
      <c r="Q5243" s="2"/>
      <c r="R5243" s="2"/>
    </row>
    <row r="5244" spans="1:18" ht="15.75" customHeight="1" x14ac:dyDescent="0.3">
      <c r="A5244" s="11"/>
      <c r="B5244" s="11"/>
      <c r="D5244" s="21"/>
      <c r="E5244" s="22"/>
      <c r="G5244" s="23"/>
      <c r="H5244" s="24"/>
      <c r="Q5244" s="2"/>
      <c r="R5244" s="2"/>
    </row>
    <row r="5245" spans="1:18" ht="15.75" customHeight="1" x14ac:dyDescent="0.3">
      <c r="A5245" s="11"/>
      <c r="B5245" s="11"/>
      <c r="D5245" s="21"/>
      <c r="E5245" s="22"/>
      <c r="G5245" s="23"/>
      <c r="H5245" s="24"/>
      <c r="Q5245" s="2"/>
      <c r="R5245" s="2"/>
    </row>
    <row r="5246" spans="1:18" ht="15.75" customHeight="1" x14ac:dyDescent="0.3">
      <c r="A5246" s="11"/>
      <c r="B5246" s="11"/>
      <c r="D5246" s="21"/>
      <c r="E5246" s="22"/>
      <c r="G5246" s="23"/>
      <c r="H5246" s="24"/>
      <c r="Q5246" s="2"/>
      <c r="R5246" s="2"/>
    </row>
    <row r="5247" spans="1:18" ht="15.75" customHeight="1" x14ac:dyDescent="0.3">
      <c r="A5247" s="11"/>
      <c r="B5247" s="11"/>
      <c r="D5247" s="21"/>
      <c r="E5247" s="22"/>
      <c r="G5247" s="23"/>
      <c r="H5247" s="24"/>
      <c r="Q5247" s="2"/>
      <c r="R5247" s="2"/>
    </row>
    <row r="5248" spans="1:18" ht="15.75" customHeight="1" x14ac:dyDescent="0.3">
      <c r="A5248" s="11"/>
      <c r="B5248" s="11"/>
      <c r="D5248" s="21"/>
      <c r="E5248" s="22"/>
      <c r="G5248" s="23"/>
      <c r="H5248" s="24"/>
      <c r="Q5248" s="2"/>
      <c r="R5248" s="2"/>
    </row>
    <row r="5249" spans="1:18" ht="15.75" customHeight="1" x14ac:dyDescent="0.3">
      <c r="A5249" s="11"/>
      <c r="B5249" s="11"/>
      <c r="D5249" s="21"/>
      <c r="E5249" s="22"/>
      <c r="G5249" s="23"/>
      <c r="H5249" s="24"/>
      <c r="Q5249" s="2"/>
      <c r="R5249" s="2"/>
    </row>
    <row r="5250" spans="1:18" ht="15.75" customHeight="1" x14ac:dyDescent="0.3">
      <c r="A5250" s="11"/>
      <c r="B5250" s="11"/>
      <c r="D5250" s="21"/>
      <c r="E5250" s="22"/>
      <c r="G5250" s="23"/>
      <c r="H5250" s="24"/>
      <c r="Q5250" s="2"/>
      <c r="R5250" s="2"/>
    </row>
    <row r="5251" spans="1:18" ht="15.75" customHeight="1" x14ac:dyDescent="0.3">
      <c r="A5251" s="11"/>
      <c r="B5251" s="11"/>
      <c r="D5251" s="21"/>
      <c r="E5251" s="22"/>
      <c r="G5251" s="23"/>
      <c r="H5251" s="24"/>
      <c r="Q5251" s="2"/>
      <c r="R5251" s="2"/>
    </row>
    <row r="5252" spans="1:18" ht="15.75" customHeight="1" x14ac:dyDescent="0.3">
      <c r="A5252" s="11"/>
      <c r="B5252" s="11"/>
      <c r="D5252" s="21"/>
      <c r="E5252" s="22"/>
      <c r="G5252" s="23"/>
      <c r="H5252" s="24"/>
      <c r="Q5252" s="2"/>
      <c r="R5252" s="2"/>
    </row>
    <row r="5253" spans="1:18" ht="15.75" customHeight="1" x14ac:dyDescent="0.3">
      <c r="A5253" s="11"/>
      <c r="B5253" s="11"/>
      <c r="D5253" s="21"/>
      <c r="E5253" s="22"/>
      <c r="G5253" s="23"/>
      <c r="H5253" s="24"/>
      <c r="Q5253" s="2"/>
      <c r="R5253" s="2"/>
    </row>
    <row r="5254" spans="1:18" ht="15.75" customHeight="1" x14ac:dyDescent="0.3">
      <c r="A5254" s="11"/>
      <c r="B5254" s="11"/>
      <c r="D5254" s="21"/>
      <c r="E5254" s="22"/>
      <c r="G5254" s="23"/>
      <c r="H5254" s="24"/>
      <c r="Q5254" s="2"/>
      <c r="R5254" s="2"/>
    </row>
    <row r="5255" spans="1:18" ht="15.75" customHeight="1" x14ac:dyDescent="0.3">
      <c r="A5255" s="11"/>
      <c r="B5255" s="11"/>
      <c r="D5255" s="21"/>
      <c r="E5255" s="22"/>
      <c r="G5255" s="23"/>
      <c r="H5255" s="24"/>
      <c r="Q5255" s="2"/>
      <c r="R5255" s="2"/>
    </row>
    <row r="5256" spans="1:18" ht="15.75" customHeight="1" x14ac:dyDescent="0.3">
      <c r="A5256" s="11"/>
      <c r="B5256" s="11"/>
      <c r="D5256" s="21"/>
      <c r="E5256" s="22"/>
      <c r="G5256" s="23"/>
      <c r="H5256" s="24"/>
      <c r="Q5256" s="2"/>
      <c r="R5256" s="2"/>
    </row>
    <row r="5257" spans="1:18" ht="15.75" customHeight="1" x14ac:dyDescent="0.3">
      <c r="A5257" s="11"/>
      <c r="B5257" s="11"/>
      <c r="D5257" s="21"/>
      <c r="E5257" s="22"/>
      <c r="G5257" s="23"/>
      <c r="H5257" s="24"/>
      <c r="Q5257" s="2"/>
      <c r="R5257" s="2"/>
    </row>
    <row r="5258" spans="1:18" ht="15.75" customHeight="1" x14ac:dyDescent="0.3">
      <c r="A5258" s="11"/>
      <c r="B5258" s="11"/>
      <c r="D5258" s="21"/>
      <c r="E5258" s="22"/>
      <c r="G5258" s="23"/>
      <c r="H5258" s="24"/>
      <c r="Q5258" s="2"/>
      <c r="R5258" s="2"/>
    </row>
    <row r="5259" spans="1:18" ht="15.75" customHeight="1" x14ac:dyDescent="0.3">
      <c r="A5259" s="11"/>
      <c r="B5259" s="11"/>
      <c r="D5259" s="21"/>
      <c r="E5259" s="22"/>
      <c r="G5259" s="23"/>
      <c r="H5259" s="24"/>
      <c r="Q5259" s="2"/>
      <c r="R5259" s="2"/>
    </row>
    <row r="5260" spans="1:18" ht="15.75" customHeight="1" x14ac:dyDescent="0.3">
      <c r="A5260" s="11"/>
      <c r="B5260" s="11"/>
      <c r="D5260" s="21"/>
      <c r="E5260" s="22"/>
      <c r="G5260" s="23"/>
      <c r="H5260" s="24"/>
      <c r="Q5260" s="2"/>
      <c r="R5260" s="2"/>
    </row>
    <row r="5261" spans="1:18" ht="15.75" customHeight="1" x14ac:dyDescent="0.3">
      <c r="A5261" s="11"/>
      <c r="B5261" s="11"/>
      <c r="D5261" s="21"/>
      <c r="E5261" s="22"/>
      <c r="G5261" s="23"/>
      <c r="H5261" s="24"/>
      <c r="Q5261" s="2"/>
      <c r="R5261" s="2"/>
    </row>
    <row r="5262" spans="1:18" ht="15.75" customHeight="1" x14ac:dyDescent="0.3">
      <c r="A5262" s="11"/>
      <c r="B5262" s="11"/>
      <c r="D5262" s="21"/>
      <c r="E5262" s="22"/>
      <c r="G5262" s="23"/>
      <c r="H5262" s="24"/>
      <c r="Q5262" s="2"/>
      <c r="R5262" s="2"/>
    </row>
    <row r="5263" spans="1:18" ht="15.75" customHeight="1" x14ac:dyDescent="0.3">
      <c r="A5263" s="11"/>
      <c r="B5263" s="11"/>
      <c r="D5263" s="21"/>
      <c r="E5263" s="22"/>
      <c r="G5263" s="23"/>
      <c r="H5263" s="24"/>
      <c r="Q5263" s="2"/>
      <c r="R5263" s="2"/>
    </row>
    <row r="5264" spans="1:18" ht="15.75" customHeight="1" x14ac:dyDescent="0.3">
      <c r="A5264" s="11"/>
      <c r="B5264" s="11"/>
      <c r="D5264" s="21"/>
      <c r="E5264" s="22"/>
      <c r="G5264" s="23"/>
      <c r="H5264" s="24"/>
      <c r="Q5264" s="2"/>
      <c r="R5264" s="2"/>
    </row>
    <row r="5265" spans="1:18" ht="15.75" customHeight="1" x14ac:dyDescent="0.3">
      <c r="A5265" s="11"/>
      <c r="B5265" s="11"/>
      <c r="D5265" s="21"/>
      <c r="E5265" s="22"/>
      <c r="G5265" s="23"/>
      <c r="H5265" s="24"/>
      <c r="Q5265" s="2"/>
      <c r="R5265" s="2"/>
    </row>
    <row r="5266" spans="1:18" ht="15.75" customHeight="1" x14ac:dyDescent="0.3">
      <c r="A5266" s="11"/>
      <c r="B5266" s="11"/>
      <c r="D5266" s="21"/>
      <c r="E5266" s="22"/>
      <c r="G5266" s="23"/>
      <c r="H5266" s="24"/>
      <c r="Q5266" s="2"/>
      <c r="R5266" s="2"/>
    </row>
    <row r="5267" spans="1:18" ht="15.75" customHeight="1" x14ac:dyDescent="0.3">
      <c r="A5267" s="11"/>
      <c r="B5267" s="11"/>
      <c r="D5267" s="21"/>
      <c r="E5267" s="22"/>
      <c r="G5267" s="23"/>
      <c r="H5267" s="24"/>
      <c r="Q5267" s="2"/>
      <c r="R5267" s="2"/>
    </row>
    <row r="5268" spans="1:18" ht="15.75" customHeight="1" x14ac:dyDescent="0.3">
      <c r="A5268" s="11"/>
      <c r="B5268" s="11"/>
      <c r="D5268" s="21"/>
      <c r="E5268" s="22"/>
      <c r="G5268" s="23"/>
      <c r="H5268" s="24"/>
      <c r="Q5268" s="2"/>
      <c r="R5268" s="2"/>
    </row>
    <row r="5269" spans="1:18" ht="15.75" customHeight="1" x14ac:dyDescent="0.3">
      <c r="A5269" s="11"/>
      <c r="B5269" s="11"/>
      <c r="D5269" s="21"/>
      <c r="E5269" s="22"/>
      <c r="G5269" s="23"/>
      <c r="H5269" s="24"/>
      <c r="Q5269" s="2"/>
      <c r="R5269" s="2"/>
    </row>
    <row r="5270" spans="1:18" ht="15.75" customHeight="1" x14ac:dyDescent="0.3">
      <c r="A5270" s="11"/>
      <c r="B5270" s="11"/>
      <c r="D5270" s="21"/>
      <c r="E5270" s="22"/>
      <c r="G5270" s="23"/>
      <c r="H5270" s="24"/>
      <c r="Q5270" s="2"/>
      <c r="R5270" s="2"/>
    </row>
    <row r="5271" spans="1:18" ht="15.75" customHeight="1" x14ac:dyDescent="0.3">
      <c r="A5271" s="11"/>
      <c r="B5271" s="11"/>
      <c r="D5271" s="21"/>
      <c r="E5271" s="22"/>
      <c r="G5271" s="23"/>
      <c r="H5271" s="24"/>
      <c r="Q5271" s="2"/>
      <c r="R5271" s="2"/>
    </row>
    <row r="5272" spans="1:18" ht="15.75" customHeight="1" x14ac:dyDescent="0.3">
      <c r="A5272" s="11"/>
      <c r="B5272" s="11"/>
      <c r="D5272" s="21"/>
      <c r="E5272" s="22"/>
      <c r="G5272" s="23"/>
      <c r="H5272" s="24"/>
      <c r="Q5272" s="2"/>
      <c r="R5272" s="2"/>
    </row>
    <row r="5273" spans="1:18" ht="15.75" customHeight="1" x14ac:dyDescent="0.3">
      <c r="A5273" s="11"/>
      <c r="B5273" s="11"/>
      <c r="D5273" s="21"/>
      <c r="E5273" s="22"/>
      <c r="G5273" s="23"/>
      <c r="H5273" s="24"/>
      <c r="Q5273" s="2"/>
      <c r="R5273" s="2"/>
    </row>
    <row r="5274" spans="1:18" ht="15.75" customHeight="1" x14ac:dyDescent="0.3">
      <c r="A5274" s="11"/>
      <c r="B5274" s="11"/>
      <c r="D5274" s="21"/>
      <c r="E5274" s="22"/>
      <c r="G5274" s="23"/>
      <c r="H5274" s="24"/>
      <c r="Q5274" s="2"/>
      <c r="R5274" s="2"/>
    </row>
    <row r="5275" spans="1:18" ht="15.75" customHeight="1" x14ac:dyDescent="0.3">
      <c r="A5275" s="11"/>
      <c r="B5275" s="11"/>
      <c r="D5275" s="21"/>
      <c r="E5275" s="22"/>
      <c r="G5275" s="23"/>
      <c r="H5275" s="24"/>
      <c r="Q5275" s="2"/>
      <c r="R5275" s="2"/>
    </row>
    <row r="5276" spans="1:18" ht="15.75" customHeight="1" x14ac:dyDescent="0.3">
      <c r="A5276" s="11"/>
      <c r="B5276" s="11"/>
      <c r="D5276" s="21"/>
      <c r="E5276" s="22"/>
      <c r="G5276" s="23"/>
      <c r="H5276" s="24"/>
      <c r="Q5276" s="2"/>
      <c r="R5276" s="2"/>
    </row>
    <row r="5277" spans="1:18" ht="15.75" customHeight="1" x14ac:dyDescent="0.3">
      <c r="A5277" s="11"/>
      <c r="B5277" s="11"/>
      <c r="D5277" s="21"/>
      <c r="E5277" s="22"/>
      <c r="G5277" s="23"/>
      <c r="H5277" s="24"/>
      <c r="Q5277" s="2"/>
      <c r="R5277" s="2"/>
    </row>
    <row r="5278" spans="1:18" ht="15.75" customHeight="1" x14ac:dyDescent="0.3">
      <c r="A5278" s="11"/>
      <c r="B5278" s="11"/>
      <c r="D5278" s="21"/>
      <c r="E5278" s="22"/>
      <c r="G5278" s="23"/>
      <c r="H5278" s="24"/>
      <c r="Q5278" s="2"/>
      <c r="R5278" s="2"/>
    </row>
    <row r="5279" spans="1:18" ht="15.75" customHeight="1" x14ac:dyDescent="0.3">
      <c r="A5279" s="11"/>
      <c r="B5279" s="11"/>
      <c r="D5279" s="21"/>
      <c r="E5279" s="22"/>
      <c r="G5279" s="23"/>
      <c r="H5279" s="24"/>
      <c r="Q5279" s="2"/>
      <c r="R5279" s="2"/>
    </row>
    <row r="5280" spans="1:18" ht="15.75" customHeight="1" x14ac:dyDescent="0.3">
      <c r="A5280" s="11"/>
      <c r="B5280" s="11"/>
      <c r="D5280" s="21"/>
      <c r="E5280" s="22"/>
      <c r="G5280" s="23"/>
      <c r="H5280" s="24"/>
      <c r="Q5280" s="2"/>
      <c r="R5280" s="2"/>
    </row>
    <row r="5281" spans="1:18" ht="15.75" customHeight="1" x14ac:dyDescent="0.3">
      <c r="A5281" s="11"/>
      <c r="B5281" s="11"/>
      <c r="D5281" s="21"/>
      <c r="E5281" s="22"/>
      <c r="G5281" s="23"/>
      <c r="H5281" s="24"/>
      <c r="Q5281" s="2"/>
      <c r="R5281" s="2"/>
    </row>
    <row r="5282" spans="1:18" ht="15.75" customHeight="1" x14ac:dyDescent="0.3">
      <c r="A5282" s="11"/>
      <c r="B5282" s="11"/>
      <c r="D5282" s="21"/>
      <c r="E5282" s="22"/>
      <c r="G5282" s="23"/>
      <c r="H5282" s="24"/>
      <c r="Q5282" s="2"/>
      <c r="R5282" s="2"/>
    </row>
    <row r="5283" spans="1:18" ht="15.75" customHeight="1" x14ac:dyDescent="0.3">
      <c r="A5283" s="11"/>
      <c r="B5283" s="11"/>
      <c r="D5283" s="21"/>
      <c r="E5283" s="22"/>
      <c r="G5283" s="23"/>
      <c r="H5283" s="24"/>
      <c r="Q5283" s="2"/>
      <c r="R5283" s="2"/>
    </row>
    <row r="5284" spans="1:18" ht="15.75" customHeight="1" x14ac:dyDescent="0.3">
      <c r="A5284" s="11"/>
      <c r="B5284" s="11"/>
      <c r="D5284" s="21"/>
      <c r="E5284" s="22"/>
      <c r="G5284" s="23"/>
      <c r="H5284" s="24"/>
      <c r="Q5284" s="2"/>
      <c r="R5284" s="2"/>
    </row>
    <row r="5285" spans="1:18" ht="15.75" customHeight="1" x14ac:dyDescent="0.3">
      <c r="A5285" s="11"/>
      <c r="B5285" s="11"/>
      <c r="D5285" s="21"/>
      <c r="E5285" s="22"/>
      <c r="G5285" s="23"/>
      <c r="H5285" s="24"/>
      <c r="Q5285" s="2"/>
      <c r="R5285" s="2"/>
    </row>
    <row r="5286" spans="1:18" ht="15.75" customHeight="1" x14ac:dyDescent="0.3">
      <c r="A5286" s="11"/>
      <c r="B5286" s="11"/>
      <c r="D5286" s="21"/>
      <c r="E5286" s="22"/>
      <c r="G5286" s="23"/>
      <c r="H5286" s="24"/>
      <c r="Q5286" s="2"/>
      <c r="R5286" s="2"/>
    </row>
    <row r="5287" spans="1:18" ht="15.75" customHeight="1" x14ac:dyDescent="0.3">
      <c r="A5287" s="11"/>
      <c r="B5287" s="11"/>
      <c r="D5287" s="21"/>
      <c r="E5287" s="22"/>
      <c r="G5287" s="23"/>
      <c r="H5287" s="24"/>
      <c r="Q5287" s="2"/>
      <c r="R5287" s="2"/>
    </row>
    <row r="5288" spans="1:18" ht="15.75" customHeight="1" x14ac:dyDescent="0.3">
      <c r="A5288" s="11"/>
      <c r="B5288" s="11"/>
      <c r="D5288" s="21"/>
      <c r="E5288" s="22"/>
      <c r="G5288" s="23"/>
      <c r="H5288" s="24"/>
      <c r="Q5288" s="2"/>
      <c r="R5288" s="2"/>
    </row>
    <row r="5289" spans="1:18" ht="15.75" customHeight="1" x14ac:dyDescent="0.3">
      <c r="A5289" s="11"/>
      <c r="B5289" s="11"/>
      <c r="D5289" s="21"/>
      <c r="E5289" s="22"/>
      <c r="G5289" s="23"/>
      <c r="H5289" s="24"/>
      <c r="Q5289" s="2"/>
      <c r="R5289" s="2"/>
    </row>
    <row r="5290" spans="1:18" ht="15.75" customHeight="1" x14ac:dyDescent="0.3">
      <c r="A5290" s="11"/>
      <c r="B5290" s="11"/>
      <c r="D5290" s="21"/>
      <c r="E5290" s="22"/>
      <c r="G5290" s="23"/>
      <c r="H5290" s="24"/>
      <c r="Q5290" s="2"/>
      <c r="R5290" s="2"/>
    </row>
    <row r="5291" spans="1:18" ht="15.75" customHeight="1" x14ac:dyDescent="0.3">
      <c r="A5291" s="11"/>
      <c r="B5291" s="11"/>
      <c r="D5291" s="21"/>
      <c r="E5291" s="22"/>
      <c r="G5291" s="23"/>
      <c r="H5291" s="24"/>
      <c r="Q5291" s="2"/>
      <c r="R5291" s="2"/>
    </row>
    <row r="5292" spans="1:18" ht="15.75" customHeight="1" x14ac:dyDescent="0.3">
      <c r="A5292" s="11"/>
      <c r="B5292" s="11"/>
      <c r="D5292" s="21"/>
      <c r="E5292" s="22"/>
      <c r="G5292" s="23"/>
      <c r="H5292" s="24"/>
      <c r="Q5292" s="2"/>
      <c r="R5292" s="2"/>
    </row>
    <row r="5293" spans="1:18" ht="15.75" customHeight="1" x14ac:dyDescent="0.3">
      <c r="A5293" s="11"/>
      <c r="B5293" s="11"/>
      <c r="D5293" s="21"/>
      <c r="E5293" s="22"/>
      <c r="G5293" s="23"/>
      <c r="H5293" s="24"/>
      <c r="Q5293" s="2"/>
      <c r="R5293" s="2"/>
    </row>
    <row r="5294" spans="1:18" ht="15.75" customHeight="1" x14ac:dyDescent="0.3">
      <c r="A5294" s="11"/>
      <c r="B5294" s="11"/>
      <c r="D5294" s="21"/>
      <c r="E5294" s="22"/>
      <c r="G5294" s="23"/>
      <c r="H5294" s="24"/>
      <c r="Q5294" s="2"/>
      <c r="R5294" s="2"/>
    </row>
    <row r="5295" spans="1:18" ht="15.75" customHeight="1" x14ac:dyDescent="0.3">
      <c r="A5295" s="11"/>
      <c r="B5295" s="11"/>
      <c r="D5295" s="21"/>
      <c r="E5295" s="22"/>
      <c r="G5295" s="23"/>
      <c r="H5295" s="24"/>
      <c r="Q5295" s="2"/>
      <c r="R5295" s="2"/>
    </row>
    <row r="5296" spans="1:18" ht="15.75" customHeight="1" x14ac:dyDescent="0.3">
      <c r="A5296" s="11"/>
      <c r="B5296" s="11"/>
      <c r="D5296" s="21"/>
      <c r="E5296" s="22"/>
      <c r="G5296" s="23"/>
      <c r="H5296" s="24"/>
      <c r="Q5296" s="2"/>
      <c r="R5296" s="2"/>
    </row>
    <row r="5297" spans="1:18" ht="15.75" customHeight="1" x14ac:dyDescent="0.3">
      <c r="A5297" s="11"/>
      <c r="B5297" s="11"/>
      <c r="D5297" s="21"/>
      <c r="E5297" s="22"/>
      <c r="G5297" s="23"/>
      <c r="H5297" s="24"/>
      <c r="Q5297" s="2"/>
      <c r="R5297" s="2"/>
    </row>
    <row r="5298" spans="1:18" ht="15.75" customHeight="1" x14ac:dyDescent="0.3">
      <c r="A5298" s="11"/>
      <c r="B5298" s="11"/>
      <c r="D5298" s="21"/>
      <c r="E5298" s="22"/>
      <c r="G5298" s="23"/>
      <c r="H5298" s="24"/>
      <c r="Q5298" s="2"/>
      <c r="R5298" s="2"/>
    </row>
    <row r="5299" spans="1:18" ht="15.75" customHeight="1" x14ac:dyDescent="0.3">
      <c r="A5299" s="11"/>
      <c r="B5299" s="11"/>
      <c r="D5299" s="21"/>
      <c r="E5299" s="22"/>
      <c r="G5299" s="23"/>
      <c r="H5299" s="24"/>
      <c r="Q5299" s="2"/>
      <c r="R5299" s="2"/>
    </row>
    <row r="5300" spans="1:18" ht="15.75" customHeight="1" x14ac:dyDescent="0.3">
      <c r="A5300" s="11"/>
      <c r="B5300" s="11"/>
      <c r="D5300" s="21"/>
      <c r="E5300" s="22"/>
      <c r="G5300" s="23"/>
      <c r="H5300" s="24"/>
      <c r="Q5300" s="2"/>
      <c r="R5300" s="2"/>
    </row>
    <row r="5301" spans="1:18" ht="15.75" customHeight="1" x14ac:dyDescent="0.3">
      <c r="A5301" s="11"/>
      <c r="B5301" s="11"/>
      <c r="D5301" s="21"/>
      <c r="E5301" s="22"/>
      <c r="G5301" s="23"/>
      <c r="H5301" s="24"/>
      <c r="Q5301" s="2"/>
      <c r="R5301" s="2"/>
    </row>
    <row r="5302" spans="1:18" ht="15.75" customHeight="1" x14ac:dyDescent="0.3">
      <c r="A5302" s="11"/>
      <c r="B5302" s="11"/>
      <c r="D5302" s="21"/>
      <c r="E5302" s="22"/>
      <c r="G5302" s="23"/>
      <c r="H5302" s="24"/>
      <c r="Q5302" s="2"/>
      <c r="R5302" s="2"/>
    </row>
    <row r="5303" spans="1:18" ht="15.75" customHeight="1" x14ac:dyDescent="0.3">
      <c r="A5303" s="11"/>
      <c r="B5303" s="11"/>
      <c r="D5303" s="21"/>
      <c r="E5303" s="22"/>
      <c r="G5303" s="23"/>
      <c r="H5303" s="24"/>
      <c r="Q5303" s="2"/>
      <c r="R5303" s="2"/>
    </row>
    <row r="5304" spans="1:18" ht="15.75" customHeight="1" x14ac:dyDescent="0.3">
      <c r="A5304" s="11"/>
      <c r="B5304" s="11"/>
      <c r="D5304" s="21"/>
      <c r="E5304" s="22"/>
      <c r="G5304" s="23"/>
      <c r="H5304" s="24"/>
      <c r="Q5304" s="2"/>
      <c r="R5304" s="2"/>
    </row>
    <row r="5305" spans="1:18" ht="15.75" customHeight="1" x14ac:dyDescent="0.3">
      <c r="A5305" s="11"/>
      <c r="B5305" s="11"/>
      <c r="D5305" s="21"/>
      <c r="E5305" s="22"/>
      <c r="G5305" s="23"/>
      <c r="H5305" s="24"/>
      <c r="Q5305" s="2"/>
      <c r="R5305" s="2"/>
    </row>
    <row r="5306" spans="1:18" ht="15.75" customHeight="1" x14ac:dyDescent="0.3">
      <c r="A5306" s="11"/>
      <c r="B5306" s="11"/>
      <c r="D5306" s="21"/>
      <c r="E5306" s="22"/>
      <c r="G5306" s="23"/>
      <c r="H5306" s="24"/>
      <c r="Q5306" s="2"/>
      <c r="R5306" s="2"/>
    </row>
    <row r="5307" spans="1:18" ht="15.75" customHeight="1" x14ac:dyDescent="0.3">
      <c r="A5307" s="11"/>
      <c r="B5307" s="11"/>
      <c r="D5307" s="21"/>
      <c r="E5307" s="22"/>
      <c r="G5307" s="23"/>
      <c r="H5307" s="24"/>
      <c r="Q5307" s="2"/>
      <c r="R5307" s="2"/>
    </row>
    <row r="5308" spans="1:18" ht="15.75" customHeight="1" x14ac:dyDescent="0.3">
      <c r="A5308" s="11"/>
      <c r="B5308" s="11"/>
      <c r="D5308" s="21"/>
      <c r="E5308" s="22"/>
      <c r="G5308" s="23"/>
      <c r="H5308" s="24"/>
      <c r="Q5308" s="2"/>
      <c r="R5308" s="2"/>
    </row>
    <row r="5309" spans="1:18" ht="15.75" customHeight="1" x14ac:dyDescent="0.3">
      <c r="A5309" s="11"/>
      <c r="B5309" s="11"/>
      <c r="D5309" s="21"/>
      <c r="E5309" s="22"/>
      <c r="G5309" s="23"/>
      <c r="H5309" s="24"/>
      <c r="Q5309" s="2"/>
      <c r="R5309" s="2"/>
    </row>
    <row r="5310" spans="1:18" ht="15.75" customHeight="1" x14ac:dyDescent="0.3">
      <c r="A5310" s="11"/>
      <c r="B5310" s="11"/>
      <c r="D5310" s="21"/>
      <c r="E5310" s="22"/>
      <c r="G5310" s="23"/>
      <c r="H5310" s="24"/>
      <c r="Q5310" s="2"/>
      <c r="R5310" s="2"/>
    </row>
    <row r="5311" spans="1:18" ht="15.75" customHeight="1" x14ac:dyDescent="0.3">
      <c r="A5311" s="11"/>
      <c r="B5311" s="11"/>
      <c r="D5311" s="21"/>
      <c r="E5311" s="22"/>
      <c r="G5311" s="23"/>
      <c r="H5311" s="24"/>
      <c r="Q5311" s="2"/>
      <c r="R5311" s="2"/>
    </row>
    <row r="5312" spans="1:18" ht="15.75" customHeight="1" x14ac:dyDescent="0.3">
      <c r="A5312" s="11"/>
      <c r="B5312" s="11"/>
      <c r="D5312" s="21"/>
      <c r="E5312" s="22"/>
      <c r="G5312" s="23"/>
      <c r="H5312" s="24"/>
      <c r="Q5312" s="2"/>
      <c r="R5312" s="2"/>
    </row>
    <row r="5313" spans="1:18" ht="15.75" customHeight="1" x14ac:dyDescent="0.3">
      <c r="A5313" s="11"/>
      <c r="B5313" s="11"/>
      <c r="D5313" s="21"/>
      <c r="E5313" s="22"/>
      <c r="G5313" s="23"/>
      <c r="H5313" s="24"/>
      <c r="Q5313" s="2"/>
      <c r="R5313" s="2"/>
    </row>
    <row r="5314" spans="1:18" ht="15.75" customHeight="1" x14ac:dyDescent="0.3">
      <c r="A5314" s="11"/>
      <c r="B5314" s="11"/>
      <c r="D5314" s="21"/>
      <c r="E5314" s="22"/>
      <c r="G5314" s="23"/>
      <c r="H5314" s="24"/>
      <c r="Q5314" s="2"/>
      <c r="R5314" s="2"/>
    </row>
    <row r="5315" spans="1:18" ht="15.75" customHeight="1" x14ac:dyDescent="0.3">
      <c r="A5315" s="11"/>
      <c r="B5315" s="11"/>
      <c r="D5315" s="21"/>
      <c r="E5315" s="22"/>
      <c r="G5315" s="23"/>
      <c r="H5315" s="24"/>
      <c r="Q5315" s="2"/>
      <c r="R5315" s="2"/>
    </row>
    <row r="5316" spans="1:18" ht="15.75" customHeight="1" x14ac:dyDescent="0.3">
      <c r="A5316" s="11"/>
      <c r="B5316" s="11"/>
      <c r="D5316" s="21"/>
      <c r="E5316" s="22"/>
      <c r="G5316" s="23"/>
      <c r="H5316" s="24"/>
      <c r="Q5316" s="2"/>
      <c r="R5316" s="2"/>
    </row>
    <row r="5317" spans="1:18" ht="15.75" customHeight="1" x14ac:dyDescent="0.3">
      <c r="A5317" s="11"/>
      <c r="B5317" s="11"/>
      <c r="D5317" s="21"/>
      <c r="E5317" s="22"/>
      <c r="G5317" s="23"/>
      <c r="H5317" s="24"/>
      <c r="Q5317" s="2"/>
      <c r="R5317" s="2"/>
    </row>
    <row r="5318" spans="1:18" ht="15.75" customHeight="1" x14ac:dyDescent="0.3">
      <c r="A5318" s="11"/>
      <c r="B5318" s="11"/>
      <c r="D5318" s="21"/>
      <c r="E5318" s="22"/>
      <c r="G5318" s="23"/>
      <c r="H5318" s="24"/>
      <c r="Q5318" s="2"/>
      <c r="R5318" s="2"/>
    </row>
    <row r="5319" spans="1:18" ht="15.75" customHeight="1" x14ac:dyDescent="0.3">
      <c r="A5319" s="11"/>
      <c r="B5319" s="11"/>
      <c r="D5319" s="21"/>
      <c r="E5319" s="22"/>
      <c r="G5319" s="23"/>
      <c r="H5319" s="24"/>
      <c r="Q5319" s="2"/>
      <c r="R5319" s="2"/>
    </row>
    <row r="5320" spans="1:18" ht="15.75" customHeight="1" x14ac:dyDescent="0.3">
      <c r="A5320" s="11"/>
      <c r="B5320" s="11"/>
      <c r="D5320" s="21"/>
      <c r="E5320" s="22"/>
      <c r="G5320" s="23"/>
      <c r="H5320" s="24"/>
      <c r="Q5320" s="2"/>
      <c r="R5320" s="2"/>
    </row>
    <row r="5321" spans="1:18" ht="15.75" customHeight="1" x14ac:dyDescent="0.3">
      <c r="A5321" s="11"/>
      <c r="B5321" s="11"/>
      <c r="D5321" s="21"/>
      <c r="E5321" s="22"/>
      <c r="G5321" s="23"/>
      <c r="H5321" s="24"/>
      <c r="Q5321" s="2"/>
      <c r="R5321" s="2"/>
    </row>
    <row r="5322" spans="1:18" ht="15.75" customHeight="1" x14ac:dyDescent="0.3">
      <c r="A5322" s="11"/>
      <c r="B5322" s="11"/>
      <c r="D5322" s="21"/>
      <c r="E5322" s="22"/>
      <c r="G5322" s="23"/>
      <c r="H5322" s="24"/>
      <c r="Q5322" s="2"/>
      <c r="R5322" s="2"/>
    </row>
    <row r="5323" spans="1:18" ht="15.75" customHeight="1" x14ac:dyDescent="0.3">
      <c r="A5323" s="11"/>
      <c r="B5323" s="11"/>
      <c r="D5323" s="21"/>
      <c r="E5323" s="22"/>
      <c r="G5323" s="23"/>
      <c r="H5323" s="24"/>
      <c r="Q5323" s="2"/>
      <c r="R5323" s="2"/>
    </row>
    <row r="5324" spans="1:18" ht="15.75" customHeight="1" x14ac:dyDescent="0.3">
      <c r="A5324" s="11"/>
      <c r="B5324" s="11"/>
      <c r="D5324" s="21"/>
      <c r="E5324" s="22"/>
      <c r="G5324" s="23"/>
      <c r="H5324" s="24"/>
      <c r="Q5324" s="2"/>
      <c r="R5324" s="2"/>
    </row>
    <row r="5325" spans="1:18" ht="15.75" customHeight="1" x14ac:dyDescent="0.3">
      <c r="A5325" s="11"/>
      <c r="B5325" s="11"/>
      <c r="D5325" s="21"/>
      <c r="E5325" s="22"/>
      <c r="G5325" s="23"/>
      <c r="H5325" s="24"/>
      <c r="Q5325" s="2"/>
      <c r="R5325" s="2"/>
    </row>
    <row r="5326" spans="1:18" ht="15.75" customHeight="1" x14ac:dyDescent="0.3">
      <c r="A5326" s="11"/>
      <c r="B5326" s="11"/>
      <c r="D5326" s="21"/>
      <c r="E5326" s="22"/>
      <c r="G5326" s="23"/>
      <c r="H5326" s="24"/>
      <c r="Q5326" s="2"/>
      <c r="R5326" s="2"/>
    </row>
    <row r="5327" spans="1:18" ht="15.75" customHeight="1" x14ac:dyDescent="0.3">
      <c r="A5327" s="11"/>
      <c r="B5327" s="11"/>
      <c r="D5327" s="21"/>
      <c r="E5327" s="22"/>
      <c r="G5327" s="23"/>
      <c r="H5327" s="24"/>
      <c r="Q5327" s="2"/>
      <c r="R5327" s="2"/>
    </row>
    <row r="5328" spans="1:18" ht="15.75" customHeight="1" x14ac:dyDescent="0.3">
      <c r="A5328" s="11"/>
      <c r="B5328" s="11"/>
      <c r="D5328" s="21"/>
      <c r="E5328" s="22"/>
      <c r="G5328" s="23"/>
      <c r="H5328" s="24"/>
      <c r="Q5328" s="2"/>
      <c r="R5328" s="2"/>
    </row>
    <row r="5329" spans="1:18" ht="15.75" customHeight="1" x14ac:dyDescent="0.3">
      <c r="A5329" s="11"/>
      <c r="B5329" s="11"/>
      <c r="D5329" s="21"/>
      <c r="E5329" s="22"/>
      <c r="G5329" s="23"/>
      <c r="H5329" s="24"/>
      <c r="Q5329" s="2"/>
      <c r="R5329" s="2"/>
    </row>
    <row r="5330" spans="1:18" ht="15.75" customHeight="1" x14ac:dyDescent="0.3">
      <c r="A5330" s="11"/>
      <c r="B5330" s="11"/>
      <c r="D5330" s="21"/>
      <c r="E5330" s="22"/>
      <c r="G5330" s="23"/>
      <c r="H5330" s="24"/>
      <c r="Q5330" s="2"/>
      <c r="R5330" s="2"/>
    </row>
    <row r="5331" spans="1:18" ht="15.75" customHeight="1" x14ac:dyDescent="0.3">
      <c r="A5331" s="11"/>
      <c r="B5331" s="11"/>
      <c r="D5331" s="21"/>
      <c r="E5331" s="22"/>
      <c r="G5331" s="23"/>
      <c r="H5331" s="24"/>
      <c r="Q5331" s="2"/>
      <c r="R5331" s="2"/>
    </row>
    <row r="5332" spans="1:18" ht="15.75" customHeight="1" x14ac:dyDescent="0.3">
      <c r="A5332" s="11"/>
      <c r="B5332" s="11"/>
      <c r="D5332" s="21"/>
      <c r="E5332" s="22"/>
      <c r="G5332" s="23"/>
      <c r="H5332" s="24"/>
      <c r="Q5332" s="2"/>
      <c r="R5332" s="2"/>
    </row>
    <row r="5333" spans="1:18" ht="15.75" customHeight="1" x14ac:dyDescent="0.3">
      <c r="A5333" s="11"/>
      <c r="B5333" s="11"/>
      <c r="D5333" s="21"/>
      <c r="E5333" s="22"/>
      <c r="G5333" s="23"/>
      <c r="H5333" s="24"/>
      <c r="Q5333" s="2"/>
      <c r="R5333" s="2"/>
    </row>
    <row r="5334" spans="1:18" ht="15.75" customHeight="1" x14ac:dyDescent="0.3">
      <c r="A5334" s="11"/>
      <c r="B5334" s="11"/>
      <c r="D5334" s="21"/>
      <c r="E5334" s="22"/>
      <c r="G5334" s="23"/>
      <c r="H5334" s="24"/>
      <c r="Q5334" s="2"/>
      <c r="R5334" s="2"/>
    </row>
    <row r="5335" spans="1:18" ht="15.75" customHeight="1" x14ac:dyDescent="0.3">
      <c r="A5335" s="11"/>
      <c r="B5335" s="11"/>
      <c r="D5335" s="21"/>
      <c r="E5335" s="22"/>
      <c r="G5335" s="23"/>
      <c r="H5335" s="24"/>
      <c r="Q5335" s="2"/>
      <c r="R5335" s="2"/>
    </row>
    <row r="5336" spans="1:18" ht="15.75" customHeight="1" x14ac:dyDescent="0.3">
      <c r="A5336" s="11"/>
      <c r="B5336" s="11"/>
      <c r="D5336" s="21"/>
      <c r="E5336" s="22"/>
      <c r="G5336" s="23"/>
      <c r="H5336" s="24"/>
      <c r="Q5336" s="2"/>
      <c r="R5336" s="2"/>
    </row>
    <row r="5337" spans="1:18" ht="15.75" customHeight="1" x14ac:dyDescent="0.3">
      <c r="A5337" s="11"/>
      <c r="B5337" s="11"/>
      <c r="D5337" s="21"/>
      <c r="E5337" s="22"/>
      <c r="G5337" s="23"/>
      <c r="H5337" s="24"/>
      <c r="Q5337" s="2"/>
      <c r="R5337" s="2"/>
    </row>
    <row r="5338" spans="1:18" ht="15.75" customHeight="1" x14ac:dyDescent="0.3">
      <c r="A5338" s="11"/>
      <c r="B5338" s="11"/>
      <c r="D5338" s="21"/>
      <c r="E5338" s="22"/>
      <c r="G5338" s="23"/>
      <c r="H5338" s="24"/>
      <c r="Q5338" s="2"/>
      <c r="R5338" s="2"/>
    </row>
    <row r="5339" spans="1:18" ht="15.75" customHeight="1" x14ac:dyDescent="0.3">
      <c r="A5339" s="11"/>
      <c r="B5339" s="11"/>
      <c r="D5339" s="21"/>
      <c r="E5339" s="22"/>
      <c r="G5339" s="23"/>
      <c r="H5339" s="24"/>
      <c r="Q5339" s="2"/>
      <c r="R5339" s="2"/>
    </row>
    <row r="5340" spans="1:18" ht="15.75" customHeight="1" x14ac:dyDescent="0.3">
      <c r="A5340" s="11"/>
      <c r="B5340" s="11"/>
      <c r="D5340" s="21"/>
      <c r="E5340" s="22"/>
      <c r="G5340" s="23"/>
      <c r="H5340" s="24"/>
      <c r="Q5340" s="2"/>
      <c r="R5340" s="2"/>
    </row>
    <row r="5341" spans="1:18" ht="15.75" customHeight="1" x14ac:dyDescent="0.3">
      <c r="A5341" s="11"/>
      <c r="B5341" s="11"/>
      <c r="D5341" s="21"/>
      <c r="E5341" s="22"/>
      <c r="G5341" s="23"/>
      <c r="H5341" s="24"/>
      <c r="Q5341" s="2"/>
      <c r="R5341" s="2"/>
    </row>
    <row r="5342" spans="1:18" ht="15.75" customHeight="1" x14ac:dyDescent="0.3">
      <c r="A5342" s="11"/>
      <c r="B5342" s="11"/>
      <c r="D5342" s="21"/>
      <c r="E5342" s="22"/>
      <c r="G5342" s="23"/>
      <c r="H5342" s="24"/>
      <c r="Q5342" s="2"/>
      <c r="R5342" s="2"/>
    </row>
    <row r="5343" spans="1:18" ht="15.75" customHeight="1" x14ac:dyDescent="0.3">
      <c r="A5343" s="11"/>
      <c r="B5343" s="11"/>
      <c r="D5343" s="21"/>
      <c r="E5343" s="22"/>
      <c r="G5343" s="23"/>
      <c r="H5343" s="24"/>
      <c r="Q5343" s="2"/>
      <c r="R5343" s="2"/>
    </row>
    <row r="5344" spans="1:18" ht="15.75" customHeight="1" x14ac:dyDescent="0.3">
      <c r="A5344" s="11"/>
      <c r="B5344" s="11"/>
      <c r="D5344" s="21"/>
      <c r="E5344" s="22"/>
      <c r="G5344" s="23"/>
      <c r="H5344" s="24"/>
      <c r="Q5344" s="2"/>
      <c r="R5344" s="2"/>
    </row>
    <row r="5345" spans="1:18" ht="15.75" customHeight="1" x14ac:dyDescent="0.3">
      <c r="A5345" s="11"/>
      <c r="B5345" s="11"/>
      <c r="D5345" s="21"/>
      <c r="E5345" s="22"/>
      <c r="G5345" s="23"/>
      <c r="H5345" s="24"/>
      <c r="Q5345" s="2"/>
      <c r="R5345" s="2"/>
    </row>
    <row r="5346" spans="1:18" ht="15.75" customHeight="1" x14ac:dyDescent="0.3">
      <c r="A5346" s="11"/>
      <c r="B5346" s="11"/>
      <c r="D5346" s="21"/>
      <c r="E5346" s="22"/>
      <c r="G5346" s="23"/>
      <c r="H5346" s="24"/>
      <c r="Q5346" s="2"/>
      <c r="R5346" s="2"/>
    </row>
    <row r="5347" spans="1:18" ht="15.75" customHeight="1" x14ac:dyDescent="0.3">
      <c r="A5347" s="11"/>
      <c r="B5347" s="11"/>
      <c r="D5347" s="21"/>
      <c r="E5347" s="22"/>
      <c r="G5347" s="23"/>
      <c r="H5347" s="24"/>
      <c r="Q5347" s="2"/>
      <c r="R5347" s="2"/>
    </row>
    <row r="5348" spans="1:18" ht="15.75" customHeight="1" x14ac:dyDescent="0.3">
      <c r="A5348" s="11"/>
      <c r="B5348" s="11"/>
      <c r="D5348" s="21"/>
      <c r="E5348" s="22"/>
      <c r="G5348" s="23"/>
      <c r="H5348" s="24"/>
      <c r="Q5348" s="2"/>
      <c r="R5348" s="2"/>
    </row>
    <row r="5349" spans="1:18" ht="15.75" customHeight="1" x14ac:dyDescent="0.3">
      <c r="A5349" s="11"/>
      <c r="B5349" s="11"/>
      <c r="D5349" s="21"/>
      <c r="E5349" s="22"/>
      <c r="G5349" s="23"/>
      <c r="H5349" s="24"/>
      <c r="Q5349" s="2"/>
      <c r="R5349" s="2"/>
    </row>
    <row r="5350" spans="1:18" ht="15.75" customHeight="1" x14ac:dyDescent="0.3">
      <c r="A5350" s="11"/>
      <c r="B5350" s="11"/>
      <c r="D5350" s="21"/>
      <c r="E5350" s="22"/>
      <c r="G5350" s="23"/>
      <c r="H5350" s="24"/>
      <c r="Q5350" s="2"/>
      <c r="R5350" s="2"/>
    </row>
    <row r="5351" spans="1:18" ht="15.75" customHeight="1" x14ac:dyDescent="0.3">
      <c r="A5351" s="11"/>
      <c r="B5351" s="11"/>
      <c r="D5351" s="21"/>
      <c r="E5351" s="22"/>
      <c r="G5351" s="23"/>
      <c r="H5351" s="24"/>
      <c r="Q5351" s="2"/>
      <c r="R5351" s="2"/>
    </row>
    <row r="5352" spans="1:18" ht="15.75" customHeight="1" x14ac:dyDescent="0.3">
      <c r="A5352" s="11"/>
      <c r="B5352" s="11"/>
      <c r="D5352" s="21"/>
      <c r="E5352" s="22"/>
      <c r="G5352" s="23"/>
      <c r="H5352" s="24"/>
      <c r="Q5352" s="2"/>
      <c r="R5352" s="2"/>
    </row>
    <row r="5353" spans="1:18" ht="15.75" customHeight="1" x14ac:dyDescent="0.3">
      <c r="A5353" s="11"/>
      <c r="B5353" s="11"/>
      <c r="D5353" s="21"/>
      <c r="E5353" s="22"/>
      <c r="G5353" s="23"/>
      <c r="H5353" s="24"/>
      <c r="Q5353" s="2"/>
      <c r="R5353" s="2"/>
    </row>
    <row r="5354" spans="1:18" ht="15.75" customHeight="1" x14ac:dyDescent="0.3">
      <c r="A5354" s="11"/>
      <c r="B5354" s="11"/>
      <c r="D5354" s="21"/>
      <c r="E5354" s="22"/>
      <c r="G5354" s="23"/>
      <c r="H5354" s="24"/>
      <c r="Q5354" s="2"/>
      <c r="R5354" s="2"/>
    </row>
    <row r="5355" spans="1:18" ht="15.75" customHeight="1" x14ac:dyDescent="0.3">
      <c r="A5355" s="11"/>
      <c r="B5355" s="11"/>
      <c r="D5355" s="21"/>
      <c r="E5355" s="22"/>
      <c r="G5355" s="23"/>
      <c r="H5355" s="24"/>
      <c r="Q5355" s="2"/>
      <c r="R5355" s="2"/>
    </row>
    <row r="5356" spans="1:18" ht="15.75" customHeight="1" x14ac:dyDescent="0.3">
      <c r="A5356" s="11"/>
      <c r="B5356" s="11"/>
      <c r="D5356" s="21"/>
      <c r="E5356" s="22"/>
      <c r="G5356" s="23"/>
      <c r="H5356" s="24"/>
      <c r="Q5356" s="2"/>
      <c r="R5356" s="2"/>
    </row>
    <row r="5357" spans="1:18" ht="15.75" customHeight="1" x14ac:dyDescent="0.3">
      <c r="A5357" s="11"/>
      <c r="B5357" s="11"/>
      <c r="D5357" s="21"/>
      <c r="E5357" s="22"/>
      <c r="G5357" s="23"/>
      <c r="H5357" s="24"/>
      <c r="Q5357" s="2"/>
      <c r="R5357" s="2"/>
    </row>
    <row r="5358" spans="1:18" ht="15.75" customHeight="1" x14ac:dyDescent="0.3">
      <c r="A5358" s="11"/>
      <c r="B5358" s="11"/>
      <c r="D5358" s="21"/>
      <c r="E5358" s="22"/>
      <c r="G5358" s="23"/>
      <c r="H5358" s="24"/>
      <c r="Q5358" s="2"/>
      <c r="R5358" s="2"/>
    </row>
    <row r="5359" spans="1:18" ht="15.75" customHeight="1" x14ac:dyDescent="0.3">
      <c r="A5359" s="11"/>
      <c r="B5359" s="11"/>
      <c r="D5359" s="21"/>
      <c r="E5359" s="22"/>
      <c r="G5359" s="23"/>
      <c r="H5359" s="24"/>
      <c r="Q5359" s="2"/>
      <c r="R5359" s="2"/>
    </row>
    <row r="5360" spans="1:18" ht="15.75" customHeight="1" x14ac:dyDescent="0.3">
      <c r="A5360" s="11"/>
      <c r="B5360" s="11"/>
      <c r="D5360" s="21"/>
      <c r="E5360" s="22"/>
      <c r="G5360" s="23"/>
      <c r="H5360" s="24"/>
      <c r="Q5360" s="2"/>
      <c r="R5360" s="2"/>
    </row>
    <row r="5361" spans="1:18" ht="15.75" customHeight="1" x14ac:dyDescent="0.3">
      <c r="A5361" s="11"/>
      <c r="B5361" s="11"/>
      <c r="D5361" s="21"/>
      <c r="E5361" s="22"/>
      <c r="G5361" s="23"/>
      <c r="H5361" s="24"/>
      <c r="Q5361" s="2"/>
      <c r="R5361" s="2"/>
    </row>
    <row r="5362" spans="1:18" ht="15.75" customHeight="1" x14ac:dyDescent="0.3">
      <c r="A5362" s="11"/>
      <c r="B5362" s="11"/>
      <c r="D5362" s="21"/>
      <c r="E5362" s="22"/>
      <c r="G5362" s="23"/>
      <c r="H5362" s="24"/>
      <c r="Q5362" s="2"/>
      <c r="R5362" s="2"/>
    </row>
    <row r="5363" spans="1:18" ht="15.75" customHeight="1" x14ac:dyDescent="0.3">
      <c r="A5363" s="11"/>
      <c r="B5363" s="11"/>
      <c r="D5363" s="21"/>
      <c r="E5363" s="22"/>
      <c r="G5363" s="23"/>
      <c r="H5363" s="24"/>
      <c r="Q5363" s="2"/>
      <c r="R5363" s="2"/>
    </row>
    <row r="5364" spans="1:18" ht="15.75" customHeight="1" x14ac:dyDescent="0.3">
      <c r="A5364" s="11"/>
      <c r="B5364" s="11"/>
      <c r="D5364" s="21"/>
      <c r="E5364" s="22"/>
      <c r="G5364" s="23"/>
      <c r="H5364" s="24"/>
      <c r="Q5364" s="2"/>
      <c r="R5364" s="2"/>
    </row>
    <row r="5365" spans="1:18" ht="15.75" customHeight="1" x14ac:dyDescent="0.3">
      <c r="A5365" s="11"/>
      <c r="B5365" s="11"/>
      <c r="D5365" s="21"/>
      <c r="E5365" s="22"/>
      <c r="G5365" s="23"/>
      <c r="H5365" s="24"/>
      <c r="Q5365" s="2"/>
      <c r="R5365" s="2"/>
    </row>
    <row r="5366" spans="1:18" ht="15.75" customHeight="1" x14ac:dyDescent="0.3">
      <c r="A5366" s="11"/>
      <c r="B5366" s="11"/>
      <c r="D5366" s="21"/>
      <c r="E5366" s="22"/>
      <c r="G5366" s="23"/>
      <c r="H5366" s="24"/>
      <c r="Q5366" s="2"/>
      <c r="R5366" s="2"/>
    </row>
    <row r="5367" spans="1:18" ht="15.75" customHeight="1" x14ac:dyDescent="0.3">
      <c r="A5367" s="11"/>
      <c r="B5367" s="11"/>
      <c r="D5367" s="21"/>
      <c r="E5367" s="22"/>
      <c r="G5367" s="23"/>
      <c r="H5367" s="24"/>
      <c r="Q5367" s="2"/>
      <c r="R5367" s="2"/>
    </row>
    <row r="5368" spans="1:18" ht="15.75" customHeight="1" x14ac:dyDescent="0.3">
      <c r="A5368" s="11"/>
      <c r="B5368" s="11"/>
      <c r="D5368" s="21"/>
      <c r="E5368" s="22"/>
      <c r="G5368" s="23"/>
      <c r="H5368" s="24"/>
      <c r="Q5368" s="2"/>
      <c r="R5368" s="2"/>
    </row>
    <row r="5369" spans="1:18" ht="15.75" customHeight="1" x14ac:dyDescent="0.3">
      <c r="A5369" s="11"/>
      <c r="B5369" s="11"/>
      <c r="D5369" s="21"/>
      <c r="E5369" s="22"/>
      <c r="G5369" s="23"/>
      <c r="H5369" s="24"/>
      <c r="Q5369" s="2"/>
      <c r="R5369" s="2"/>
    </row>
    <row r="5370" spans="1:18" ht="15.75" customHeight="1" x14ac:dyDescent="0.3">
      <c r="A5370" s="11"/>
      <c r="B5370" s="11"/>
      <c r="D5370" s="21"/>
      <c r="E5370" s="22"/>
      <c r="G5370" s="23"/>
      <c r="H5370" s="24"/>
      <c r="Q5370" s="2"/>
      <c r="R5370" s="2"/>
    </row>
    <row r="5371" spans="1:18" ht="15.75" customHeight="1" x14ac:dyDescent="0.3">
      <c r="A5371" s="11"/>
      <c r="B5371" s="11"/>
      <c r="D5371" s="21"/>
      <c r="E5371" s="22"/>
      <c r="G5371" s="23"/>
      <c r="H5371" s="24"/>
      <c r="Q5371" s="2"/>
      <c r="R5371" s="2"/>
    </row>
    <row r="5372" spans="1:18" ht="15.75" customHeight="1" x14ac:dyDescent="0.3">
      <c r="A5372" s="11"/>
      <c r="B5372" s="11"/>
      <c r="D5372" s="21"/>
      <c r="E5372" s="22"/>
      <c r="G5372" s="23"/>
      <c r="H5372" s="24"/>
      <c r="Q5372" s="2"/>
      <c r="R5372" s="2"/>
    </row>
    <row r="5373" spans="1:18" ht="15.75" customHeight="1" x14ac:dyDescent="0.3">
      <c r="A5373" s="11"/>
      <c r="B5373" s="11"/>
      <c r="D5373" s="21"/>
      <c r="E5373" s="22"/>
      <c r="G5373" s="23"/>
      <c r="H5373" s="24"/>
      <c r="Q5373" s="2"/>
      <c r="R5373" s="2"/>
    </row>
    <row r="5374" spans="1:18" ht="15.75" customHeight="1" x14ac:dyDescent="0.3">
      <c r="A5374" s="11"/>
      <c r="B5374" s="11"/>
      <c r="D5374" s="21"/>
      <c r="E5374" s="22"/>
      <c r="G5374" s="23"/>
      <c r="H5374" s="24"/>
      <c r="Q5374" s="2"/>
      <c r="R5374" s="2"/>
    </row>
    <row r="5375" spans="1:18" ht="15.75" customHeight="1" x14ac:dyDescent="0.3">
      <c r="A5375" s="11"/>
      <c r="B5375" s="11"/>
      <c r="D5375" s="21"/>
      <c r="E5375" s="22"/>
      <c r="G5375" s="23"/>
      <c r="H5375" s="24"/>
      <c r="Q5375" s="2"/>
      <c r="R5375" s="2"/>
    </row>
    <row r="5376" spans="1:18" ht="15.75" customHeight="1" x14ac:dyDescent="0.3">
      <c r="A5376" s="11"/>
      <c r="B5376" s="11"/>
      <c r="D5376" s="21"/>
      <c r="E5376" s="22"/>
      <c r="G5376" s="23"/>
      <c r="H5376" s="24"/>
      <c r="Q5376" s="2"/>
      <c r="R5376" s="2"/>
    </row>
    <row r="5377" spans="1:18" ht="15.75" customHeight="1" x14ac:dyDescent="0.3">
      <c r="A5377" s="11"/>
      <c r="B5377" s="11"/>
      <c r="D5377" s="21"/>
      <c r="E5377" s="22"/>
      <c r="G5377" s="23"/>
      <c r="H5377" s="24"/>
      <c r="Q5377" s="2"/>
      <c r="R5377" s="2"/>
    </row>
    <row r="5378" spans="1:18" ht="15.75" customHeight="1" x14ac:dyDescent="0.3">
      <c r="A5378" s="11"/>
      <c r="B5378" s="11"/>
      <c r="D5378" s="21"/>
      <c r="E5378" s="22"/>
      <c r="G5378" s="23"/>
      <c r="H5378" s="24"/>
      <c r="Q5378" s="2"/>
      <c r="R5378" s="2"/>
    </row>
    <row r="5379" spans="1:18" ht="15.75" customHeight="1" x14ac:dyDescent="0.3">
      <c r="A5379" s="11"/>
      <c r="B5379" s="11"/>
      <c r="D5379" s="21"/>
      <c r="E5379" s="22"/>
      <c r="G5379" s="23"/>
      <c r="H5379" s="24"/>
      <c r="Q5379" s="2"/>
      <c r="R5379" s="2"/>
    </row>
    <row r="5380" spans="1:18" ht="15.75" customHeight="1" x14ac:dyDescent="0.3">
      <c r="A5380" s="11"/>
      <c r="B5380" s="11"/>
      <c r="D5380" s="21"/>
      <c r="E5380" s="22"/>
      <c r="G5380" s="23"/>
      <c r="H5380" s="24"/>
      <c r="Q5380" s="2"/>
      <c r="R5380" s="2"/>
    </row>
    <row r="5381" spans="1:18" ht="15.75" customHeight="1" x14ac:dyDescent="0.3">
      <c r="A5381" s="11"/>
      <c r="B5381" s="11"/>
      <c r="D5381" s="21"/>
      <c r="E5381" s="22"/>
      <c r="G5381" s="23"/>
      <c r="H5381" s="24"/>
      <c r="Q5381" s="2"/>
      <c r="R5381" s="2"/>
    </row>
    <row r="5382" spans="1:18" ht="15.75" customHeight="1" x14ac:dyDescent="0.3">
      <c r="A5382" s="11"/>
      <c r="B5382" s="11"/>
      <c r="D5382" s="21"/>
      <c r="E5382" s="22"/>
      <c r="G5382" s="23"/>
      <c r="H5382" s="24"/>
      <c r="Q5382" s="2"/>
      <c r="R5382" s="2"/>
    </row>
    <row r="5383" spans="1:18" ht="15.75" customHeight="1" x14ac:dyDescent="0.3">
      <c r="A5383" s="11"/>
      <c r="B5383" s="11"/>
      <c r="D5383" s="21"/>
      <c r="E5383" s="22"/>
      <c r="G5383" s="23"/>
      <c r="H5383" s="24"/>
      <c r="Q5383" s="2"/>
      <c r="R5383" s="2"/>
    </row>
    <row r="5384" spans="1:18" ht="15.75" customHeight="1" x14ac:dyDescent="0.3">
      <c r="A5384" s="11"/>
      <c r="B5384" s="11"/>
      <c r="D5384" s="21"/>
      <c r="E5384" s="22"/>
      <c r="G5384" s="23"/>
      <c r="H5384" s="24"/>
      <c r="Q5384" s="2"/>
      <c r="R5384" s="2"/>
    </row>
    <row r="5385" spans="1:18" ht="15.75" customHeight="1" x14ac:dyDescent="0.3">
      <c r="A5385" s="11"/>
      <c r="B5385" s="11"/>
      <c r="D5385" s="21"/>
      <c r="E5385" s="22"/>
      <c r="G5385" s="23"/>
      <c r="H5385" s="24"/>
      <c r="Q5385" s="2"/>
      <c r="R5385" s="2"/>
    </row>
    <row r="5386" spans="1:18" ht="15.75" customHeight="1" x14ac:dyDescent="0.3">
      <c r="A5386" s="11"/>
      <c r="B5386" s="11"/>
      <c r="D5386" s="21"/>
      <c r="E5386" s="22"/>
      <c r="G5386" s="23"/>
      <c r="H5386" s="24"/>
      <c r="Q5386" s="2"/>
      <c r="R5386" s="2"/>
    </row>
    <row r="5387" spans="1:18" ht="15.75" customHeight="1" x14ac:dyDescent="0.3">
      <c r="A5387" s="11"/>
      <c r="B5387" s="11"/>
      <c r="D5387" s="21"/>
      <c r="E5387" s="22"/>
      <c r="G5387" s="23"/>
      <c r="H5387" s="24"/>
      <c r="Q5387" s="2"/>
      <c r="R5387" s="2"/>
    </row>
    <row r="5388" spans="1:18" ht="15.75" customHeight="1" x14ac:dyDescent="0.3">
      <c r="A5388" s="11"/>
      <c r="B5388" s="11"/>
      <c r="D5388" s="21"/>
      <c r="E5388" s="22"/>
      <c r="G5388" s="23"/>
      <c r="H5388" s="24"/>
      <c r="Q5388" s="2"/>
      <c r="R5388" s="2"/>
    </row>
    <row r="5389" spans="1:18" ht="15.75" customHeight="1" x14ac:dyDescent="0.3">
      <c r="A5389" s="11"/>
      <c r="B5389" s="11"/>
      <c r="D5389" s="21"/>
      <c r="E5389" s="22"/>
      <c r="G5389" s="23"/>
      <c r="H5389" s="24"/>
      <c r="Q5389" s="2"/>
      <c r="R5389" s="2"/>
    </row>
    <row r="5390" spans="1:18" ht="15.75" customHeight="1" x14ac:dyDescent="0.3">
      <c r="A5390" s="11"/>
      <c r="B5390" s="11"/>
      <c r="D5390" s="21"/>
      <c r="E5390" s="22"/>
      <c r="G5390" s="23"/>
      <c r="H5390" s="24"/>
      <c r="Q5390" s="2"/>
      <c r="R5390" s="2"/>
    </row>
    <row r="5391" spans="1:18" ht="15.75" customHeight="1" x14ac:dyDescent="0.3">
      <c r="A5391" s="11"/>
      <c r="B5391" s="11"/>
      <c r="D5391" s="21"/>
      <c r="E5391" s="22"/>
      <c r="G5391" s="23"/>
      <c r="H5391" s="24"/>
      <c r="Q5391" s="2"/>
      <c r="R5391" s="2"/>
    </row>
    <row r="5392" spans="1:18" ht="15.75" customHeight="1" x14ac:dyDescent="0.3">
      <c r="A5392" s="11"/>
      <c r="B5392" s="11"/>
      <c r="D5392" s="21"/>
      <c r="E5392" s="22"/>
      <c r="G5392" s="23"/>
      <c r="H5392" s="24"/>
      <c r="Q5392" s="2"/>
      <c r="R5392" s="2"/>
    </row>
    <row r="5393" spans="1:18" ht="15.75" customHeight="1" x14ac:dyDescent="0.3">
      <c r="A5393" s="11"/>
      <c r="B5393" s="11"/>
      <c r="D5393" s="21"/>
      <c r="E5393" s="22"/>
      <c r="G5393" s="23"/>
      <c r="H5393" s="24"/>
      <c r="Q5393" s="2"/>
      <c r="R5393" s="2"/>
    </row>
    <row r="5394" spans="1:18" ht="15.75" customHeight="1" x14ac:dyDescent="0.3">
      <c r="A5394" s="11"/>
      <c r="B5394" s="11"/>
      <c r="D5394" s="21"/>
      <c r="E5394" s="22"/>
      <c r="G5394" s="23"/>
      <c r="H5394" s="24"/>
      <c r="Q5394" s="2"/>
      <c r="R5394" s="2"/>
    </row>
    <row r="5395" spans="1:18" ht="15.75" customHeight="1" x14ac:dyDescent="0.3">
      <c r="A5395" s="11"/>
      <c r="B5395" s="11"/>
      <c r="D5395" s="21"/>
      <c r="E5395" s="22"/>
      <c r="G5395" s="23"/>
      <c r="H5395" s="24"/>
      <c r="Q5395" s="2"/>
      <c r="R5395" s="2"/>
    </row>
    <row r="5396" spans="1:18" ht="15.75" customHeight="1" x14ac:dyDescent="0.3">
      <c r="A5396" s="11"/>
      <c r="B5396" s="11"/>
      <c r="D5396" s="21"/>
      <c r="E5396" s="22"/>
      <c r="G5396" s="23"/>
      <c r="H5396" s="24"/>
      <c r="Q5396" s="2"/>
      <c r="R5396" s="2"/>
    </row>
    <row r="5397" spans="1:18" ht="15.75" customHeight="1" x14ac:dyDescent="0.3">
      <c r="A5397" s="11"/>
      <c r="B5397" s="11"/>
      <c r="D5397" s="21"/>
      <c r="E5397" s="22"/>
      <c r="G5397" s="23"/>
      <c r="H5397" s="24"/>
      <c r="Q5397" s="2"/>
      <c r="R5397" s="2"/>
    </row>
    <row r="5398" spans="1:18" ht="15.75" customHeight="1" x14ac:dyDescent="0.3">
      <c r="A5398" s="11"/>
      <c r="B5398" s="11"/>
      <c r="D5398" s="21"/>
      <c r="E5398" s="22"/>
      <c r="G5398" s="23"/>
      <c r="H5398" s="24"/>
      <c r="Q5398" s="2"/>
      <c r="R5398" s="2"/>
    </row>
    <row r="5399" spans="1:18" ht="15.75" customHeight="1" x14ac:dyDescent="0.3">
      <c r="A5399" s="11"/>
      <c r="B5399" s="11"/>
      <c r="D5399" s="21"/>
      <c r="E5399" s="22"/>
      <c r="G5399" s="23"/>
      <c r="H5399" s="24"/>
      <c r="Q5399" s="2"/>
      <c r="R5399" s="2"/>
    </row>
    <row r="5400" spans="1:18" ht="15.75" customHeight="1" x14ac:dyDescent="0.3">
      <c r="A5400" s="11"/>
      <c r="B5400" s="11"/>
      <c r="D5400" s="21"/>
      <c r="E5400" s="22"/>
      <c r="G5400" s="23"/>
      <c r="H5400" s="24"/>
      <c r="Q5400" s="2"/>
      <c r="R5400" s="2"/>
    </row>
    <row r="5401" spans="1:18" ht="15.75" customHeight="1" x14ac:dyDescent="0.3">
      <c r="A5401" s="11"/>
      <c r="B5401" s="11"/>
      <c r="D5401" s="21"/>
      <c r="E5401" s="22"/>
      <c r="G5401" s="23"/>
      <c r="H5401" s="24"/>
      <c r="Q5401" s="2"/>
      <c r="R5401" s="2"/>
    </row>
    <row r="5402" spans="1:18" ht="15.75" customHeight="1" x14ac:dyDescent="0.3">
      <c r="A5402" s="11"/>
      <c r="B5402" s="11"/>
      <c r="D5402" s="21"/>
      <c r="E5402" s="22"/>
      <c r="G5402" s="23"/>
      <c r="H5402" s="24"/>
      <c r="Q5402" s="2"/>
      <c r="R5402" s="2"/>
    </row>
    <row r="5403" spans="1:18" ht="15.75" customHeight="1" x14ac:dyDescent="0.3">
      <c r="A5403" s="11"/>
      <c r="B5403" s="11"/>
      <c r="D5403" s="21"/>
      <c r="E5403" s="22"/>
      <c r="G5403" s="23"/>
      <c r="H5403" s="24"/>
      <c r="Q5403" s="2"/>
      <c r="R5403" s="2"/>
    </row>
    <row r="5404" spans="1:18" ht="15.75" customHeight="1" x14ac:dyDescent="0.3">
      <c r="A5404" s="11"/>
      <c r="B5404" s="11"/>
      <c r="D5404" s="21"/>
      <c r="E5404" s="22"/>
      <c r="G5404" s="23"/>
      <c r="H5404" s="24"/>
      <c r="Q5404" s="2"/>
      <c r="R5404" s="2"/>
    </row>
    <row r="5405" spans="1:18" ht="15.75" customHeight="1" x14ac:dyDescent="0.3">
      <c r="A5405" s="11"/>
      <c r="B5405" s="11"/>
      <c r="D5405" s="21"/>
      <c r="E5405" s="22"/>
      <c r="G5405" s="23"/>
      <c r="H5405" s="24"/>
      <c r="Q5405" s="2"/>
      <c r="R5405" s="2"/>
    </row>
    <row r="5406" spans="1:18" ht="15.75" customHeight="1" x14ac:dyDescent="0.3">
      <c r="A5406" s="11"/>
      <c r="B5406" s="11"/>
      <c r="D5406" s="21"/>
      <c r="E5406" s="22"/>
      <c r="G5406" s="23"/>
      <c r="H5406" s="24"/>
      <c r="Q5406" s="2"/>
      <c r="R5406" s="2"/>
    </row>
    <row r="5407" spans="1:18" ht="15.75" customHeight="1" x14ac:dyDescent="0.3">
      <c r="A5407" s="11"/>
      <c r="B5407" s="11"/>
      <c r="D5407" s="21"/>
      <c r="E5407" s="22"/>
      <c r="G5407" s="23"/>
      <c r="H5407" s="24"/>
      <c r="Q5407" s="2"/>
      <c r="R5407" s="2"/>
    </row>
    <row r="5408" spans="1:18" ht="15.75" customHeight="1" x14ac:dyDescent="0.3">
      <c r="A5408" s="11"/>
      <c r="B5408" s="11"/>
      <c r="D5408" s="21"/>
      <c r="E5408" s="22"/>
      <c r="G5408" s="23"/>
      <c r="H5408" s="24"/>
      <c r="Q5408" s="2"/>
      <c r="R5408" s="2"/>
    </row>
    <row r="5409" spans="1:18" ht="15.75" customHeight="1" x14ac:dyDescent="0.3">
      <c r="A5409" s="11"/>
      <c r="B5409" s="11"/>
      <c r="D5409" s="21"/>
      <c r="E5409" s="22"/>
      <c r="G5409" s="23"/>
      <c r="H5409" s="24"/>
      <c r="Q5409" s="2"/>
      <c r="R5409" s="2"/>
    </row>
    <row r="5410" spans="1:18" ht="15.75" customHeight="1" x14ac:dyDescent="0.3">
      <c r="A5410" s="11"/>
      <c r="B5410" s="11"/>
      <c r="D5410" s="21"/>
      <c r="E5410" s="22"/>
      <c r="G5410" s="23"/>
      <c r="H5410" s="24"/>
      <c r="Q5410" s="2"/>
      <c r="R5410" s="2"/>
    </row>
    <row r="5411" spans="1:18" ht="15.75" customHeight="1" x14ac:dyDescent="0.3">
      <c r="A5411" s="11"/>
      <c r="B5411" s="11"/>
      <c r="D5411" s="21"/>
      <c r="E5411" s="22"/>
      <c r="G5411" s="23"/>
      <c r="H5411" s="24"/>
      <c r="Q5411" s="2"/>
      <c r="R5411" s="2"/>
    </row>
    <row r="5412" spans="1:18" ht="15.75" customHeight="1" x14ac:dyDescent="0.3">
      <c r="A5412" s="11"/>
      <c r="B5412" s="11"/>
      <c r="D5412" s="21"/>
      <c r="E5412" s="22"/>
      <c r="G5412" s="23"/>
      <c r="H5412" s="24"/>
      <c r="Q5412" s="2"/>
      <c r="R5412" s="2"/>
    </row>
    <row r="5413" spans="1:18" ht="15.75" customHeight="1" x14ac:dyDescent="0.3">
      <c r="A5413" s="11"/>
      <c r="B5413" s="11"/>
      <c r="D5413" s="21"/>
      <c r="E5413" s="22"/>
      <c r="G5413" s="23"/>
      <c r="H5413" s="24"/>
      <c r="Q5413" s="2"/>
      <c r="R5413" s="2"/>
    </row>
    <row r="5414" spans="1:18" ht="15.75" customHeight="1" x14ac:dyDescent="0.3">
      <c r="A5414" s="11"/>
      <c r="B5414" s="11"/>
      <c r="D5414" s="21"/>
      <c r="E5414" s="22"/>
      <c r="G5414" s="23"/>
      <c r="H5414" s="24"/>
      <c r="Q5414" s="2"/>
      <c r="R5414" s="2"/>
    </row>
    <row r="5415" spans="1:18" ht="15.75" customHeight="1" x14ac:dyDescent="0.3">
      <c r="A5415" s="11"/>
      <c r="B5415" s="11"/>
      <c r="D5415" s="21"/>
      <c r="E5415" s="22"/>
      <c r="G5415" s="23"/>
      <c r="H5415" s="24"/>
      <c r="Q5415" s="2"/>
      <c r="R5415" s="2"/>
    </row>
    <row r="5416" spans="1:18" ht="15.75" customHeight="1" x14ac:dyDescent="0.3">
      <c r="A5416" s="11"/>
      <c r="B5416" s="11"/>
      <c r="D5416" s="21"/>
      <c r="E5416" s="22"/>
      <c r="G5416" s="23"/>
      <c r="H5416" s="24"/>
      <c r="Q5416" s="2"/>
      <c r="R5416" s="2"/>
    </row>
    <row r="5417" spans="1:18" ht="15.75" customHeight="1" x14ac:dyDescent="0.3">
      <c r="A5417" s="11"/>
      <c r="B5417" s="11"/>
      <c r="D5417" s="21"/>
      <c r="E5417" s="22"/>
      <c r="G5417" s="23"/>
      <c r="H5417" s="24"/>
      <c r="Q5417" s="2"/>
      <c r="R5417" s="2"/>
    </row>
    <row r="5418" spans="1:18" ht="15.75" customHeight="1" x14ac:dyDescent="0.3">
      <c r="A5418" s="11"/>
      <c r="B5418" s="11"/>
      <c r="D5418" s="21"/>
      <c r="E5418" s="22"/>
      <c r="G5418" s="23"/>
      <c r="H5418" s="24"/>
      <c r="Q5418" s="2"/>
      <c r="R5418" s="2"/>
    </row>
    <row r="5419" spans="1:18" ht="15.75" customHeight="1" x14ac:dyDescent="0.3">
      <c r="A5419" s="11"/>
      <c r="B5419" s="11"/>
      <c r="D5419" s="21"/>
      <c r="E5419" s="22"/>
      <c r="G5419" s="23"/>
      <c r="H5419" s="24"/>
      <c r="Q5419" s="2"/>
      <c r="R5419" s="2"/>
    </row>
    <row r="5420" spans="1:18" ht="15.75" customHeight="1" x14ac:dyDescent="0.3">
      <c r="A5420" s="11"/>
      <c r="B5420" s="11"/>
      <c r="D5420" s="21"/>
      <c r="E5420" s="22"/>
      <c r="G5420" s="23"/>
      <c r="H5420" s="24"/>
      <c r="Q5420" s="2"/>
      <c r="R5420" s="2"/>
    </row>
    <row r="5421" spans="1:18" ht="15.75" customHeight="1" x14ac:dyDescent="0.3">
      <c r="A5421" s="11"/>
      <c r="B5421" s="11"/>
      <c r="D5421" s="21"/>
      <c r="E5421" s="22"/>
      <c r="G5421" s="23"/>
      <c r="H5421" s="24"/>
      <c r="Q5421" s="2"/>
      <c r="R5421" s="2"/>
    </row>
    <row r="5422" spans="1:18" ht="15.75" customHeight="1" x14ac:dyDescent="0.3">
      <c r="A5422" s="11"/>
      <c r="B5422" s="11"/>
      <c r="D5422" s="21"/>
      <c r="E5422" s="22"/>
      <c r="G5422" s="23"/>
      <c r="H5422" s="24"/>
      <c r="Q5422" s="2"/>
      <c r="R5422" s="2"/>
    </row>
    <row r="5423" spans="1:18" ht="15.75" customHeight="1" x14ac:dyDescent="0.3">
      <c r="A5423" s="11"/>
      <c r="B5423" s="11"/>
      <c r="D5423" s="21"/>
      <c r="E5423" s="22"/>
      <c r="G5423" s="23"/>
      <c r="H5423" s="24"/>
      <c r="Q5423" s="2"/>
      <c r="R5423" s="2"/>
    </row>
    <row r="5424" spans="1:18" ht="15.75" customHeight="1" x14ac:dyDescent="0.3">
      <c r="A5424" s="11"/>
      <c r="B5424" s="11"/>
      <c r="D5424" s="21"/>
      <c r="E5424" s="22"/>
      <c r="G5424" s="23"/>
      <c r="H5424" s="24"/>
      <c r="Q5424" s="2"/>
      <c r="R5424" s="2"/>
    </row>
    <row r="5425" spans="1:18" ht="15.75" customHeight="1" x14ac:dyDescent="0.3">
      <c r="A5425" s="11"/>
      <c r="B5425" s="11"/>
      <c r="D5425" s="21"/>
      <c r="E5425" s="22"/>
      <c r="G5425" s="23"/>
      <c r="H5425" s="24"/>
      <c r="Q5425" s="2"/>
      <c r="R5425" s="2"/>
    </row>
    <row r="5426" spans="1:18" ht="15.75" customHeight="1" x14ac:dyDescent="0.3">
      <c r="A5426" s="11"/>
      <c r="B5426" s="11"/>
      <c r="D5426" s="21"/>
      <c r="E5426" s="22"/>
      <c r="G5426" s="23"/>
      <c r="H5426" s="24"/>
      <c r="Q5426" s="2"/>
      <c r="R5426" s="2"/>
    </row>
    <row r="5427" spans="1:18" ht="15.75" customHeight="1" x14ac:dyDescent="0.3">
      <c r="A5427" s="11"/>
      <c r="B5427" s="11"/>
      <c r="D5427" s="21"/>
      <c r="E5427" s="22"/>
      <c r="G5427" s="23"/>
      <c r="H5427" s="24"/>
      <c r="Q5427" s="2"/>
      <c r="R5427" s="2"/>
    </row>
    <row r="5428" spans="1:18" ht="15.75" customHeight="1" x14ac:dyDescent="0.3">
      <c r="A5428" s="11"/>
      <c r="B5428" s="11"/>
      <c r="D5428" s="21"/>
      <c r="E5428" s="22"/>
      <c r="G5428" s="23"/>
      <c r="H5428" s="24"/>
      <c r="Q5428" s="2"/>
      <c r="R5428" s="2"/>
    </row>
    <row r="5429" spans="1:18" ht="15.75" customHeight="1" x14ac:dyDescent="0.3">
      <c r="A5429" s="11"/>
      <c r="B5429" s="11"/>
      <c r="D5429" s="21"/>
      <c r="E5429" s="22"/>
      <c r="G5429" s="23"/>
      <c r="H5429" s="24"/>
      <c r="Q5429" s="2"/>
      <c r="R5429" s="2"/>
    </row>
    <row r="5430" spans="1:18" ht="15.75" customHeight="1" x14ac:dyDescent="0.3">
      <c r="A5430" s="11"/>
      <c r="B5430" s="11"/>
      <c r="D5430" s="21"/>
      <c r="E5430" s="22"/>
      <c r="G5430" s="23"/>
      <c r="H5430" s="24"/>
      <c r="Q5430" s="2"/>
      <c r="R5430" s="2"/>
    </row>
    <row r="5431" spans="1:18" ht="15.75" customHeight="1" x14ac:dyDescent="0.3">
      <c r="A5431" s="11"/>
      <c r="B5431" s="11"/>
      <c r="D5431" s="21"/>
      <c r="E5431" s="22"/>
      <c r="G5431" s="23"/>
      <c r="H5431" s="24"/>
      <c r="Q5431" s="2"/>
      <c r="R5431" s="2"/>
    </row>
    <row r="5432" spans="1:18" ht="15.75" customHeight="1" x14ac:dyDescent="0.3">
      <c r="A5432" s="11"/>
      <c r="B5432" s="11"/>
      <c r="D5432" s="21"/>
      <c r="E5432" s="22"/>
      <c r="G5432" s="23"/>
      <c r="H5432" s="24"/>
      <c r="Q5432" s="2"/>
      <c r="R5432" s="2"/>
    </row>
    <row r="5433" spans="1:18" ht="15.75" customHeight="1" x14ac:dyDescent="0.3">
      <c r="A5433" s="11"/>
      <c r="B5433" s="11"/>
      <c r="D5433" s="21"/>
      <c r="E5433" s="22"/>
      <c r="G5433" s="23"/>
      <c r="H5433" s="24"/>
      <c r="Q5433" s="2"/>
      <c r="R5433" s="2"/>
    </row>
    <row r="5434" spans="1:18" ht="15.75" customHeight="1" x14ac:dyDescent="0.3">
      <c r="A5434" s="11"/>
      <c r="B5434" s="11"/>
      <c r="D5434" s="21"/>
      <c r="E5434" s="22"/>
      <c r="G5434" s="23"/>
      <c r="H5434" s="24"/>
      <c r="Q5434" s="2"/>
      <c r="R5434" s="2"/>
    </row>
    <row r="5435" spans="1:18" ht="15.75" customHeight="1" x14ac:dyDescent="0.3">
      <c r="A5435" s="11"/>
      <c r="B5435" s="11"/>
      <c r="D5435" s="21"/>
      <c r="E5435" s="22"/>
      <c r="G5435" s="23"/>
      <c r="H5435" s="24"/>
      <c r="Q5435" s="2"/>
      <c r="R5435" s="2"/>
    </row>
    <row r="5436" spans="1:18" ht="15.75" customHeight="1" x14ac:dyDescent="0.3">
      <c r="A5436" s="11"/>
      <c r="B5436" s="11"/>
      <c r="D5436" s="21"/>
      <c r="E5436" s="22"/>
      <c r="G5436" s="23"/>
      <c r="H5436" s="24"/>
      <c r="Q5436" s="2"/>
      <c r="R5436" s="2"/>
    </row>
    <row r="5437" spans="1:18" ht="15.75" customHeight="1" x14ac:dyDescent="0.3">
      <c r="A5437" s="11"/>
      <c r="B5437" s="11"/>
      <c r="D5437" s="21"/>
      <c r="E5437" s="22"/>
      <c r="G5437" s="23"/>
      <c r="H5437" s="24"/>
      <c r="Q5437" s="2"/>
      <c r="R5437" s="2"/>
    </row>
    <row r="5438" spans="1:18" ht="15.75" customHeight="1" x14ac:dyDescent="0.3">
      <c r="A5438" s="11"/>
      <c r="B5438" s="11"/>
      <c r="D5438" s="21"/>
      <c r="E5438" s="22"/>
      <c r="G5438" s="23"/>
      <c r="H5438" s="24"/>
      <c r="Q5438" s="2"/>
      <c r="R5438" s="2"/>
    </row>
    <row r="5439" spans="1:18" ht="15.75" customHeight="1" x14ac:dyDescent="0.3">
      <c r="A5439" s="11"/>
      <c r="B5439" s="11"/>
      <c r="D5439" s="21"/>
      <c r="E5439" s="22"/>
      <c r="G5439" s="23"/>
      <c r="H5439" s="24"/>
      <c r="Q5439" s="2"/>
      <c r="R5439" s="2"/>
    </row>
    <row r="5440" spans="1:18" ht="15.75" customHeight="1" x14ac:dyDescent="0.3">
      <c r="A5440" s="11"/>
      <c r="B5440" s="11"/>
      <c r="D5440" s="21"/>
      <c r="E5440" s="22"/>
      <c r="G5440" s="23"/>
      <c r="H5440" s="24"/>
      <c r="Q5440" s="2"/>
      <c r="R5440" s="2"/>
    </row>
    <row r="5441" spans="1:18" ht="15.75" customHeight="1" x14ac:dyDescent="0.3">
      <c r="A5441" s="11"/>
      <c r="B5441" s="11"/>
      <c r="D5441" s="21"/>
      <c r="E5441" s="22"/>
      <c r="G5441" s="23"/>
      <c r="H5441" s="24"/>
      <c r="Q5441" s="2"/>
      <c r="R5441" s="2"/>
    </row>
    <row r="5442" spans="1:18" ht="15.75" customHeight="1" x14ac:dyDescent="0.3">
      <c r="A5442" s="11"/>
      <c r="B5442" s="11"/>
      <c r="D5442" s="21"/>
      <c r="E5442" s="22"/>
      <c r="G5442" s="23"/>
      <c r="H5442" s="24"/>
      <c r="Q5442" s="2"/>
      <c r="R5442" s="2"/>
    </row>
    <row r="5443" spans="1:18" ht="15.75" customHeight="1" x14ac:dyDescent="0.3">
      <c r="A5443" s="11"/>
      <c r="B5443" s="11"/>
      <c r="D5443" s="21"/>
      <c r="E5443" s="22"/>
      <c r="G5443" s="23"/>
      <c r="H5443" s="24"/>
      <c r="Q5443" s="2"/>
      <c r="R5443" s="2"/>
    </row>
    <row r="5444" spans="1:18" ht="15.75" customHeight="1" x14ac:dyDescent="0.3">
      <c r="A5444" s="11"/>
      <c r="B5444" s="11"/>
      <c r="D5444" s="21"/>
      <c r="E5444" s="22"/>
      <c r="G5444" s="23"/>
      <c r="H5444" s="24"/>
      <c r="Q5444" s="2"/>
      <c r="R5444" s="2"/>
    </row>
    <row r="5445" spans="1:18" ht="15.75" customHeight="1" x14ac:dyDescent="0.3">
      <c r="A5445" s="11"/>
      <c r="B5445" s="11"/>
      <c r="D5445" s="21"/>
      <c r="E5445" s="22"/>
      <c r="G5445" s="23"/>
      <c r="H5445" s="24"/>
      <c r="Q5445" s="2"/>
      <c r="R5445" s="2"/>
    </row>
    <row r="5446" spans="1:18" ht="15.75" customHeight="1" x14ac:dyDescent="0.3">
      <c r="A5446" s="11"/>
      <c r="B5446" s="11"/>
      <c r="D5446" s="21"/>
      <c r="E5446" s="22"/>
      <c r="G5446" s="23"/>
      <c r="H5446" s="24"/>
      <c r="Q5446" s="2"/>
      <c r="R5446" s="2"/>
    </row>
    <row r="5447" spans="1:18" ht="15.75" customHeight="1" x14ac:dyDescent="0.3">
      <c r="A5447" s="11"/>
      <c r="B5447" s="11"/>
      <c r="D5447" s="21"/>
      <c r="E5447" s="22"/>
      <c r="G5447" s="23"/>
      <c r="H5447" s="24"/>
      <c r="Q5447" s="2"/>
      <c r="R5447" s="2"/>
    </row>
    <row r="5448" spans="1:18" ht="15.75" customHeight="1" x14ac:dyDescent="0.3">
      <c r="A5448" s="11"/>
      <c r="B5448" s="11"/>
      <c r="D5448" s="21"/>
      <c r="E5448" s="22"/>
      <c r="G5448" s="23"/>
      <c r="H5448" s="24"/>
      <c r="Q5448" s="2"/>
      <c r="R5448" s="2"/>
    </row>
    <row r="5449" spans="1:18" ht="15.75" customHeight="1" x14ac:dyDescent="0.3">
      <c r="A5449" s="11"/>
      <c r="B5449" s="11"/>
      <c r="D5449" s="21"/>
      <c r="E5449" s="22"/>
      <c r="G5449" s="23"/>
      <c r="H5449" s="24"/>
      <c r="Q5449" s="2"/>
      <c r="R5449" s="2"/>
    </row>
    <row r="5450" spans="1:18" ht="15.75" customHeight="1" x14ac:dyDescent="0.3">
      <c r="A5450" s="11"/>
      <c r="B5450" s="11"/>
      <c r="D5450" s="21"/>
      <c r="E5450" s="22"/>
      <c r="G5450" s="23"/>
      <c r="H5450" s="24"/>
      <c r="Q5450" s="2"/>
      <c r="R5450" s="2"/>
    </row>
    <row r="5451" spans="1:18" ht="15.75" customHeight="1" x14ac:dyDescent="0.3">
      <c r="A5451" s="11"/>
      <c r="B5451" s="11"/>
      <c r="D5451" s="21"/>
      <c r="E5451" s="22"/>
      <c r="G5451" s="23"/>
      <c r="H5451" s="24"/>
      <c r="Q5451" s="2"/>
      <c r="R5451" s="2"/>
    </row>
    <row r="5452" spans="1:18" ht="15.75" customHeight="1" x14ac:dyDescent="0.3">
      <c r="A5452" s="11"/>
      <c r="B5452" s="11"/>
      <c r="D5452" s="21"/>
      <c r="E5452" s="22"/>
      <c r="G5452" s="23"/>
      <c r="H5452" s="24"/>
      <c r="Q5452" s="2"/>
      <c r="R5452" s="2"/>
    </row>
    <row r="5453" spans="1:18" ht="15.75" customHeight="1" x14ac:dyDescent="0.3">
      <c r="A5453" s="11"/>
      <c r="B5453" s="11"/>
      <c r="D5453" s="21"/>
      <c r="E5453" s="22"/>
      <c r="G5453" s="23"/>
      <c r="H5453" s="24"/>
      <c r="Q5453" s="2"/>
      <c r="R5453" s="2"/>
    </row>
    <row r="5454" spans="1:18" ht="15.75" customHeight="1" x14ac:dyDescent="0.3">
      <c r="A5454" s="11"/>
      <c r="B5454" s="11"/>
      <c r="D5454" s="21"/>
      <c r="E5454" s="22"/>
      <c r="G5454" s="23"/>
      <c r="H5454" s="24"/>
      <c r="Q5454" s="2"/>
      <c r="R5454" s="2"/>
    </row>
    <row r="5455" spans="1:18" ht="15.75" customHeight="1" x14ac:dyDescent="0.3">
      <c r="A5455" s="11"/>
      <c r="B5455" s="11"/>
      <c r="D5455" s="21"/>
      <c r="E5455" s="22"/>
      <c r="G5455" s="23"/>
      <c r="H5455" s="24"/>
      <c r="Q5455" s="2"/>
      <c r="R5455" s="2"/>
    </row>
    <row r="5456" spans="1:18" ht="15.75" customHeight="1" x14ac:dyDescent="0.3">
      <c r="A5456" s="11"/>
      <c r="B5456" s="11"/>
      <c r="D5456" s="21"/>
      <c r="E5456" s="22"/>
      <c r="G5456" s="23"/>
      <c r="H5456" s="24"/>
      <c r="Q5456" s="2"/>
      <c r="R5456" s="2"/>
    </row>
    <row r="5457" spans="1:18" ht="15.75" customHeight="1" x14ac:dyDescent="0.3">
      <c r="A5457" s="11"/>
      <c r="B5457" s="11"/>
      <c r="D5457" s="21"/>
      <c r="E5457" s="22"/>
      <c r="G5457" s="23"/>
      <c r="H5457" s="24"/>
      <c r="Q5457" s="2"/>
      <c r="R5457" s="2"/>
    </row>
    <row r="5458" spans="1:18" ht="15.75" customHeight="1" x14ac:dyDescent="0.3">
      <c r="A5458" s="11"/>
      <c r="B5458" s="11"/>
      <c r="D5458" s="21"/>
      <c r="E5458" s="22"/>
      <c r="G5458" s="23"/>
      <c r="H5458" s="24"/>
      <c r="Q5458" s="2"/>
      <c r="R5458" s="2"/>
    </row>
    <row r="5459" spans="1:18" ht="15.75" customHeight="1" x14ac:dyDescent="0.3">
      <c r="A5459" s="11"/>
      <c r="B5459" s="11"/>
      <c r="D5459" s="21"/>
      <c r="E5459" s="22"/>
      <c r="G5459" s="23"/>
      <c r="H5459" s="24"/>
      <c r="Q5459" s="2"/>
      <c r="R5459" s="2"/>
    </row>
    <row r="5460" spans="1:18" ht="15.75" customHeight="1" x14ac:dyDescent="0.3">
      <c r="A5460" s="11"/>
      <c r="B5460" s="11"/>
      <c r="D5460" s="21"/>
      <c r="E5460" s="22"/>
      <c r="G5460" s="23"/>
      <c r="H5460" s="24"/>
      <c r="Q5460" s="2"/>
      <c r="R5460" s="2"/>
    </row>
    <row r="5461" spans="1:18" ht="15.75" customHeight="1" x14ac:dyDescent="0.3">
      <c r="A5461" s="11"/>
      <c r="B5461" s="11"/>
      <c r="D5461" s="21"/>
      <c r="E5461" s="22"/>
      <c r="G5461" s="23"/>
      <c r="H5461" s="24"/>
      <c r="Q5461" s="2"/>
      <c r="R5461" s="2"/>
    </row>
    <row r="5462" spans="1:18" ht="15.75" customHeight="1" x14ac:dyDescent="0.3">
      <c r="A5462" s="11"/>
      <c r="B5462" s="11"/>
      <c r="D5462" s="21"/>
      <c r="E5462" s="22"/>
      <c r="G5462" s="23"/>
      <c r="H5462" s="24"/>
      <c r="Q5462" s="2"/>
      <c r="R5462" s="2"/>
    </row>
    <row r="5463" spans="1:18" ht="15.75" customHeight="1" x14ac:dyDescent="0.3">
      <c r="A5463" s="11"/>
      <c r="B5463" s="11"/>
      <c r="D5463" s="21"/>
      <c r="E5463" s="22"/>
      <c r="G5463" s="23"/>
      <c r="H5463" s="24"/>
      <c r="Q5463" s="2"/>
      <c r="R5463" s="2"/>
    </row>
    <row r="5464" spans="1:18" ht="15.75" customHeight="1" x14ac:dyDescent="0.3">
      <c r="A5464" s="11"/>
      <c r="B5464" s="11"/>
      <c r="D5464" s="21"/>
      <c r="E5464" s="22"/>
      <c r="G5464" s="23"/>
      <c r="H5464" s="24"/>
      <c r="Q5464" s="2"/>
      <c r="R5464" s="2"/>
    </row>
    <row r="5465" spans="1:18" ht="15.75" customHeight="1" x14ac:dyDescent="0.3">
      <c r="A5465" s="11"/>
      <c r="B5465" s="11"/>
      <c r="D5465" s="21"/>
      <c r="E5465" s="22"/>
      <c r="G5465" s="23"/>
      <c r="H5465" s="24"/>
      <c r="Q5465" s="2"/>
      <c r="R5465" s="2"/>
    </row>
    <row r="5466" spans="1:18" ht="15.75" customHeight="1" x14ac:dyDescent="0.3">
      <c r="A5466" s="11"/>
      <c r="B5466" s="11"/>
      <c r="D5466" s="21"/>
      <c r="E5466" s="22"/>
      <c r="G5466" s="23"/>
      <c r="H5466" s="24"/>
      <c r="Q5466" s="2"/>
      <c r="R5466" s="2"/>
    </row>
    <row r="5467" spans="1:18" ht="15.75" customHeight="1" x14ac:dyDescent="0.3">
      <c r="A5467" s="11"/>
      <c r="B5467" s="11"/>
      <c r="D5467" s="21"/>
      <c r="E5467" s="22"/>
      <c r="G5467" s="23"/>
      <c r="H5467" s="24"/>
      <c r="Q5467" s="2"/>
      <c r="R5467" s="2"/>
    </row>
    <row r="5468" spans="1:18" ht="15.75" customHeight="1" x14ac:dyDescent="0.3">
      <c r="A5468" s="11"/>
      <c r="B5468" s="11"/>
      <c r="D5468" s="21"/>
      <c r="E5468" s="22"/>
      <c r="G5468" s="23"/>
      <c r="H5468" s="24"/>
      <c r="Q5468" s="2"/>
      <c r="R5468" s="2"/>
    </row>
    <row r="5469" spans="1:18" ht="15.75" customHeight="1" x14ac:dyDescent="0.3">
      <c r="A5469" s="11"/>
      <c r="B5469" s="11"/>
      <c r="D5469" s="21"/>
      <c r="E5469" s="22"/>
      <c r="G5469" s="23"/>
      <c r="H5469" s="24"/>
      <c r="Q5469" s="2"/>
      <c r="R5469" s="2"/>
    </row>
    <row r="5470" spans="1:18" ht="15.75" customHeight="1" x14ac:dyDescent="0.3">
      <c r="A5470" s="11"/>
      <c r="B5470" s="11"/>
      <c r="D5470" s="21"/>
      <c r="E5470" s="22"/>
      <c r="G5470" s="23"/>
      <c r="H5470" s="24"/>
      <c r="Q5470" s="2"/>
      <c r="R5470" s="2"/>
    </row>
    <row r="5471" spans="1:18" ht="15.75" customHeight="1" x14ac:dyDescent="0.3">
      <c r="A5471" s="11"/>
      <c r="B5471" s="11"/>
      <c r="D5471" s="21"/>
      <c r="E5471" s="22"/>
      <c r="G5471" s="23"/>
      <c r="H5471" s="24"/>
      <c r="Q5471" s="2"/>
      <c r="R5471" s="2"/>
    </row>
    <row r="5472" spans="1:18" ht="15.75" customHeight="1" x14ac:dyDescent="0.3">
      <c r="A5472" s="11"/>
      <c r="B5472" s="11"/>
      <c r="D5472" s="21"/>
      <c r="E5472" s="22"/>
      <c r="G5472" s="23"/>
      <c r="H5472" s="24"/>
      <c r="Q5472" s="2"/>
      <c r="R5472" s="2"/>
    </row>
    <row r="5473" spans="1:18" ht="15.75" customHeight="1" x14ac:dyDescent="0.3">
      <c r="A5473" s="11"/>
      <c r="B5473" s="11"/>
      <c r="D5473" s="21"/>
      <c r="E5473" s="22"/>
      <c r="G5473" s="23"/>
      <c r="H5473" s="24"/>
      <c r="Q5473" s="2"/>
      <c r="R5473" s="2"/>
    </row>
    <row r="5474" spans="1:18" ht="15.75" customHeight="1" x14ac:dyDescent="0.3">
      <c r="A5474" s="11"/>
      <c r="B5474" s="11"/>
      <c r="D5474" s="21"/>
      <c r="E5474" s="22"/>
      <c r="G5474" s="23"/>
      <c r="H5474" s="24"/>
      <c r="Q5474" s="2"/>
      <c r="R5474" s="2"/>
    </row>
    <row r="5475" spans="1:18" ht="15.75" customHeight="1" x14ac:dyDescent="0.3">
      <c r="A5475" s="11"/>
      <c r="B5475" s="11"/>
      <c r="D5475" s="21"/>
      <c r="E5475" s="22"/>
      <c r="G5475" s="23"/>
      <c r="H5475" s="24"/>
      <c r="Q5475" s="2"/>
      <c r="R5475" s="2"/>
    </row>
    <row r="5476" spans="1:18" ht="15.75" customHeight="1" x14ac:dyDescent="0.3">
      <c r="A5476" s="11"/>
      <c r="B5476" s="11"/>
      <c r="D5476" s="21"/>
      <c r="E5476" s="22"/>
      <c r="G5476" s="23"/>
      <c r="H5476" s="24"/>
      <c r="Q5476" s="2"/>
      <c r="R5476" s="2"/>
    </row>
    <row r="5477" spans="1:18" ht="15.75" customHeight="1" x14ac:dyDescent="0.3">
      <c r="A5477" s="11"/>
      <c r="B5477" s="11"/>
      <c r="D5477" s="21"/>
      <c r="E5477" s="22"/>
      <c r="G5477" s="23"/>
      <c r="H5477" s="24"/>
      <c r="Q5477" s="2"/>
      <c r="R5477" s="2"/>
    </row>
    <row r="5478" spans="1:18" ht="15.75" customHeight="1" x14ac:dyDescent="0.3">
      <c r="A5478" s="11"/>
      <c r="B5478" s="11"/>
      <c r="D5478" s="21"/>
      <c r="E5478" s="22"/>
      <c r="G5478" s="23"/>
      <c r="H5478" s="24"/>
      <c r="Q5478" s="2"/>
      <c r="R5478" s="2"/>
    </row>
    <row r="5479" spans="1:18" ht="15.75" customHeight="1" x14ac:dyDescent="0.3">
      <c r="A5479" s="11"/>
      <c r="B5479" s="11"/>
      <c r="D5479" s="21"/>
      <c r="E5479" s="22"/>
      <c r="G5479" s="23"/>
      <c r="H5479" s="24"/>
      <c r="Q5479" s="2"/>
      <c r="R5479" s="2"/>
    </row>
    <row r="5480" spans="1:18" ht="15.75" customHeight="1" x14ac:dyDescent="0.3">
      <c r="A5480" s="11"/>
      <c r="B5480" s="11"/>
      <c r="D5480" s="21"/>
      <c r="E5480" s="22"/>
      <c r="G5480" s="23"/>
      <c r="H5480" s="24"/>
      <c r="Q5480" s="2"/>
      <c r="R5480" s="2"/>
    </row>
    <row r="5481" spans="1:18" ht="15.75" customHeight="1" x14ac:dyDescent="0.3">
      <c r="A5481" s="11"/>
      <c r="B5481" s="11"/>
      <c r="D5481" s="21"/>
      <c r="E5481" s="22"/>
      <c r="G5481" s="23"/>
      <c r="H5481" s="24"/>
      <c r="Q5481" s="2"/>
      <c r="R5481" s="2"/>
    </row>
    <row r="5482" spans="1:18" ht="15.75" customHeight="1" x14ac:dyDescent="0.3">
      <c r="A5482" s="11"/>
      <c r="B5482" s="11"/>
      <c r="D5482" s="21"/>
      <c r="E5482" s="22"/>
      <c r="G5482" s="23"/>
      <c r="H5482" s="24"/>
      <c r="Q5482" s="2"/>
      <c r="R5482" s="2"/>
    </row>
    <row r="5483" spans="1:18" ht="15.75" customHeight="1" x14ac:dyDescent="0.3">
      <c r="A5483" s="11"/>
      <c r="B5483" s="11"/>
      <c r="D5483" s="21"/>
      <c r="E5483" s="22"/>
      <c r="G5483" s="23"/>
      <c r="H5483" s="24"/>
      <c r="Q5483" s="2"/>
      <c r="R5483" s="2"/>
    </row>
    <row r="5484" spans="1:18" ht="15.75" customHeight="1" x14ac:dyDescent="0.3">
      <c r="A5484" s="11"/>
      <c r="B5484" s="11"/>
      <c r="D5484" s="21"/>
      <c r="E5484" s="22"/>
      <c r="G5484" s="23"/>
      <c r="H5484" s="24"/>
      <c r="Q5484" s="2"/>
      <c r="R5484" s="2"/>
    </row>
    <row r="5485" spans="1:18" ht="15.75" customHeight="1" x14ac:dyDescent="0.3">
      <c r="A5485" s="11"/>
      <c r="B5485" s="11"/>
      <c r="D5485" s="21"/>
      <c r="E5485" s="22"/>
      <c r="G5485" s="23"/>
      <c r="H5485" s="24"/>
      <c r="Q5485" s="2"/>
      <c r="R5485" s="2"/>
    </row>
    <row r="5486" spans="1:18" ht="15.75" customHeight="1" x14ac:dyDescent="0.3">
      <c r="A5486" s="11"/>
      <c r="B5486" s="11"/>
      <c r="D5486" s="21"/>
      <c r="E5486" s="22"/>
      <c r="G5486" s="23"/>
      <c r="H5486" s="24"/>
      <c r="Q5486" s="2"/>
      <c r="R5486" s="2"/>
    </row>
    <row r="5487" spans="1:18" ht="15.75" customHeight="1" x14ac:dyDescent="0.3">
      <c r="A5487" s="11"/>
      <c r="B5487" s="11"/>
      <c r="D5487" s="21"/>
      <c r="E5487" s="22"/>
      <c r="G5487" s="23"/>
      <c r="H5487" s="24"/>
      <c r="Q5487" s="2"/>
      <c r="R5487" s="2"/>
    </row>
    <row r="5488" spans="1:18" ht="15.75" customHeight="1" x14ac:dyDescent="0.3">
      <c r="A5488" s="11"/>
      <c r="B5488" s="11"/>
      <c r="D5488" s="21"/>
      <c r="E5488" s="22"/>
      <c r="G5488" s="23"/>
      <c r="H5488" s="24"/>
      <c r="Q5488" s="2"/>
      <c r="R5488" s="2"/>
    </row>
    <row r="5489" spans="1:18" ht="15.75" customHeight="1" x14ac:dyDescent="0.3">
      <c r="A5489" s="11"/>
      <c r="B5489" s="11"/>
      <c r="D5489" s="21"/>
      <c r="E5489" s="22"/>
      <c r="G5489" s="23"/>
      <c r="H5489" s="24"/>
      <c r="Q5489" s="2"/>
      <c r="R5489" s="2"/>
    </row>
    <row r="5490" spans="1:18" ht="15.75" customHeight="1" x14ac:dyDescent="0.3">
      <c r="A5490" s="11"/>
      <c r="B5490" s="11"/>
      <c r="D5490" s="21"/>
      <c r="E5490" s="22"/>
      <c r="G5490" s="23"/>
      <c r="H5490" s="24"/>
      <c r="Q5490" s="2"/>
      <c r="R5490" s="2"/>
    </row>
    <row r="5491" spans="1:18" ht="15.75" customHeight="1" x14ac:dyDescent="0.3">
      <c r="A5491" s="11"/>
      <c r="B5491" s="11"/>
      <c r="D5491" s="21"/>
      <c r="E5491" s="22"/>
      <c r="G5491" s="23"/>
      <c r="H5491" s="24"/>
      <c r="Q5491" s="2"/>
      <c r="R5491" s="2"/>
    </row>
    <row r="5492" spans="1:18" ht="15.75" customHeight="1" x14ac:dyDescent="0.3">
      <c r="A5492" s="11"/>
      <c r="B5492" s="11"/>
      <c r="D5492" s="21"/>
      <c r="E5492" s="22"/>
      <c r="G5492" s="23"/>
      <c r="H5492" s="24"/>
      <c r="Q5492" s="2"/>
      <c r="R5492" s="2"/>
    </row>
    <row r="5493" spans="1:18" ht="15.75" customHeight="1" x14ac:dyDescent="0.3">
      <c r="A5493" s="11"/>
      <c r="B5493" s="11"/>
      <c r="D5493" s="21"/>
      <c r="E5493" s="22"/>
      <c r="G5493" s="23"/>
      <c r="H5493" s="24"/>
      <c r="Q5493" s="2"/>
      <c r="R5493" s="2"/>
    </row>
    <row r="5494" spans="1:18" ht="15.75" customHeight="1" x14ac:dyDescent="0.3">
      <c r="A5494" s="11"/>
      <c r="B5494" s="11"/>
      <c r="D5494" s="21"/>
      <c r="E5494" s="22"/>
      <c r="G5494" s="23"/>
      <c r="H5494" s="24"/>
      <c r="Q5494" s="2"/>
      <c r="R5494" s="2"/>
    </row>
    <row r="5495" spans="1:18" ht="15.75" customHeight="1" x14ac:dyDescent="0.3">
      <c r="A5495" s="11"/>
      <c r="B5495" s="11"/>
      <c r="D5495" s="21"/>
      <c r="E5495" s="22"/>
      <c r="G5495" s="23"/>
      <c r="H5495" s="24"/>
      <c r="Q5495" s="2"/>
      <c r="R5495" s="2"/>
    </row>
    <row r="5496" spans="1:18" ht="15.75" customHeight="1" x14ac:dyDescent="0.3">
      <c r="A5496" s="11"/>
      <c r="B5496" s="11"/>
      <c r="D5496" s="21"/>
      <c r="E5496" s="22"/>
      <c r="G5496" s="23"/>
      <c r="H5496" s="24"/>
      <c r="Q5496" s="2"/>
      <c r="R5496" s="2"/>
    </row>
    <row r="5497" spans="1:18" ht="15.75" customHeight="1" x14ac:dyDescent="0.3">
      <c r="A5497" s="11"/>
      <c r="B5497" s="11"/>
      <c r="D5497" s="21"/>
      <c r="E5497" s="22"/>
      <c r="G5497" s="23"/>
      <c r="H5497" s="24"/>
      <c r="Q5497" s="2"/>
      <c r="R5497" s="2"/>
    </row>
    <row r="5498" spans="1:18" ht="15.75" customHeight="1" x14ac:dyDescent="0.3">
      <c r="A5498" s="11"/>
      <c r="B5498" s="11"/>
      <c r="D5498" s="21"/>
      <c r="E5498" s="22"/>
      <c r="G5498" s="23"/>
      <c r="H5498" s="24"/>
      <c r="Q5498" s="2"/>
      <c r="R5498" s="2"/>
    </row>
    <row r="5499" spans="1:18" ht="15.75" customHeight="1" x14ac:dyDescent="0.3">
      <c r="A5499" s="11"/>
      <c r="B5499" s="11"/>
      <c r="D5499" s="21"/>
      <c r="E5499" s="22"/>
      <c r="G5499" s="23"/>
      <c r="H5499" s="24"/>
      <c r="Q5499" s="2"/>
      <c r="R5499" s="2"/>
    </row>
    <row r="5500" spans="1:18" ht="15.75" customHeight="1" x14ac:dyDescent="0.3">
      <c r="A5500" s="11"/>
      <c r="B5500" s="11"/>
      <c r="D5500" s="21"/>
      <c r="E5500" s="22"/>
      <c r="G5500" s="23"/>
      <c r="H5500" s="24"/>
      <c r="Q5500" s="2"/>
      <c r="R5500" s="2"/>
    </row>
    <row r="5501" spans="1:18" ht="15.75" customHeight="1" x14ac:dyDescent="0.3">
      <c r="A5501" s="11"/>
      <c r="B5501" s="11"/>
      <c r="D5501" s="21"/>
      <c r="E5501" s="22"/>
      <c r="G5501" s="23"/>
      <c r="H5501" s="24"/>
      <c r="Q5501" s="2"/>
      <c r="R5501" s="2"/>
    </row>
    <row r="5502" spans="1:18" ht="15.75" customHeight="1" x14ac:dyDescent="0.3">
      <c r="A5502" s="11"/>
      <c r="B5502" s="11"/>
      <c r="D5502" s="21"/>
      <c r="E5502" s="22"/>
      <c r="G5502" s="23"/>
      <c r="H5502" s="24"/>
      <c r="Q5502" s="2"/>
      <c r="R5502" s="2"/>
    </row>
    <row r="5503" spans="1:18" ht="15.75" customHeight="1" x14ac:dyDescent="0.3">
      <c r="A5503" s="11"/>
      <c r="B5503" s="11"/>
      <c r="D5503" s="21"/>
      <c r="E5503" s="22"/>
      <c r="G5503" s="23"/>
      <c r="H5503" s="24"/>
      <c r="Q5503" s="2"/>
      <c r="R5503" s="2"/>
    </row>
    <row r="5504" spans="1:18" ht="15.75" customHeight="1" x14ac:dyDescent="0.3">
      <c r="A5504" s="11"/>
      <c r="B5504" s="11"/>
      <c r="D5504" s="21"/>
      <c r="E5504" s="22"/>
      <c r="G5504" s="23"/>
      <c r="H5504" s="24"/>
      <c r="Q5504" s="2"/>
      <c r="R5504" s="2"/>
    </row>
    <row r="5505" spans="1:18" ht="15.75" customHeight="1" x14ac:dyDescent="0.3">
      <c r="A5505" s="11"/>
      <c r="B5505" s="11"/>
      <c r="D5505" s="21"/>
      <c r="E5505" s="22"/>
      <c r="G5505" s="23"/>
      <c r="H5505" s="24"/>
      <c r="Q5505" s="2"/>
      <c r="R5505" s="2"/>
    </row>
    <row r="5506" spans="1:18" ht="15.75" customHeight="1" x14ac:dyDescent="0.3">
      <c r="A5506" s="11"/>
      <c r="B5506" s="11"/>
      <c r="D5506" s="21"/>
      <c r="E5506" s="22"/>
      <c r="G5506" s="23"/>
      <c r="H5506" s="24"/>
      <c r="Q5506" s="2"/>
      <c r="R5506" s="2"/>
    </row>
    <row r="5507" spans="1:18" ht="15.75" customHeight="1" x14ac:dyDescent="0.3">
      <c r="A5507" s="11"/>
      <c r="B5507" s="11"/>
      <c r="D5507" s="21"/>
      <c r="E5507" s="22"/>
      <c r="G5507" s="23"/>
      <c r="H5507" s="24"/>
      <c r="Q5507" s="2"/>
      <c r="R5507" s="2"/>
    </row>
    <row r="5508" spans="1:18" ht="15.75" customHeight="1" x14ac:dyDescent="0.3">
      <c r="A5508" s="11"/>
      <c r="B5508" s="11"/>
      <c r="D5508" s="21"/>
      <c r="E5508" s="22"/>
      <c r="G5508" s="23"/>
      <c r="H5508" s="24"/>
      <c r="Q5508" s="2"/>
      <c r="R5508" s="2"/>
    </row>
    <row r="5509" spans="1:18" ht="15.75" customHeight="1" x14ac:dyDescent="0.3">
      <c r="A5509" s="11"/>
      <c r="B5509" s="11"/>
      <c r="D5509" s="21"/>
      <c r="E5509" s="22"/>
      <c r="G5509" s="23"/>
      <c r="H5509" s="24"/>
      <c r="Q5509" s="2"/>
      <c r="R5509" s="2"/>
    </row>
    <row r="5510" spans="1:18" ht="15.75" customHeight="1" x14ac:dyDescent="0.3">
      <c r="A5510" s="11"/>
      <c r="B5510" s="11"/>
      <c r="D5510" s="21"/>
      <c r="E5510" s="22"/>
      <c r="G5510" s="23"/>
      <c r="H5510" s="24"/>
      <c r="Q5510" s="2"/>
      <c r="R5510" s="2"/>
    </row>
    <row r="5511" spans="1:18" ht="15.75" customHeight="1" x14ac:dyDescent="0.3">
      <c r="A5511" s="11"/>
      <c r="B5511" s="11"/>
      <c r="D5511" s="21"/>
      <c r="E5511" s="22"/>
      <c r="G5511" s="23"/>
      <c r="H5511" s="24"/>
      <c r="Q5511" s="2"/>
      <c r="R5511" s="2"/>
    </row>
    <row r="5512" spans="1:18" ht="15.75" customHeight="1" x14ac:dyDescent="0.3">
      <c r="A5512" s="11"/>
      <c r="B5512" s="11"/>
      <c r="D5512" s="21"/>
      <c r="E5512" s="22"/>
      <c r="G5512" s="23"/>
      <c r="H5512" s="24"/>
      <c r="Q5512" s="2"/>
      <c r="R5512" s="2"/>
    </row>
    <row r="5513" spans="1:18" ht="15.75" customHeight="1" x14ac:dyDescent="0.3">
      <c r="A5513" s="11"/>
      <c r="B5513" s="11"/>
      <c r="D5513" s="21"/>
      <c r="E5513" s="22"/>
      <c r="G5513" s="23"/>
      <c r="H5513" s="24"/>
      <c r="Q5513" s="2"/>
      <c r="R5513" s="2"/>
    </row>
    <row r="5514" spans="1:18" ht="15.75" customHeight="1" x14ac:dyDescent="0.3">
      <c r="A5514" s="11"/>
      <c r="B5514" s="11"/>
      <c r="D5514" s="21"/>
      <c r="E5514" s="22"/>
      <c r="G5514" s="23"/>
      <c r="H5514" s="24"/>
      <c r="Q5514" s="2"/>
      <c r="R5514" s="2"/>
    </row>
    <row r="5515" spans="1:18" ht="15.75" customHeight="1" x14ac:dyDescent="0.3">
      <c r="A5515" s="11"/>
      <c r="B5515" s="11"/>
      <c r="D5515" s="21"/>
      <c r="E5515" s="22"/>
      <c r="G5515" s="23"/>
      <c r="H5515" s="24"/>
      <c r="Q5515" s="2"/>
      <c r="R5515" s="2"/>
    </row>
    <row r="5516" spans="1:18" ht="15.75" customHeight="1" x14ac:dyDescent="0.3">
      <c r="A5516" s="11"/>
      <c r="B5516" s="11"/>
      <c r="D5516" s="21"/>
      <c r="E5516" s="22"/>
      <c r="G5516" s="23"/>
      <c r="H5516" s="24"/>
      <c r="Q5516" s="2"/>
      <c r="R5516" s="2"/>
    </row>
    <row r="5517" spans="1:18" ht="15.75" customHeight="1" x14ac:dyDescent="0.3">
      <c r="A5517" s="11"/>
      <c r="B5517" s="11"/>
      <c r="D5517" s="21"/>
      <c r="E5517" s="22"/>
      <c r="G5517" s="23"/>
      <c r="H5517" s="24"/>
      <c r="Q5517" s="2"/>
      <c r="R5517" s="2"/>
    </row>
    <row r="5518" spans="1:18" ht="15.75" customHeight="1" x14ac:dyDescent="0.3">
      <c r="A5518" s="11"/>
      <c r="B5518" s="11"/>
      <c r="D5518" s="21"/>
      <c r="E5518" s="22"/>
      <c r="G5518" s="23"/>
      <c r="H5518" s="24"/>
      <c r="Q5518" s="2"/>
      <c r="R5518" s="2"/>
    </row>
    <row r="5519" spans="1:18" ht="15.75" customHeight="1" x14ac:dyDescent="0.3">
      <c r="A5519" s="11"/>
      <c r="B5519" s="11"/>
      <c r="D5519" s="21"/>
      <c r="E5519" s="22"/>
      <c r="G5519" s="23"/>
      <c r="H5519" s="24"/>
      <c r="Q5519" s="2"/>
      <c r="R5519" s="2"/>
    </row>
    <row r="5520" spans="1:18" ht="15.75" customHeight="1" x14ac:dyDescent="0.3">
      <c r="A5520" s="11"/>
      <c r="B5520" s="11"/>
      <c r="D5520" s="21"/>
      <c r="E5520" s="22"/>
      <c r="G5520" s="23"/>
      <c r="H5520" s="24"/>
      <c r="Q5520" s="2"/>
      <c r="R5520" s="2"/>
    </row>
    <row r="5521" spans="1:18" ht="15.75" customHeight="1" x14ac:dyDescent="0.3">
      <c r="A5521" s="11"/>
      <c r="B5521" s="11"/>
      <c r="D5521" s="21"/>
      <c r="E5521" s="22"/>
      <c r="G5521" s="23"/>
      <c r="H5521" s="24"/>
      <c r="Q5521" s="2"/>
      <c r="R5521" s="2"/>
    </row>
    <row r="5522" spans="1:18" ht="15.75" customHeight="1" x14ac:dyDescent="0.3">
      <c r="A5522" s="11"/>
      <c r="B5522" s="11"/>
      <c r="D5522" s="21"/>
      <c r="E5522" s="22"/>
      <c r="G5522" s="23"/>
      <c r="H5522" s="24"/>
      <c r="Q5522" s="2"/>
      <c r="R5522" s="2"/>
    </row>
    <row r="5523" spans="1:18" ht="15.75" customHeight="1" x14ac:dyDescent="0.3">
      <c r="A5523" s="11"/>
      <c r="B5523" s="11"/>
      <c r="D5523" s="21"/>
      <c r="E5523" s="22"/>
      <c r="G5523" s="23"/>
      <c r="H5523" s="24"/>
      <c r="Q5523" s="2"/>
      <c r="R5523" s="2"/>
    </row>
    <row r="5524" spans="1:18" ht="15.75" customHeight="1" x14ac:dyDescent="0.3">
      <c r="A5524" s="11"/>
      <c r="B5524" s="11"/>
      <c r="D5524" s="21"/>
      <c r="E5524" s="22"/>
      <c r="G5524" s="23"/>
      <c r="H5524" s="24"/>
      <c r="Q5524" s="2"/>
      <c r="R5524" s="2"/>
    </row>
    <row r="5525" spans="1:18" ht="15.75" customHeight="1" x14ac:dyDescent="0.3">
      <c r="A5525" s="11"/>
      <c r="B5525" s="11"/>
      <c r="D5525" s="21"/>
      <c r="E5525" s="22"/>
      <c r="G5525" s="23"/>
      <c r="H5525" s="24"/>
      <c r="Q5525" s="2"/>
      <c r="R5525" s="2"/>
    </row>
    <row r="5526" spans="1:18" ht="15.75" customHeight="1" x14ac:dyDescent="0.3">
      <c r="A5526" s="11"/>
      <c r="B5526" s="11"/>
      <c r="D5526" s="21"/>
      <c r="E5526" s="22"/>
      <c r="G5526" s="23"/>
      <c r="H5526" s="24"/>
      <c r="Q5526" s="2"/>
      <c r="R5526" s="2"/>
    </row>
    <row r="5527" spans="1:18" ht="15.75" customHeight="1" x14ac:dyDescent="0.3">
      <c r="A5527" s="11"/>
      <c r="B5527" s="11"/>
      <c r="D5527" s="21"/>
      <c r="E5527" s="22"/>
      <c r="G5527" s="23"/>
      <c r="H5527" s="24"/>
      <c r="Q5527" s="2"/>
      <c r="R5527" s="2"/>
    </row>
    <row r="5528" spans="1:18" ht="15.75" customHeight="1" x14ac:dyDescent="0.3">
      <c r="A5528" s="11"/>
      <c r="B5528" s="11"/>
      <c r="D5528" s="21"/>
      <c r="E5528" s="22"/>
      <c r="G5528" s="23"/>
      <c r="H5528" s="24"/>
      <c r="Q5528" s="2"/>
      <c r="R5528" s="2"/>
    </row>
    <row r="5529" spans="1:18" ht="15.75" customHeight="1" x14ac:dyDescent="0.3">
      <c r="A5529" s="11"/>
      <c r="B5529" s="11"/>
      <c r="D5529" s="21"/>
      <c r="E5529" s="22"/>
      <c r="G5529" s="23"/>
      <c r="H5529" s="24"/>
      <c r="Q5529" s="2"/>
      <c r="R5529" s="2"/>
    </row>
    <row r="5530" spans="1:18" ht="15.75" customHeight="1" x14ac:dyDescent="0.3">
      <c r="A5530" s="11"/>
      <c r="B5530" s="11"/>
      <c r="D5530" s="21"/>
      <c r="E5530" s="22"/>
      <c r="G5530" s="23"/>
      <c r="H5530" s="24"/>
      <c r="Q5530" s="2"/>
      <c r="R5530" s="2"/>
    </row>
    <row r="5531" spans="1:18" ht="15.75" customHeight="1" x14ac:dyDescent="0.3">
      <c r="A5531" s="11"/>
      <c r="B5531" s="11"/>
      <c r="D5531" s="21"/>
      <c r="E5531" s="22"/>
      <c r="G5531" s="23"/>
      <c r="H5531" s="24"/>
      <c r="Q5531" s="2"/>
      <c r="R5531" s="2"/>
    </row>
    <row r="5532" spans="1:18" ht="15.75" customHeight="1" x14ac:dyDescent="0.3">
      <c r="A5532" s="11"/>
      <c r="B5532" s="11"/>
      <c r="D5532" s="21"/>
      <c r="E5532" s="22"/>
      <c r="G5532" s="23"/>
      <c r="H5532" s="24"/>
      <c r="Q5532" s="2"/>
      <c r="R5532" s="2"/>
    </row>
    <row r="5533" spans="1:18" ht="15.75" customHeight="1" x14ac:dyDescent="0.3">
      <c r="A5533" s="11"/>
      <c r="B5533" s="11"/>
      <c r="D5533" s="21"/>
      <c r="E5533" s="22"/>
      <c r="G5533" s="23"/>
      <c r="H5533" s="24"/>
      <c r="Q5533" s="2"/>
      <c r="R5533" s="2"/>
    </row>
    <row r="5534" spans="1:18" ht="15.75" customHeight="1" x14ac:dyDescent="0.3">
      <c r="A5534" s="11"/>
      <c r="B5534" s="11"/>
      <c r="D5534" s="21"/>
      <c r="E5534" s="22"/>
      <c r="G5534" s="23"/>
      <c r="H5534" s="24"/>
      <c r="Q5534" s="2"/>
      <c r="R5534" s="2"/>
    </row>
    <row r="5535" spans="1:18" ht="15.75" customHeight="1" x14ac:dyDescent="0.3">
      <c r="A5535" s="11"/>
      <c r="B5535" s="11"/>
      <c r="D5535" s="21"/>
      <c r="E5535" s="22"/>
      <c r="G5535" s="23"/>
      <c r="H5535" s="24"/>
      <c r="Q5535" s="2"/>
      <c r="R5535" s="2"/>
    </row>
    <row r="5536" spans="1:18" ht="15.75" customHeight="1" x14ac:dyDescent="0.3">
      <c r="A5536" s="11"/>
      <c r="B5536" s="11"/>
      <c r="D5536" s="21"/>
      <c r="E5536" s="22"/>
      <c r="G5536" s="23"/>
      <c r="H5536" s="24"/>
      <c r="Q5536" s="2"/>
      <c r="R5536" s="2"/>
    </row>
    <row r="5537" spans="1:18" ht="15.75" customHeight="1" x14ac:dyDescent="0.3">
      <c r="A5537" s="11"/>
      <c r="B5537" s="11"/>
      <c r="D5537" s="21"/>
      <c r="E5537" s="22"/>
      <c r="G5537" s="23"/>
      <c r="H5537" s="24"/>
      <c r="Q5537" s="2"/>
      <c r="R5537" s="2"/>
    </row>
    <row r="5538" spans="1:18" ht="15.75" customHeight="1" x14ac:dyDescent="0.3">
      <c r="A5538" s="11"/>
      <c r="B5538" s="11"/>
      <c r="D5538" s="21"/>
      <c r="E5538" s="22"/>
      <c r="G5538" s="23"/>
      <c r="H5538" s="24"/>
      <c r="Q5538" s="2"/>
      <c r="R5538" s="2"/>
    </row>
    <row r="5539" spans="1:18" ht="15.75" customHeight="1" x14ac:dyDescent="0.3">
      <c r="A5539" s="11"/>
      <c r="B5539" s="11"/>
      <c r="D5539" s="21"/>
      <c r="E5539" s="22"/>
      <c r="G5539" s="23"/>
      <c r="H5539" s="24"/>
      <c r="Q5539" s="2"/>
      <c r="R5539" s="2"/>
    </row>
    <row r="5540" spans="1:18" ht="15.75" customHeight="1" x14ac:dyDescent="0.3">
      <c r="A5540" s="11"/>
      <c r="B5540" s="11"/>
      <c r="D5540" s="21"/>
      <c r="E5540" s="22"/>
      <c r="G5540" s="23"/>
      <c r="H5540" s="24"/>
      <c r="Q5540" s="2"/>
      <c r="R5540" s="2"/>
    </row>
    <row r="5541" spans="1:18" ht="15.75" customHeight="1" x14ac:dyDescent="0.3">
      <c r="A5541" s="11"/>
      <c r="B5541" s="11"/>
      <c r="D5541" s="21"/>
      <c r="E5541" s="22"/>
      <c r="G5541" s="23"/>
      <c r="H5541" s="24"/>
      <c r="Q5541" s="2"/>
      <c r="R5541" s="2"/>
    </row>
    <row r="5542" spans="1:18" ht="15.75" customHeight="1" x14ac:dyDescent="0.3">
      <c r="A5542" s="11"/>
      <c r="B5542" s="11"/>
      <c r="D5542" s="21"/>
      <c r="E5542" s="22"/>
      <c r="G5542" s="23"/>
      <c r="H5542" s="24"/>
      <c r="Q5542" s="2"/>
      <c r="R5542" s="2"/>
    </row>
    <row r="5543" spans="1:18" ht="15.75" customHeight="1" x14ac:dyDescent="0.3">
      <c r="A5543" s="11"/>
      <c r="B5543" s="11"/>
      <c r="D5543" s="21"/>
      <c r="E5543" s="22"/>
      <c r="G5543" s="23"/>
      <c r="H5543" s="24"/>
      <c r="Q5543" s="2"/>
      <c r="R5543" s="2"/>
    </row>
    <row r="5544" spans="1:18" ht="15.75" customHeight="1" x14ac:dyDescent="0.3">
      <c r="A5544" s="11"/>
      <c r="B5544" s="11"/>
      <c r="D5544" s="21"/>
      <c r="E5544" s="22"/>
      <c r="G5544" s="23"/>
      <c r="H5544" s="24"/>
      <c r="Q5544" s="2"/>
      <c r="R5544" s="2"/>
    </row>
    <row r="5545" spans="1:18" ht="15.75" customHeight="1" x14ac:dyDescent="0.3">
      <c r="A5545" s="11"/>
      <c r="B5545" s="11"/>
      <c r="D5545" s="21"/>
      <c r="E5545" s="22"/>
      <c r="G5545" s="23"/>
      <c r="H5545" s="24"/>
      <c r="Q5545" s="2"/>
      <c r="R5545" s="2"/>
    </row>
    <row r="5546" spans="1:18" ht="15.75" customHeight="1" x14ac:dyDescent="0.3">
      <c r="A5546" s="11"/>
      <c r="B5546" s="11"/>
      <c r="D5546" s="21"/>
      <c r="E5546" s="22"/>
      <c r="G5546" s="23"/>
      <c r="H5546" s="24"/>
      <c r="Q5546" s="2"/>
      <c r="R5546" s="2"/>
    </row>
    <row r="5547" spans="1:18" ht="15.75" customHeight="1" x14ac:dyDescent="0.3">
      <c r="A5547" s="11"/>
      <c r="B5547" s="11"/>
      <c r="D5547" s="21"/>
      <c r="E5547" s="22"/>
      <c r="G5547" s="23"/>
      <c r="H5547" s="24"/>
      <c r="Q5547" s="2"/>
      <c r="R5547" s="2"/>
    </row>
    <row r="5548" spans="1:18" ht="15.75" customHeight="1" x14ac:dyDescent="0.3">
      <c r="A5548" s="11"/>
      <c r="B5548" s="11"/>
      <c r="D5548" s="21"/>
      <c r="E5548" s="22"/>
      <c r="G5548" s="23"/>
      <c r="H5548" s="24"/>
      <c r="Q5548" s="2"/>
      <c r="R5548" s="2"/>
    </row>
    <row r="5549" spans="1:18" ht="15.75" customHeight="1" x14ac:dyDescent="0.3">
      <c r="A5549" s="11"/>
      <c r="B5549" s="11"/>
      <c r="D5549" s="21"/>
      <c r="E5549" s="22"/>
      <c r="G5549" s="23"/>
      <c r="H5549" s="24"/>
      <c r="Q5549" s="2"/>
      <c r="R5549" s="2"/>
    </row>
    <row r="5550" spans="1:18" ht="15.75" customHeight="1" x14ac:dyDescent="0.3">
      <c r="A5550" s="11"/>
      <c r="B5550" s="11"/>
      <c r="D5550" s="21"/>
      <c r="E5550" s="22"/>
      <c r="G5550" s="23"/>
      <c r="H5550" s="24"/>
      <c r="Q5550" s="2"/>
      <c r="R5550" s="2"/>
    </row>
    <row r="5551" spans="1:18" ht="15.75" customHeight="1" x14ac:dyDescent="0.3">
      <c r="A5551" s="11"/>
      <c r="B5551" s="11"/>
      <c r="D5551" s="21"/>
      <c r="E5551" s="22"/>
      <c r="G5551" s="23"/>
      <c r="H5551" s="24"/>
      <c r="Q5551" s="2"/>
      <c r="R5551" s="2"/>
    </row>
    <row r="5552" spans="1:18" ht="15.75" customHeight="1" x14ac:dyDescent="0.3">
      <c r="A5552" s="11"/>
      <c r="B5552" s="11"/>
      <c r="D5552" s="21"/>
      <c r="E5552" s="22"/>
      <c r="G5552" s="23"/>
      <c r="H5552" s="24"/>
      <c r="Q5552" s="2"/>
      <c r="R5552" s="2"/>
    </row>
    <row r="5553" spans="1:18" ht="15.75" customHeight="1" x14ac:dyDescent="0.3">
      <c r="A5553" s="11"/>
      <c r="B5553" s="11"/>
      <c r="D5553" s="21"/>
      <c r="E5553" s="22"/>
      <c r="G5553" s="23"/>
      <c r="H5553" s="24"/>
      <c r="Q5553" s="2"/>
      <c r="R5553" s="2"/>
    </row>
    <row r="5554" spans="1:18" ht="15.75" customHeight="1" x14ac:dyDescent="0.3">
      <c r="A5554" s="11"/>
      <c r="B5554" s="11"/>
      <c r="D5554" s="21"/>
      <c r="E5554" s="22"/>
      <c r="G5554" s="23"/>
      <c r="H5554" s="24"/>
      <c r="Q5554" s="2"/>
      <c r="R5554" s="2"/>
    </row>
    <row r="5555" spans="1:18" ht="15.75" customHeight="1" x14ac:dyDescent="0.3">
      <c r="A5555" s="11"/>
      <c r="B5555" s="11"/>
      <c r="D5555" s="21"/>
      <c r="E5555" s="22"/>
      <c r="G5555" s="23"/>
      <c r="H5555" s="24"/>
      <c r="Q5555" s="2"/>
      <c r="R5555" s="2"/>
    </row>
    <row r="5556" spans="1:18" ht="15.75" customHeight="1" x14ac:dyDescent="0.3">
      <c r="A5556" s="11"/>
      <c r="B5556" s="11"/>
      <c r="D5556" s="21"/>
      <c r="E5556" s="22"/>
      <c r="G5556" s="23"/>
      <c r="H5556" s="24"/>
      <c r="Q5556" s="2"/>
      <c r="R5556" s="2"/>
    </row>
    <row r="5557" spans="1:18" ht="15.75" customHeight="1" x14ac:dyDescent="0.3">
      <c r="A5557" s="11"/>
      <c r="B5557" s="11"/>
      <c r="D5557" s="21"/>
      <c r="E5557" s="22"/>
      <c r="G5557" s="23"/>
      <c r="H5557" s="24"/>
      <c r="Q5557" s="2"/>
      <c r="R5557" s="2"/>
    </row>
    <row r="5558" spans="1:18" ht="15.75" customHeight="1" x14ac:dyDescent="0.3">
      <c r="A5558" s="11"/>
      <c r="B5558" s="11"/>
      <c r="D5558" s="21"/>
      <c r="E5558" s="22"/>
      <c r="G5558" s="23"/>
      <c r="H5558" s="24"/>
      <c r="Q5558" s="2"/>
      <c r="R5558" s="2"/>
    </row>
    <row r="5559" spans="1:18" ht="15.75" customHeight="1" x14ac:dyDescent="0.3">
      <c r="A5559" s="11"/>
      <c r="B5559" s="11"/>
      <c r="D5559" s="21"/>
      <c r="E5559" s="22"/>
      <c r="G5559" s="23"/>
      <c r="H5559" s="24"/>
      <c r="Q5559" s="2"/>
      <c r="R5559" s="2"/>
    </row>
    <row r="5560" spans="1:18" ht="15.75" customHeight="1" x14ac:dyDescent="0.3">
      <c r="A5560" s="11"/>
      <c r="B5560" s="11"/>
      <c r="D5560" s="21"/>
      <c r="E5560" s="22"/>
      <c r="G5560" s="23"/>
      <c r="H5560" s="24"/>
      <c r="Q5560" s="2"/>
      <c r="R5560" s="2"/>
    </row>
    <row r="5561" spans="1:18" ht="15.75" customHeight="1" x14ac:dyDescent="0.3">
      <c r="A5561" s="11"/>
      <c r="B5561" s="11"/>
      <c r="D5561" s="21"/>
      <c r="E5561" s="22"/>
      <c r="G5561" s="23"/>
      <c r="H5561" s="24"/>
      <c r="Q5561" s="2"/>
      <c r="R5561" s="2"/>
    </row>
    <row r="5562" spans="1:18" ht="15.75" customHeight="1" x14ac:dyDescent="0.3">
      <c r="A5562" s="11"/>
      <c r="B5562" s="11"/>
      <c r="D5562" s="21"/>
      <c r="E5562" s="22"/>
      <c r="G5562" s="23"/>
      <c r="H5562" s="24"/>
      <c r="Q5562" s="2"/>
      <c r="R5562" s="2"/>
    </row>
    <row r="5563" spans="1:18" ht="15.75" customHeight="1" x14ac:dyDescent="0.3">
      <c r="A5563" s="11"/>
      <c r="B5563" s="11"/>
      <c r="D5563" s="21"/>
      <c r="E5563" s="22"/>
      <c r="G5563" s="23"/>
      <c r="H5563" s="24"/>
      <c r="Q5563" s="2"/>
      <c r="R5563" s="2"/>
    </row>
    <row r="5564" spans="1:18" ht="15.75" customHeight="1" x14ac:dyDescent="0.3">
      <c r="A5564" s="11"/>
      <c r="B5564" s="11"/>
      <c r="D5564" s="21"/>
      <c r="E5564" s="22"/>
      <c r="G5564" s="23"/>
      <c r="H5564" s="24"/>
      <c r="Q5564" s="2"/>
      <c r="R5564" s="2"/>
    </row>
    <row r="5565" spans="1:18" ht="15.75" customHeight="1" x14ac:dyDescent="0.3">
      <c r="A5565" s="11"/>
      <c r="B5565" s="11"/>
      <c r="D5565" s="21"/>
      <c r="E5565" s="22"/>
      <c r="G5565" s="23"/>
      <c r="H5565" s="24"/>
      <c r="Q5565" s="2"/>
      <c r="R5565" s="2"/>
    </row>
    <row r="5566" spans="1:18" ht="15.75" customHeight="1" x14ac:dyDescent="0.3">
      <c r="A5566" s="11"/>
      <c r="B5566" s="11"/>
      <c r="D5566" s="21"/>
      <c r="E5566" s="22"/>
      <c r="G5566" s="23"/>
      <c r="H5566" s="24"/>
      <c r="Q5566" s="2"/>
      <c r="R5566" s="2"/>
    </row>
    <row r="5567" spans="1:18" ht="15.75" customHeight="1" x14ac:dyDescent="0.3">
      <c r="A5567" s="11"/>
      <c r="B5567" s="11"/>
      <c r="D5567" s="21"/>
      <c r="E5567" s="22"/>
      <c r="G5567" s="23"/>
      <c r="H5567" s="24"/>
      <c r="Q5567" s="2"/>
      <c r="R5567" s="2"/>
    </row>
    <row r="5568" spans="1:18" ht="15.75" customHeight="1" x14ac:dyDescent="0.3">
      <c r="A5568" s="11"/>
      <c r="B5568" s="11"/>
      <c r="D5568" s="21"/>
      <c r="E5568" s="22"/>
      <c r="G5568" s="23"/>
      <c r="H5568" s="24"/>
      <c r="Q5568" s="2"/>
      <c r="R5568" s="2"/>
    </row>
    <row r="5569" spans="1:18" ht="15.75" customHeight="1" x14ac:dyDescent="0.3">
      <c r="A5569" s="11"/>
      <c r="B5569" s="11"/>
      <c r="D5569" s="21"/>
      <c r="E5569" s="22"/>
      <c r="G5569" s="23"/>
      <c r="H5569" s="24"/>
      <c r="Q5569" s="2"/>
      <c r="R5569" s="2"/>
    </row>
    <row r="5570" spans="1:18" ht="15.75" customHeight="1" x14ac:dyDescent="0.3">
      <c r="A5570" s="11"/>
      <c r="B5570" s="11"/>
      <c r="D5570" s="21"/>
      <c r="E5570" s="22"/>
      <c r="G5570" s="23"/>
      <c r="H5570" s="24"/>
      <c r="Q5570" s="2"/>
      <c r="R5570" s="2"/>
    </row>
    <row r="5571" spans="1:18" ht="15.75" customHeight="1" x14ac:dyDescent="0.3">
      <c r="A5571" s="11"/>
      <c r="B5571" s="11"/>
      <c r="D5571" s="21"/>
      <c r="E5571" s="22"/>
      <c r="G5571" s="23"/>
      <c r="H5571" s="24"/>
      <c r="Q5571" s="2"/>
      <c r="R5571" s="2"/>
    </row>
    <row r="5572" spans="1:18" ht="15.75" customHeight="1" x14ac:dyDescent="0.3">
      <c r="A5572" s="11"/>
      <c r="B5572" s="11"/>
      <c r="D5572" s="21"/>
      <c r="E5572" s="22"/>
      <c r="G5572" s="23"/>
      <c r="H5572" s="24"/>
      <c r="Q5572" s="2"/>
      <c r="R5572" s="2"/>
    </row>
    <row r="5573" spans="1:18" ht="15.75" customHeight="1" x14ac:dyDescent="0.3">
      <c r="A5573" s="11"/>
      <c r="B5573" s="11"/>
      <c r="D5573" s="21"/>
      <c r="E5573" s="22"/>
      <c r="G5573" s="23"/>
      <c r="H5573" s="24"/>
      <c r="Q5573" s="2"/>
      <c r="R5573" s="2"/>
    </row>
    <row r="5574" spans="1:18" ht="15.75" customHeight="1" x14ac:dyDescent="0.3">
      <c r="A5574" s="11"/>
      <c r="B5574" s="11"/>
      <c r="D5574" s="21"/>
      <c r="E5574" s="22"/>
      <c r="G5574" s="23"/>
      <c r="H5574" s="24"/>
      <c r="Q5574" s="2"/>
      <c r="R5574" s="2"/>
    </row>
    <row r="5575" spans="1:18" ht="15.75" customHeight="1" x14ac:dyDescent="0.3">
      <c r="A5575" s="11"/>
      <c r="B5575" s="11"/>
      <c r="D5575" s="21"/>
      <c r="E5575" s="22"/>
      <c r="G5575" s="23"/>
      <c r="H5575" s="24"/>
      <c r="Q5575" s="2"/>
      <c r="R5575" s="2"/>
    </row>
    <row r="5576" spans="1:18" ht="15.75" customHeight="1" x14ac:dyDescent="0.3">
      <c r="A5576" s="11"/>
      <c r="B5576" s="11"/>
      <c r="D5576" s="21"/>
      <c r="E5576" s="22"/>
      <c r="G5576" s="23"/>
      <c r="H5576" s="24"/>
      <c r="Q5576" s="2"/>
      <c r="R5576" s="2"/>
    </row>
    <row r="5577" spans="1:18" ht="15.75" customHeight="1" x14ac:dyDescent="0.3">
      <c r="A5577" s="11"/>
      <c r="B5577" s="11"/>
      <c r="D5577" s="21"/>
      <c r="E5577" s="22"/>
      <c r="G5577" s="23"/>
      <c r="H5577" s="24"/>
      <c r="Q5577" s="2"/>
      <c r="R5577" s="2"/>
    </row>
    <row r="5578" spans="1:18" ht="15.75" customHeight="1" x14ac:dyDescent="0.3">
      <c r="A5578" s="11"/>
      <c r="B5578" s="11"/>
      <c r="D5578" s="21"/>
      <c r="E5578" s="22"/>
      <c r="G5578" s="23"/>
      <c r="H5578" s="24"/>
      <c r="Q5578" s="2"/>
      <c r="R5578" s="2"/>
    </row>
    <row r="5579" spans="1:18" ht="15.75" customHeight="1" x14ac:dyDescent="0.3">
      <c r="A5579" s="11"/>
      <c r="B5579" s="11"/>
      <c r="D5579" s="21"/>
      <c r="E5579" s="22"/>
      <c r="G5579" s="23"/>
      <c r="H5579" s="24"/>
      <c r="Q5579" s="2"/>
      <c r="R5579" s="2"/>
    </row>
    <row r="5580" spans="1:18" ht="15.75" customHeight="1" x14ac:dyDescent="0.3">
      <c r="A5580" s="11"/>
      <c r="B5580" s="11"/>
      <c r="D5580" s="21"/>
      <c r="E5580" s="22"/>
      <c r="G5580" s="23"/>
      <c r="H5580" s="24"/>
      <c r="Q5580" s="2"/>
      <c r="R5580" s="2"/>
    </row>
    <row r="5581" spans="1:18" ht="15.75" customHeight="1" x14ac:dyDescent="0.3">
      <c r="A5581" s="11"/>
      <c r="B5581" s="11"/>
      <c r="D5581" s="21"/>
      <c r="E5581" s="22"/>
      <c r="G5581" s="23"/>
      <c r="H5581" s="24"/>
      <c r="Q5581" s="2"/>
      <c r="R5581" s="2"/>
    </row>
    <row r="5582" spans="1:18" ht="15.75" customHeight="1" x14ac:dyDescent="0.3">
      <c r="A5582" s="11"/>
      <c r="B5582" s="11"/>
      <c r="D5582" s="21"/>
      <c r="E5582" s="22"/>
      <c r="G5582" s="23"/>
      <c r="H5582" s="24"/>
      <c r="Q5582" s="2"/>
      <c r="R5582" s="2"/>
    </row>
    <row r="5583" spans="1:18" ht="15.75" customHeight="1" x14ac:dyDescent="0.3">
      <c r="A5583" s="11"/>
      <c r="B5583" s="11"/>
      <c r="D5583" s="21"/>
      <c r="E5583" s="22"/>
      <c r="G5583" s="23"/>
      <c r="H5583" s="24"/>
      <c r="Q5583" s="2"/>
      <c r="R5583" s="2"/>
    </row>
    <row r="5584" spans="1:18" ht="15.75" customHeight="1" x14ac:dyDescent="0.3">
      <c r="A5584" s="11"/>
      <c r="B5584" s="11"/>
      <c r="D5584" s="21"/>
      <c r="E5584" s="22"/>
      <c r="G5584" s="23"/>
      <c r="H5584" s="24"/>
      <c r="Q5584" s="2"/>
      <c r="R5584" s="2"/>
    </row>
    <row r="5585" spans="1:18" ht="15.75" customHeight="1" x14ac:dyDescent="0.3">
      <c r="A5585" s="11"/>
      <c r="B5585" s="11"/>
      <c r="D5585" s="21"/>
      <c r="E5585" s="22"/>
      <c r="G5585" s="23"/>
      <c r="H5585" s="24"/>
      <c r="Q5585" s="2"/>
      <c r="R5585" s="2"/>
    </row>
    <row r="5586" spans="1:18" ht="15.75" customHeight="1" x14ac:dyDescent="0.3">
      <c r="A5586" s="11"/>
      <c r="B5586" s="11"/>
      <c r="D5586" s="21"/>
      <c r="E5586" s="22"/>
      <c r="G5586" s="23"/>
      <c r="H5586" s="24"/>
      <c r="Q5586" s="2"/>
      <c r="R5586" s="2"/>
    </row>
    <row r="5587" spans="1:18" ht="15.75" customHeight="1" x14ac:dyDescent="0.3">
      <c r="A5587" s="11"/>
      <c r="B5587" s="11"/>
      <c r="D5587" s="21"/>
      <c r="E5587" s="22"/>
      <c r="G5587" s="23"/>
      <c r="H5587" s="24"/>
      <c r="Q5587" s="2"/>
      <c r="R5587" s="2"/>
    </row>
    <row r="5588" spans="1:18" ht="15.75" customHeight="1" x14ac:dyDescent="0.3">
      <c r="A5588" s="11"/>
      <c r="B5588" s="11"/>
      <c r="D5588" s="21"/>
      <c r="E5588" s="22"/>
      <c r="G5588" s="23"/>
      <c r="H5588" s="24"/>
      <c r="Q5588" s="2"/>
      <c r="R5588" s="2"/>
    </row>
    <row r="5589" spans="1:18" ht="15.75" customHeight="1" x14ac:dyDescent="0.3">
      <c r="A5589" s="11"/>
      <c r="B5589" s="11"/>
      <c r="D5589" s="21"/>
      <c r="E5589" s="22"/>
      <c r="G5589" s="23"/>
      <c r="H5589" s="24"/>
      <c r="Q5589" s="2"/>
      <c r="R5589" s="2"/>
    </row>
    <row r="5590" spans="1:18" ht="15.75" customHeight="1" x14ac:dyDescent="0.3">
      <c r="A5590" s="11"/>
      <c r="B5590" s="11"/>
      <c r="D5590" s="21"/>
      <c r="E5590" s="22"/>
      <c r="G5590" s="23"/>
      <c r="H5590" s="24"/>
      <c r="Q5590" s="2"/>
      <c r="R5590" s="2"/>
    </row>
    <row r="5591" spans="1:18" ht="15.75" customHeight="1" x14ac:dyDescent="0.3">
      <c r="A5591" s="11"/>
      <c r="B5591" s="11"/>
      <c r="D5591" s="21"/>
      <c r="E5591" s="22"/>
      <c r="G5591" s="23"/>
      <c r="H5591" s="24"/>
      <c r="Q5591" s="2"/>
      <c r="R5591" s="2"/>
    </row>
    <row r="5592" spans="1:18" ht="15.75" customHeight="1" x14ac:dyDescent="0.3">
      <c r="A5592" s="11"/>
      <c r="B5592" s="11"/>
      <c r="D5592" s="21"/>
      <c r="E5592" s="22"/>
      <c r="G5592" s="23"/>
      <c r="H5592" s="24"/>
      <c r="Q5592" s="2"/>
      <c r="R5592" s="2"/>
    </row>
    <row r="5593" spans="1:18" ht="15.75" customHeight="1" x14ac:dyDescent="0.3">
      <c r="A5593" s="11"/>
      <c r="B5593" s="11"/>
      <c r="D5593" s="21"/>
      <c r="E5593" s="22"/>
      <c r="G5593" s="23"/>
      <c r="H5593" s="24"/>
      <c r="Q5593" s="2"/>
      <c r="R5593" s="2"/>
    </row>
    <row r="5594" spans="1:18" ht="15.75" customHeight="1" x14ac:dyDescent="0.3">
      <c r="A5594" s="11"/>
      <c r="B5594" s="11"/>
      <c r="D5594" s="21"/>
      <c r="E5594" s="22"/>
      <c r="G5594" s="23"/>
      <c r="H5594" s="24"/>
      <c r="Q5594" s="2"/>
      <c r="R5594" s="2"/>
    </row>
    <row r="5595" spans="1:18" ht="15.75" customHeight="1" x14ac:dyDescent="0.3">
      <c r="A5595" s="11"/>
      <c r="B5595" s="11"/>
      <c r="D5595" s="21"/>
      <c r="E5595" s="22"/>
      <c r="G5595" s="23"/>
      <c r="H5595" s="24"/>
      <c r="Q5595" s="2"/>
      <c r="R5595" s="2"/>
    </row>
    <row r="5596" spans="1:18" ht="15.75" customHeight="1" x14ac:dyDescent="0.3">
      <c r="A5596" s="11"/>
      <c r="B5596" s="11"/>
      <c r="D5596" s="21"/>
      <c r="E5596" s="22"/>
      <c r="G5596" s="23"/>
      <c r="H5596" s="24"/>
      <c r="Q5596" s="2"/>
      <c r="R5596" s="2"/>
    </row>
    <row r="5597" spans="1:18" ht="15.75" customHeight="1" x14ac:dyDescent="0.3">
      <c r="A5597" s="11"/>
      <c r="B5597" s="11"/>
      <c r="D5597" s="21"/>
      <c r="E5597" s="22"/>
      <c r="G5597" s="23"/>
      <c r="H5597" s="24"/>
      <c r="Q5597" s="2"/>
      <c r="R5597" s="2"/>
    </row>
    <row r="5598" spans="1:18" ht="15.75" customHeight="1" x14ac:dyDescent="0.3">
      <c r="A5598" s="11"/>
      <c r="B5598" s="11"/>
      <c r="D5598" s="21"/>
      <c r="E5598" s="22"/>
      <c r="G5598" s="23"/>
      <c r="H5598" s="24"/>
      <c r="Q5598" s="2"/>
      <c r="R5598" s="2"/>
    </row>
    <row r="5599" spans="1:18" ht="15.75" customHeight="1" x14ac:dyDescent="0.3">
      <c r="A5599" s="11"/>
      <c r="B5599" s="11"/>
      <c r="D5599" s="21"/>
      <c r="E5599" s="22"/>
      <c r="G5599" s="23"/>
      <c r="H5599" s="24"/>
      <c r="Q5599" s="2"/>
      <c r="R5599" s="2"/>
    </row>
    <row r="5600" spans="1:18" ht="15.75" customHeight="1" x14ac:dyDescent="0.3">
      <c r="A5600" s="11"/>
      <c r="B5600" s="11"/>
      <c r="D5600" s="21"/>
      <c r="E5600" s="22"/>
      <c r="G5600" s="23"/>
      <c r="H5600" s="24"/>
      <c r="Q5600" s="2"/>
      <c r="R5600" s="2"/>
    </row>
    <row r="5601" spans="1:18" ht="15.75" customHeight="1" x14ac:dyDescent="0.3">
      <c r="A5601" s="11"/>
      <c r="B5601" s="11"/>
      <c r="D5601" s="21"/>
      <c r="E5601" s="22"/>
      <c r="G5601" s="23"/>
      <c r="H5601" s="24"/>
      <c r="Q5601" s="2"/>
      <c r="R5601" s="2"/>
    </row>
    <row r="5602" spans="1:18" ht="15.75" customHeight="1" x14ac:dyDescent="0.3">
      <c r="A5602" s="11"/>
      <c r="B5602" s="11"/>
      <c r="D5602" s="21"/>
      <c r="E5602" s="22"/>
      <c r="G5602" s="23"/>
      <c r="H5602" s="24"/>
      <c r="Q5602" s="2"/>
      <c r="R5602" s="2"/>
    </row>
    <row r="5603" spans="1:18" ht="15.75" customHeight="1" x14ac:dyDescent="0.3">
      <c r="A5603" s="11"/>
      <c r="B5603" s="11"/>
      <c r="D5603" s="21"/>
      <c r="E5603" s="22"/>
      <c r="G5603" s="23"/>
      <c r="H5603" s="24"/>
      <c r="Q5603" s="2"/>
      <c r="R5603" s="2"/>
    </row>
    <row r="5604" spans="1:18" ht="15.75" customHeight="1" x14ac:dyDescent="0.3">
      <c r="A5604" s="11"/>
      <c r="B5604" s="11"/>
      <c r="D5604" s="21"/>
      <c r="E5604" s="22"/>
      <c r="G5604" s="23"/>
      <c r="H5604" s="24"/>
      <c r="Q5604" s="2"/>
      <c r="R5604" s="2"/>
    </row>
    <row r="5605" spans="1:18" ht="15.75" customHeight="1" x14ac:dyDescent="0.3">
      <c r="A5605" s="11"/>
      <c r="B5605" s="11"/>
      <c r="D5605" s="21"/>
      <c r="E5605" s="22"/>
      <c r="G5605" s="23"/>
      <c r="H5605" s="24"/>
      <c r="Q5605" s="2"/>
      <c r="R5605" s="2"/>
    </row>
    <row r="5606" spans="1:18" ht="15.75" customHeight="1" x14ac:dyDescent="0.3">
      <c r="A5606" s="11"/>
      <c r="B5606" s="11"/>
      <c r="D5606" s="21"/>
      <c r="E5606" s="22"/>
      <c r="G5606" s="23"/>
      <c r="H5606" s="24"/>
      <c r="Q5606" s="2"/>
      <c r="R5606" s="2"/>
    </row>
    <row r="5607" spans="1:18" ht="15.75" customHeight="1" x14ac:dyDescent="0.3">
      <c r="A5607" s="11"/>
      <c r="B5607" s="11"/>
      <c r="D5607" s="21"/>
      <c r="E5607" s="22"/>
      <c r="G5607" s="23"/>
      <c r="H5607" s="24"/>
      <c r="Q5607" s="2"/>
      <c r="R5607" s="2"/>
    </row>
    <row r="5608" spans="1:18" ht="15.75" customHeight="1" x14ac:dyDescent="0.3">
      <c r="A5608" s="11"/>
      <c r="B5608" s="11"/>
      <c r="D5608" s="21"/>
      <c r="E5608" s="22"/>
      <c r="G5608" s="23"/>
      <c r="H5608" s="24"/>
      <c r="Q5608" s="2"/>
      <c r="R5608" s="2"/>
    </row>
    <row r="5609" spans="1:18" ht="15.75" customHeight="1" x14ac:dyDescent="0.3">
      <c r="A5609" s="11"/>
      <c r="B5609" s="11"/>
      <c r="D5609" s="21"/>
      <c r="E5609" s="22"/>
      <c r="G5609" s="23"/>
      <c r="H5609" s="24"/>
      <c r="Q5609" s="2"/>
      <c r="R5609" s="2"/>
    </row>
    <row r="5610" spans="1:18" ht="15.75" customHeight="1" x14ac:dyDescent="0.3">
      <c r="A5610" s="11"/>
      <c r="B5610" s="11"/>
      <c r="D5610" s="21"/>
      <c r="E5610" s="22"/>
      <c r="G5610" s="23"/>
      <c r="H5610" s="24"/>
      <c r="Q5610" s="2"/>
      <c r="R5610" s="2"/>
    </row>
    <row r="5611" spans="1:18" ht="15.75" customHeight="1" x14ac:dyDescent="0.3">
      <c r="A5611" s="11"/>
      <c r="B5611" s="11"/>
      <c r="D5611" s="21"/>
      <c r="E5611" s="22"/>
      <c r="G5611" s="23"/>
      <c r="H5611" s="24"/>
      <c r="Q5611" s="2"/>
      <c r="R5611" s="2"/>
    </row>
    <row r="5612" spans="1:18" ht="15.75" customHeight="1" x14ac:dyDescent="0.3">
      <c r="A5612" s="11"/>
      <c r="B5612" s="11"/>
      <c r="D5612" s="21"/>
      <c r="E5612" s="22"/>
      <c r="G5612" s="23"/>
      <c r="H5612" s="24"/>
      <c r="Q5612" s="2"/>
      <c r="R5612" s="2"/>
    </row>
    <row r="5613" spans="1:18" ht="15.75" customHeight="1" x14ac:dyDescent="0.3">
      <c r="A5613" s="11"/>
      <c r="B5613" s="11"/>
      <c r="D5613" s="21"/>
      <c r="E5613" s="22"/>
      <c r="G5613" s="23"/>
      <c r="H5613" s="24"/>
      <c r="Q5613" s="2"/>
      <c r="R5613" s="2"/>
    </row>
    <row r="5614" spans="1:18" ht="15.75" customHeight="1" x14ac:dyDescent="0.3">
      <c r="A5614" s="11"/>
      <c r="B5614" s="11"/>
      <c r="D5614" s="21"/>
      <c r="E5614" s="22"/>
      <c r="G5614" s="23"/>
      <c r="H5614" s="24"/>
      <c r="Q5614" s="2"/>
      <c r="R5614" s="2"/>
    </row>
    <row r="5615" spans="1:18" ht="15.75" customHeight="1" x14ac:dyDescent="0.3">
      <c r="A5615" s="11"/>
      <c r="B5615" s="11"/>
      <c r="D5615" s="21"/>
      <c r="E5615" s="22"/>
      <c r="G5615" s="23"/>
      <c r="H5615" s="24"/>
      <c r="Q5615" s="2"/>
      <c r="R5615" s="2"/>
    </row>
    <row r="5616" spans="1:18" ht="15.75" customHeight="1" x14ac:dyDescent="0.3">
      <c r="A5616" s="11"/>
      <c r="B5616" s="11"/>
      <c r="D5616" s="21"/>
      <c r="E5616" s="22"/>
      <c r="G5616" s="23"/>
      <c r="H5616" s="24"/>
      <c r="Q5616" s="2"/>
      <c r="R5616" s="2"/>
    </row>
    <row r="5617" spans="1:18" ht="15.75" customHeight="1" x14ac:dyDescent="0.3">
      <c r="A5617" s="11"/>
      <c r="B5617" s="11"/>
      <c r="D5617" s="21"/>
      <c r="E5617" s="22"/>
      <c r="G5617" s="23"/>
      <c r="H5617" s="24"/>
      <c r="Q5617" s="2"/>
      <c r="R5617" s="2"/>
    </row>
    <row r="5618" spans="1:18" ht="15.75" customHeight="1" x14ac:dyDescent="0.3">
      <c r="A5618" s="11"/>
      <c r="B5618" s="11"/>
      <c r="D5618" s="21"/>
      <c r="E5618" s="22"/>
      <c r="G5618" s="23"/>
      <c r="H5618" s="24"/>
      <c r="Q5618" s="2"/>
      <c r="R5618" s="2"/>
    </row>
    <row r="5619" spans="1:18" ht="15.75" customHeight="1" x14ac:dyDescent="0.3">
      <c r="A5619" s="11"/>
      <c r="B5619" s="11"/>
      <c r="D5619" s="21"/>
      <c r="E5619" s="22"/>
      <c r="G5619" s="23"/>
      <c r="H5619" s="24"/>
      <c r="Q5619" s="2"/>
      <c r="R5619" s="2"/>
    </row>
    <row r="5620" spans="1:18" ht="15.75" customHeight="1" x14ac:dyDescent="0.3">
      <c r="A5620" s="11"/>
      <c r="B5620" s="11"/>
      <c r="D5620" s="21"/>
      <c r="E5620" s="22"/>
      <c r="G5620" s="23"/>
      <c r="H5620" s="24"/>
      <c r="Q5620" s="2"/>
      <c r="R5620" s="2"/>
    </row>
    <row r="5621" spans="1:18" ht="15.75" customHeight="1" x14ac:dyDescent="0.3">
      <c r="A5621" s="11"/>
      <c r="B5621" s="11"/>
      <c r="D5621" s="21"/>
      <c r="E5621" s="22"/>
      <c r="G5621" s="23"/>
      <c r="H5621" s="24"/>
      <c r="Q5621" s="2"/>
      <c r="R5621" s="2"/>
    </row>
    <row r="5622" spans="1:18" ht="15.75" customHeight="1" x14ac:dyDescent="0.3">
      <c r="A5622" s="11"/>
      <c r="B5622" s="11"/>
      <c r="D5622" s="21"/>
      <c r="E5622" s="22"/>
      <c r="G5622" s="23"/>
      <c r="H5622" s="24"/>
      <c r="Q5622" s="2"/>
      <c r="R5622" s="2"/>
    </row>
    <row r="5623" spans="1:18" ht="15.75" customHeight="1" x14ac:dyDescent="0.3">
      <c r="A5623" s="11"/>
      <c r="B5623" s="11"/>
      <c r="D5623" s="21"/>
      <c r="E5623" s="22"/>
      <c r="G5623" s="23"/>
      <c r="H5623" s="24"/>
      <c r="Q5623" s="2"/>
      <c r="R5623" s="2"/>
    </row>
    <row r="5624" spans="1:18" ht="15.75" customHeight="1" x14ac:dyDescent="0.3">
      <c r="A5624" s="11"/>
      <c r="B5624" s="11"/>
      <c r="D5624" s="21"/>
      <c r="E5624" s="22"/>
      <c r="G5624" s="23"/>
      <c r="H5624" s="24"/>
      <c r="Q5624" s="2"/>
      <c r="R5624" s="2"/>
    </row>
    <row r="5625" spans="1:18" ht="15.75" customHeight="1" x14ac:dyDescent="0.3">
      <c r="A5625" s="11"/>
      <c r="B5625" s="11"/>
      <c r="D5625" s="21"/>
      <c r="E5625" s="22"/>
      <c r="G5625" s="23"/>
      <c r="H5625" s="24"/>
      <c r="Q5625" s="2"/>
      <c r="R5625" s="2"/>
    </row>
    <row r="5626" spans="1:18" ht="15.75" customHeight="1" x14ac:dyDescent="0.3">
      <c r="A5626" s="11"/>
      <c r="B5626" s="11"/>
      <c r="D5626" s="21"/>
      <c r="E5626" s="22"/>
      <c r="G5626" s="23"/>
      <c r="H5626" s="24"/>
      <c r="Q5626" s="2"/>
      <c r="R5626" s="2"/>
    </row>
    <row r="5627" spans="1:18" ht="15.75" customHeight="1" x14ac:dyDescent="0.3">
      <c r="A5627" s="11"/>
      <c r="B5627" s="11"/>
      <c r="D5627" s="21"/>
      <c r="E5627" s="22"/>
      <c r="G5627" s="23"/>
      <c r="H5627" s="24"/>
      <c r="Q5627" s="2"/>
      <c r="R5627" s="2"/>
    </row>
    <row r="5628" spans="1:18" ht="15.75" customHeight="1" x14ac:dyDescent="0.3">
      <c r="A5628" s="11"/>
      <c r="B5628" s="11"/>
      <c r="D5628" s="21"/>
      <c r="E5628" s="22"/>
      <c r="G5628" s="23"/>
      <c r="H5628" s="24"/>
      <c r="Q5628" s="2"/>
      <c r="R5628" s="2"/>
    </row>
    <row r="5629" spans="1:18" ht="15.75" customHeight="1" x14ac:dyDescent="0.3">
      <c r="A5629" s="11"/>
      <c r="B5629" s="11"/>
      <c r="D5629" s="21"/>
      <c r="E5629" s="22"/>
      <c r="G5629" s="23"/>
      <c r="H5629" s="24"/>
      <c r="Q5629" s="2"/>
      <c r="R5629" s="2"/>
    </row>
    <row r="5630" spans="1:18" ht="15.75" customHeight="1" x14ac:dyDescent="0.3">
      <c r="A5630" s="11"/>
      <c r="B5630" s="11"/>
      <c r="D5630" s="21"/>
      <c r="E5630" s="22"/>
      <c r="G5630" s="23"/>
      <c r="H5630" s="24"/>
      <c r="Q5630" s="2"/>
      <c r="R5630" s="2"/>
    </row>
    <row r="5631" spans="1:18" ht="15.75" customHeight="1" x14ac:dyDescent="0.3">
      <c r="A5631" s="11"/>
      <c r="B5631" s="11"/>
      <c r="D5631" s="21"/>
      <c r="E5631" s="22"/>
      <c r="G5631" s="23"/>
      <c r="H5631" s="24"/>
      <c r="Q5631" s="2"/>
      <c r="R5631" s="2"/>
    </row>
    <row r="5632" spans="1:18" ht="15.75" customHeight="1" x14ac:dyDescent="0.3">
      <c r="A5632" s="11"/>
      <c r="B5632" s="11"/>
      <c r="D5632" s="21"/>
      <c r="E5632" s="22"/>
      <c r="G5632" s="23"/>
      <c r="H5632" s="24"/>
      <c r="Q5632" s="2"/>
      <c r="R5632" s="2"/>
    </row>
    <row r="5633" spans="1:18" ht="15.75" customHeight="1" x14ac:dyDescent="0.3">
      <c r="A5633" s="11"/>
      <c r="B5633" s="11"/>
      <c r="D5633" s="21"/>
      <c r="E5633" s="22"/>
      <c r="G5633" s="23"/>
      <c r="H5633" s="24"/>
      <c r="Q5633" s="2"/>
      <c r="R5633" s="2"/>
    </row>
    <row r="5634" spans="1:18" ht="15.75" customHeight="1" x14ac:dyDescent="0.3">
      <c r="A5634" s="11"/>
      <c r="B5634" s="11"/>
      <c r="D5634" s="21"/>
      <c r="E5634" s="22"/>
      <c r="G5634" s="23"/>
      <c r="H5634" s="24"/>
      <c r="Q5634" s="2"/>
      <c r="R5634" s="2"/>
    </row>
    <row r="5635" spans="1:18" ht="15.75" customHeight="1" x14ac:dyDescent="0.3">
      <c r="A5635" s="11"/>
      <c r="B5635" s="11"/>
      <c r="D5635" s="21"/>
      <c r="E5635" s="22"/>
      <c r="G5635" s="23"/>
      <c r="H5635" s="24"/>
      <c r="Q5635" s="2"/>
      <c r="R5635" s="2"/>
    </row>
    <row r="5636" spans="1:18" ht="15.75" customHeight="1" x14ac:dyDescent="0.3">
      <c r="A5636" s="11"/>
      <c r="B5636" s="11"/>
      <c r="D5636" s="21"/>
      <c r="E5636" s="22"/>
      <c r="G5636" s="23"/>
      <c r="H5636" s="24"/>
      <c r="Q5636" s="2"/>
      <c r="R5636" s="2"/>
    </row>
    <row r="5637" spans="1:18" ht="15.75" customHeight="1" x14ac:dyDescent="0.3">
      <c r="A5637" s="11"/>
      <c r="B5637" s="11"/>
      <c r="D5637" s="21"/>
      <c r="E5637" s="22"/>
      <c r="G5637" s="23"/>
      <c r="H5637" s="24"/>
      <c r="Q5637" s="2"/>
      <c r="R5637" s="2"/>
    </row>
    <row r="5638" spans="1:18" ht="15.75" customHeight="1" x14ac:dyDescent="0.3">
      <c r="A5638" s="11"/>
      <c r="B5638" s="11"/>
      <c r="D5638" s="21"/>
      <c r="E5638" s="22"/>
      <c r="G5638" s="23"/>
      <c r="H5638" s="24"/>
      <c r="Q5638" s="2"/>
      <c r="R5638" s="2"/>
    </row>
    <row r="5639" spans="1:18" ht="15.75" customHeight="1" x14ac:dyDescent="0.3">
      <c r="A5639" s="11"/>
      <c r="B5639" s="11"/>
      <c r="D5639" s="21"/>
      <c r="E5639" s="22"/>
      <c r="G5639" s="23"/>
      <c r="H5639" s="24"/>
      <c r="Q5639" s="2"/>
      <c r="R5639" s="2"/>
    </row>
    <row r="5640" spans="1:18" ht="15.75" customHeight="1" x14ac:dyDescent="0.3">
      <c r="A5640" s="11"/>
      <c r="B5640" s="11"/>
      <c r="D5640" s="21"/>
      <c r="E5640" s="22"/>
      <c r="G5640" s="23"/>
      <c r="H5640" s="24"/>
      <c r="Q5640" s="2"/>
      <c r="R5640" s="2"/>
    </row>
    <row r="5641" spans="1:18" ht="15.75" customHeight="1" x14ac:dyDescent="0.3">
      <c r="A5641" s="11"/>
      <c r="B5641" s="11"/>
      <c r="D5641" s="21"/>
      <c r="E5641" s="22"/>
      <c r="G5641" s="23"/>
      <c r="H5641" s="24"/>
      <c r="Q5641" s="2"/>
      <c r="R5641" s="2"/>
    </row>
    <row r="5642" spans="1:18" ht="15.75" customHeight="1" x14ac:dyDescent="0.3">
      <c r="A5642" s="11"/>
      <c r="B5642" s="11"/>
      <c r="D5642" s="21"/>
      <c r="E5642" s="22"/>
      <c r="G5642" s="23"/>
      <c r="H5642" s="24"/>
      <c r="Q5642" s="2"/>
      <c r="R5642" s="2"/>
    </row>
    <row r="5643" spans="1:18" ht="15.75" customHeight="1" x14ac:dyDescent="0.3">
      <c r="A5643" s="11"/>
      <c r="B5643" s="11"/>
      <c r="D5643" s="21"/>
      <c r="E5643" s="22"/>
      <c r="G5643" s="23"/>
      <c r="H5643" s="24"/>
      <c r="Q5643" s="2"/>
      <c r="R5643" s="2"/>
    </row>
    <row r="5644" spans="1:18" ht="15.75" customHeight="1" x14ac:dyDescent="0.3">
      <c r="A5644" s="11"/>
      <c r="B5644" s="11"/>
      <c r="D5644" s="21"/>
      <c r="E5644" s="22"/>
      <c r="G5644" s="23"/>
      <c r="H5644" s="24"/>
      <c r="Q5644" s="2"/>
      <c r="R5644" s="2"/>
    </row>
    <row r="5645" spans="1:18" ht="15.75" customHeight="1" x14ac:dyDescent="0.3">
      <c r="A5645" s="11"/>
      <c r="B5645" s="11"/>
      <c r="D5645" s="21"/>
      <c r="E5645" s="22"/>
      <c r="G5645" s="23"/>
      <c r="H5645" s="24"/>
      <c r="Q5645" s="2"/>
      <c r="R5645" s="2"/>
    </row>
    <row r="5646" spans="1:18" ht="15.75" customHeight="1" x14ac:dyDescent="0.3">
      <c r="A5646" s="11"/>
      <c r="B5646" s="11"/>
      <c r="D5646" s="21"/>
      <c r="E5646" s="22"/>
      <c r="G5646" s="23"/>
      <c r="H5646" s="24"/>
      <c r="Q5646" s="2"/>
      <c r="R5646" s="2"/>
    </row>
    <row r="5647" spans="1:18" ht="15.75" customHeight="1" x14ac:dyDescent="0.3">
      <c r="A5647" s="11"/>
      <c r="B5647" s="11"/>
      <c r="D5647" s="21"/>
      <c r="E5647" s="22"/>
      <c r="G5647" s="23"/>
      <c r="H5647" s="24"/>
      <c r="Q5647" s="2"/>
      <c r="R5647" s="2"/>
    </row>
    <row r="5648" spans="1:18" ht="15.75" customHeight="1" x14ac:dyDescent="0.3">
      <c r="A5648" s="11"/>
      <c r="B5648" s="11"/>
      <c r="D5648" s="21"/>
      <c r="E5648" s="22"/>
      <c r="G5648" s="23"/>
      <c r="H5648" s="24"/>
      <c r="Q5648" s="2"/>
      <c r="R5648" s="2"/>
    </row>
    <row r="5649" spans="1:18" ht="15.75" customHeight="1" x14ac:dyDescent="0.3">
      <c r="A5649" s="11"/>
      <c r="B5649" s="11"/>
      <c r="D5649" s="21"/>
      <c r="E5649" s="22"/>
      <c r="G5649" s="23"/>
      <c r="H5649" s="24"/>
      <c r="Q5649" s="2"/>
      <c r="R5649" s="2"/>
    </row>
    <row r="5650" spans="1:18" ht="15.75" customHeight="1" x14ac:dyDescent="0.3">
      <c r="A5650" s="11"/>
      <c r="B5650" s="11"/>
      <c r="D5650" s="21"/>
      <c r="E5650" s="22"/>
      <c r="G5650" s="23"/>
      <c r="H5650" s="24"/>
      <c r="Q5650" s="2"/>
      <c r="R5650" s="2"/>
    </row>
    <row r="5651" spans="1:18" ht="15.75" customHeight="1" x14ac:dyDescent="0.3">
      <c r="A5651" s="11"/>
      <c r="B5651" s="11"/>
      <c r="D5651" s="21"/>
      <c r="E5651" s="22"/>
      <c r="G5651" s="23"/>
      <c r="H5651" s="24"/>
      <c r="Q5651" s="2"/>
      <c r="R5651" s="2"/>
    </row>
    <row r="5652" spans="1:18" ht="15.75" customHeight="1" x14ac:dyDescent="0.3">
      <c r="A5652" s="11"/>
      <c r="B5652" s="11"/>
      <c r="D5652" s="21"/>
      <c r="E5652" s="22"/>
      <c r="G5652" s="23"/>
      <c r="H5652" s="24"/>
      <c r="Q5652" s="2"/>
      <c r="R5652" s="2"/>
    </row>
    <row r="5653" spans="1:18" ht="15.75" customHeight="1" x14ac:dyDescent="0.3">
      <c r="A5653" s="11"/>
      <c r="B5653" s="11"/>
      <c r="D5653" s="21"/>
      <c r="E5653" s="22"/>
      <c r="G5653" s="23"/>
      <c r="H5653" s="24"/>
      <c r="Q5653" s="2"/>
      <c r="R5653" s="2"/>
    </row>
    <row r="5654" spans="1:18" ht="15.75" customHeight="1" x14ac:dyDescent="0.3">
      <c r="A5654" s="11"/>
      <c r="B5654" s="11"/>
      <c r="D5654" s="21"/>
      <c r="E5654" s="22"/>
      <c r="G5654" s="23"/>
      <c r="H5654" s="24"/>
      <c r="Q5654" s="2"/>
      <c r="R5654" s="2"/>
    </row>
    <row r="5655" spans="1:18" ht="15.75" customHeight="1" x14ac:dyDescent="0.3">
      <c r="A5655" s="11"/>
      <c r="B5655" s="11"/>
      <c r="D5655" s="21"/>
      <c r="E5655" s="22"/>
      <c r="G5655" s="23"/>
      <c r="H5655" s="24"/>
      <c r="Q5655" s="2"/>
      <c r="R5655" s="2"/>
    </row>
    <row r="5656" spans="1:18" ht="15.75" customHeight="1" x14ac:dyDescent="0.3">
      <c r="A5656" s="11"/>
      <c r="B5656" s="11"/>
      <c r="D5656" s="21"/>
      <c r="E5656" s="22"/>
      <c r="G5656" s="23"/>
      <c r="H5656" s="24"/>
      <c r="Q5656" s="2"/>
      <c r="R5656" s="2"/>
    </row>
    <row r="5657" spans="1:18" ht="15.75" customHeight="1" x14ac:dyDescent="0.3">
      <c r="A5657" s="11"/>
      <c r="B5657" s="11"/>
      <c r="D5657" s="21"/>
      <c r="E5657" s="22"/>
      <c r="G5657" s="23"/>
      <c r="H5657" s="24"/>
      <c r="Q5657" s="2"/>
      <c r="R5657" s="2"/>
    </row>
    <row r="5658" spans="1:18" ht="15.75" customHeight="1" x14ac:dyDescent="0.3">
      <c r="A5658" s="11"/>
      <c r="B5658" s="11"/>
      <c r="D5658" s="21"/>
      <c r="E5658" s="22"/>
      <c r="G5658" s="23"/>
      <c r="H5658" s="24"/>
      <c r="Q5658" s="2"/>
      <c r="R5658" s="2"/>
    </row>
    <row r="5659" spans="1:18" ht="15.75" customHeight="1" x14ac:dyDescent="0.3">
      <c r="A5659" s="11"/>
      <c r="B5659" s="11"/>
      <c r="D5659" s="21"/>
      <c r="E5659" s="22"/>
      <c r="G5659" s="23"/>
      <c r="H5659" s="24"/>
      <c r="Q5659" s="2"/>
      <c r="R5659" s="2"/>
    </row>
    <row r="5660" spans="1:18" ht="15.75" customHeight="1" x14ac:dyDescent="0.3">
      <c r="A5660" s="11"/>
      <c r="B5660" s="11"/>
      <c r="D5660" s="21"/>
      <c r="E5660" s="22"/>
      <c r="G5660" s="23"/>
      <c r="H5660" s="24"/>
      <c r="Q5660" s="2"/>
      <c r="R5660" s="2"/>
    </row>
    <row r="5661" spans="1:18" ht="15.75" customHeight="1" x14ac:dyDescent="0.3">
      <c r="A5661" s="11"/>
      <c r="B5661" s="11"/>
      <c r="D5661" s="21"/>
      <c r="E5661" s="22"/>
      <c r="G5661" s="23"/>
      <c r="H5661" s="24"/>
      <c r="Q5661" s="2"/>
      <c r="R5661" s="2"/>
    </row>
    <row r="5662" spans="1:18" ht="15.75" customHeight="1" x14ac:dyDescent="0.3">
      <c r="A5662" s="11"/>
      <c r="B5662" s="11"/>
      <c r="D5662" s="21"/>
      <c r="E5662" s="22"/>
      <c r="G5662" s="23"/>
      <c r="H5662" s="24"/>
      <c r="Q5662" s="2"/>
      <c r="R5662" s="2"/>
    </row>
    <row r="5663" spans="1:18" ht="15.75" customHeight="1" x14ac:dyDescent="0.3">
      <c r="A5663" s="11"/>
      <c r="B5663" s="11"/>
      <c r="D5663" s="21"/>
      <c r="E5663" s="22"/>
      <c r="G5663" s="23"/>
      <c r="H5663" s="24"/>
      <c r="Q5663" s="2"/>
      <c r="R5663" s="2"/>
    </row>
    <row r="5664" spans="1:18" ht="15.75" customHeight="1" x14ac:dyDescent="0.3">
      <c r="A5664" s="11"/>
      <c r="B5664" s="11"/>
      <c r="D5664" s="21"/>
      <c r="E5664" s="22"/>
      <c r="G5664" s="23"/>
      <c r="H5664" s="24"/>
      <c r="Q5664" s="2"/>
      <c r="R5664" s="2"/>
    </row>
    <row r="5665" spans="1:18" ht="15.75" customHeight="1" x14ac:dyDescent="0.3">
      <c r="A5665" s="11"/>
      <c r="B5665" s="11"/>
      <c r="D5665" s="21"/>
      <c r="E5665" s="22"/>
      <c r="G5665" s="23"/>
      <c r="H5665" s="24"/>
      <c r="Q5665" s="2"/>
      <c r="R5665" s="2"/>
    </row>
    <row r="5666" spans="1:18" ht="15.75" customHeight="1" x14ac:dyDescent="0.3">
      <c r="A5666" s="11"/>
      <c r="B5666" s="11"/>
      <c r="D5666" s="21"/>
      <c r="E5666" s="22"/>
      <c r="G5666" s="23"/>
      <c r="H5666" s="24"/>
      <c r="Q5666" s="2"/>
      <c r="R5666" s="2"/>
    </row>
    <row r="5667" spans="1:18" ht="15.75" customHeight="1" x14ac:dyDescent="0.3">
      <c r="A5667" s="11"/>
      <c r="B5667" s="11"/>
      <c r="D5667" s="21"/>
      <c r="E5667" s="22"/>
      <c r="G5667" s="23"/>
      <c r="H5667" s="24"/>
      <c r="Q5667" s="2"/>
      <c r="R5667" s="2"/>
    </row>
    <row r="5668" spans="1:18" ht="15.75" customHeight="1" x14ac:dyDescent="0.3">
      <c r="A5668" s="11"/>
      <c r="B5668" s="11"/>
      <c r="D5668" s="21"/>
      <c r="E5668" s="22"/>
      <c r="G5668" s="23"/>
      <c r="H5668" s="24"/>
      <c r="Q5668" s="2"/>
      <c r="R5668" s="2"/>
    </row>
    <row r="5669" spans="1:18" ht="15.75" customHeight="1" x14ac:dyDescent="0.3">
      <c r="A5669" s="11"/>
      <c r="B5669" s="11"/>
      <c r="D5669" s="21"/>
      <c r="E5669" s="22"/>
      <c r="G5669" s="23"/>
      <c r="H5669" s="24"/>
      <c r="Q5669" s="2"/>
      <c r="R5669" s="2"/>
    </row>
    <row r="5670" spans="1:18" ht="15.75" customHeight="1" x14ac:dyDescent="0.3">
      <c r="A5670" s="11"/>
      <c r="B5670" s="11"/>
      <c r="D5670" s="21"/>
      <c r="E5670" s="22"/>
      <c r="G5670" s="23"/>
      <c r="H5670" s="24"/>
      <c r="Q5670" s="2"/>
      <c r="R5670" s="2"/>
    </row>
    <row r="5671" spans="1:18" ht="15.75" customHeight="1" x14ac:dyDescent="0.3">
      <c r="A5671" s="11"/>
      <c r="B5671" s="11"/>
      <c r="D5671" s="21"/>
      <c r="E5671" s="22"/>
      <c r="G5671" s="23"/>
      <c r="H5671" s="24"/>
      <c r="Q5671" s="2"/>
      <c r="R5671" s="2"/>
    </row>
    <row r="5672" spans="1:18" ht="15.75" customHeight="1" x14ac:dyDescent="0.3">
      <c r="A5672" s="11"/>
      <c r="B5672" s="11"/>
      <c r="D5672" s="21"/>
      <c r="E5672" s="22"/>
      <c r="G5672" s="23"/>
      <c r="H5672" s="24"/>
      <c r="Q5672" s="2"/>
      <c r="R5672" s="2"/>
    </row>
    <row r="5673" spans="1:18" ht="15.75" customHeight="1" x14ac:dyDescent="0.3">
      <c r="A5673" s="11"/>
      <c r="B5673" s="11"/>
      <c r="D5673" s="21"/>
      <c r="E5673" s="22"/>
      <c r="G5673" s="23"/>
      <c r="H5673" s="24"/>
      <c r="Q5673" s="2"/>
      <c r="R5673" s="2"/>
    </row>
    <row r="5674" spans="1:18" ht="15.75" customHeight="1" x14ac:dyDescent="0.3">
      <c r="A5674" s="11"/>
      <c r="B5674" s="11"/>
      <c r="D5674" s="21"/>
      <c r="E5674" s="22"/>
      <c r="G5674" s="23"/>
      <c r="H5674" s="24"/>
      <c r="Q5674" s="2"/>
      <c r="R5674" s="2"/>
    </row>
    <row r="5675" spans="1:18" ht="15.75" customHeight="1" x14ac:dyDescent="0.3">
      <c r="A5675" s="11"/>
      <c r="B5675" s="11"/>
      <c r="D5675" s="21"/>
      <c r="E5675" s="22"/>
      <c r="G5675" s="23"/>
      <c r="H5675" s="24"/>
      <c r="Q5675" s="2"/>
      <c r="R5675" s="2"/>
    </row>
    <row r="5676" spans="1:18" ht="15.75" customHeight="1" x14ac:dyDescent="0.3">
      <c r="A5676" s="11"/>
      <c r="B5676" s="11"/>
      <c r="D5676" s="21"/>
      <c r="E5676" s="22"/>
      <c r="G5676" s="23"/>
      <c r="H5676" s="24"/>
      <c r="Q5676" s="2"/>
      <c r="R5676" s="2"/>
    </row>
    <row r="5677" spans="1:18" ht="15.75" customHeight="1" x14ac:dyDescent="0.3">
      <c r="A5677" s="11"/>
      <c r="B5677" s="11"/>
      <c r="D5677" s="21"/>
      <c r="E5677" s="22"/>
      <c r="G5677" s="23"/>
      <c r="H5677" s="24"/>
      <c r="Q5677" s="2"/>
      <c r="R5677" s="2"/>
    </row>
    <row r="5678" spans="1:18" ht="15.75" customHeight="1" x14ac:dyDescent="0.3">
      <c r="A5678" s="11"/>
      <c r="B5678" s="11"/>
      <c r="D5678" s="21"/>
      <c r="E5678" s="22"/>
      <c r="G5678" s="23"/>
      <c r="H5678" s="24"/>
      <c r="Q5678" s="2"/>
      <c r="R5678" s="2"/>
    </row>
    <row r="5679" spans="1:18" ht="15.75" customHeight="1" x14ac:dyDescent="0.3">
      <c r="A5679" s="11"/>
      <c r="B5679" s="11"/>
      <c r="D5679" s="21"/>
      <c r="E5679" s="22"/>
      <c r="G5679" s="23"/>
      <c r="H5679" s="24"/>
      <c r="Q5679" s="2"/>
      <c r="R5679" s="2"/>
    </row>
    <row r="5680" spans="1:18" ht="15.75" customHeight="1" x14ac:dyDescent="0.3">
      <c r="A5680" s="11"/>
      <c r="B5680" s="11"/>
      <c r="D5680" s="21"/>
      <c r="E5680" s="22"/>
      <c r="G5680" s="23"/>
      <c r="H5680" s="24"/>
      <c r="Q5680" s="2"/>
      <c r="R5680" s="2"/>
    </row>
    <row r="5681" spans="1:18" ht="15.75" customHeight="1" x14ac:dyDescent="0.3">
      <c r="A5681" s="11"/>
      <c r="B5681" s="11"/>
      <c r="D5681" s="21"/>
      <c r="E5681" s="22"/>
      <c r="G5681" s="23"/>
      <c r="H5681" s="24"/>
      <c r="Q5681" s="2"/>
      <c r="R5681" s="2"/>
    </row>
    <row r="5682" spans="1:18" ht="15.75" customHeight="1" x14ac:dyDescent="0.3">
      <c r="A5682" s="11"/>
      <c r="B5682" s="11"/>
      <c r="D5682" s="21"/>
      <c r="E5682" s="22"/>
      <c r="G5682" s="23"/>
      <c r="H5682" s="24"/>
      <c r="Q5682" s="2"/>
      <c r="R5682" s="2"/>
    </row>
    <row r="5683" spans="1:18" ht="15.75" customHeight="1" x14ac:dyDescent="0.3">
      <c r="A5683" s="11"/>
      <c r="B5683" s="11"/>
      <c r="D5683" s="21"/>
      <c r="E5683" s="22"/>
      <c r="G5683" s="23"/>
      <c r="H5683" s="24"/>
      <c r="Q5683" s="2"/>
      <c r="R5683" s="2"/>
    </row>
    <row r="5684" spans="1:18" ht="15.75" customHeight="1" x14ac:dyDescent="0.3">
      <c r="A5684" s="11"/>
      <c r="B5684" s="11"/>
      <c r="D5684" s="21"/>
      <c r="E5684" s="22"/>
      <c r="G5684" s="23"/>
      <c r="H5684" s="24"/>
      <c r="Q5684" s="2"/>
      <c r="R5684" s="2"/>
    </row>
    <row r="5685" spans="1:18" ht="15.75" customHeight="1" x14ac:dyDescent="0.3">
      <c r="A5685" s="11"/>
      <c r="B5685" s="11"/>
      <c r="D5685" s="21"/>
      <c r="E5685" s="22"/>
      <c r="G5685" s="23"/>
      <c r="H5685" s="24"/>
      <c r="Q5685" s="2"/>
      <c r="R5685" s="2"/>
    </row>
    <row r="5686" spans="1:18" ht="15.75" customHeight="1" x14ac:dyDescent="0.3">
      <c r="A5686" s="11"/>
      <c r="B5686" s="11"/>
      <c r="D5686" s="21"/>
      <c r="E5686" s="22"/>
      <c r="G5686" s="23"/>
      <c r="H5686" s="24"/>
      <c r="Q5686" s="2"/>
      <c r="R5686" s="2"/>
    </row>
    <row r="5687" spans="1:18" ht="15.75" customHeight="1" x14ac:dyDescent="0.3">
      <c r="A5687" s="11"/>
      <c r="B5687" s="11"/>
      <c r="D5687" s="21"/>
      <c r="E5687" s="22"/>
      <c r="G5687" s="23"/>
      <c r="H5687" s="24"/>
      <c r="Q5687" s="2"/>
      <c r="R5687" s="2"/>
    </row>
    <row r="5688" spans="1:18" ht="15.75" customHeight="1" x14ac:dyDescent="0.3">
      <c r="A5688" s="11"/>
      <c r="B5688" s="11"/>
      <c r="D5688" s="21"/>
      <c r="E5688" s="22"/>
      <c r="G5688" s="23"/>
      <c r="H5688" s="24"/>
      <c r="Q5688" s="2"/>
      <c r="R5688" s="2"/>
    </row>
    <row r="5689" spans="1:18" ht="15.75" customHeight="1" x14ac:dyDescent="0.3">
      <c r="A5689" s="11"/>
      <c r="B5689" s="11"/>
      <c r="D5689" s="21"/>
      <c r="E5689" s="22"/>
      <c r="G5689" s="23"/>
      <c r="H5689" s="24"/>
      <c r="Q5689" s="2"/>
      <c r="R5689" s="2"/>
    </row>
    <row r="5690" spans="1:18" ht="15.75" customHeight="1" x14ac:dyDescent="0.3">
      <c r="A5690" s="11"/>
      <c r="B5690" s="11"/>
      <c r="D5690" s="21"/>
      <c r="E5690" s="22"/>
      <c r="G5690" s="23"/>
      <c r="H5690" s="24"/>
      <c r="Q5690" s="2"/>
      <c r="R5690" s="2"/>
    </row>
    <row r="5691" spans="1:18" ht="15.75" customHeight="1" x14ac:dyDescent="0.3">
      <c r="A5691" s="11"/>
      <c r="B5691" s="11"/>
      <c r="D5691" s="21"/>
      <c r="E5691" s="22"/>
      <c r="G5691" s="23"/>
      <c r="H5691" s="24"/>
      <c r="Q5691" s="2"/>
      <c r="R5691" s="2"/>
    </row>
    <row r="5692" spans="1:18" ht="15.75" customHeight="1" x14ac:dyDescent="0.3">
      <c r="A5692" s="11"/>
      <c r="B5692" s="11"/>
      <c r="D5692" s="21"/>
      <c r="E5692" s="22"/>
      <c r="G5692" s="23"/>
      <c r="H5692" s="24"/>
      <c r="Q5692" s="2"/>
      <c r="R5692" s="2"/>
    </row>
    <row r="5693" spans="1:18" ht="15.75" customHeight="1" x14ac:dyDescent="0.3">
      <c r="A5693" s="11"/>
      <c r="B5693" s="11"/>
      <c r="D5693" s="21"/>
      <c r="E5693" s="22"/>
      <c r="G5693" s="23"/>
      <c r="H5693" s="24"/>
      <c r="Q5693" s="2"/>
      <c r="R5693" s="2"/>
    </row>
    <row r="5694" spans="1:18" ht="15.75" customHeight="1" x14ac:dyDescent="0.3">
      <c r="A5694" s="11"/>
      <c r="B5694" s="11"/>
      <c r="D5694" s="21"/>
      <c r="E5694" s="22"/>
      <c r="G5694" s="23"/>
      <c r="H5694" s="24"/>
      <c r="Q5694" s="2"/>
      <c r="R5694" s="2"/>
    </row>
    <row r="5695" spans="1:18" ht="15.75" customHeight="1" x14ac:dyDescent="0.3">
      <c r="A5695" s="11"/>
      <c r="B5695" s="11"/>
      <c r="D5695" s="21"/>
      <c r="E5695" s="22"/>
      <c r="G5695" s="23"/>
      <c r="H5695" s="24"/>
      <c r="Q5695" s="2"/>
      <c r="R5695" s="2"/>
    </row>
    <row r="5696" spans="1:18" ht="15.75" customHeight="1" x14ac:dyDescent="0.3">
      <c r="A5696" s="11"/>
      <c r="B5696" s="11"/>
      <c r="D5696" s="21"/>
      <c r="E5696" s="22"/>
      <c r="G5696" s="23"/>
      <c r="H5696" s="24"/>
      <c r="Q5696" s="2"/>
      <c r="R5696" s="2"/>
    </row>
    <row r="5697" spans="1:18" ht="15.75" customHeight="1" x14ac:dyDescent="0.3">
      <c r="A5697" s="11"/>
      <c r="B5697" s="11"/>
      <c r="D5697" s="21"/>
      <c r="E5697" s="22"/>
      <c r="G5697" s="23"/>
      <c r="H5697" s="24"/>
      <c r="Q5697" s="2"/>
      <c r="R5697" s="2"/>
    </row>
    <row r="5698" spans="1:18" ht="15.75" customHeight="1" x14ac:dyDescent="0.3">
      <c r="A5698" s="11"/>
      <c r="B5698" s="11"/>
      <c r="D5698" s="21"/>
      <c r="E5698" s="22"/>
      <c r="G5698" s="23"/>
      <c r="H5698" s="24"/>
      <c r="Q5698" s="2"/>
      <c r="R5698" s="2"/>
    </row>
    <row r="5699" spans="1:18" ht="15.75" customHeight="1" x14ac:dyDescent="0.3">
      <c r="A5699" s="11"/>
      <c r="B5699" s="11"/>
      <c r="D5699" s="21"/>
      <c r="E5699" s="22"/>
      <c r="G5699" s="23"/>
      <c r="H5699" s="24"/>
      <c r="Q5699" s="2"/>
      <c r="R5699" s="2"/>
    </row>
    <row r="5700" spans="1:18" ht="15.75" customHeight="1" x14ac:dyDescent="0.3">
      <c r="A5700" s="11"/>
      <c r="B5700" s="11"/>
      <c r="D5700" s="21"/>
      <c r="E5700" s="22"/>
      <c r="G5700" s="23"/>
      <c r="H5700" s="24"/>
      <c r="Q5700" s="2"/>
      <c r="R5700" s="2"/>
    </row>
    <row r="5701" spans="1:18" ht="15.75" customHeight="1" x14ac:dyDescent="0.3">
      <c r="A5701" s="11"/>
      <c r="B5701" s="11"/>
      <c r="D5701" s="21"/>
      <c r="E5701" s="22"/>
      <c r="G5701" s="23"/>
      <c r="H5701" s="24"/>
      <c r="Q5701" s="2"/>
      <c r="R5701" s="2"/>
    </row>
    <row r="5702" spans="1:18" ht="15.75" customHeight="1" x14ac:dyDescent="0.3">
      <c r="A5702" s="11"/>
      <c r="B5702" s="11"/>
      <c r="D5702" s="21"/>
      <c r="E5702" s="22"/>
      <c r="G5702" s="23"/>
      <c r="H5702" s="24"/>
      <c r="Q5702" s="2"/>
      <c r="R5702" s="2"/>
    </row>
    <row r="5703" spans="1:18" ht="15.75" customHeight="1" x14ac:dyDescent="0.3">
      <c r="A5703" s="11"/>
      <c r="B5703" s="11"/>
      <c r="D5703" s="21"/>
      <c r="E5703" s="22"/>
      <c r="G5703" s="23"/>
      <c r="H5703" s="24"/>
      <c r="Q5703" s="2"/>
      <c r="R5703" s="2"/>
    </row>
    <row r="5704" spans="1:18" ht="15.75" customHeight="1" x14ac:dyDescent="0.3">
      <c r="A5704" s="11"/>
      <c r="B5704" s="11"/>
      <c r="D5704" s="21"/>
      <c r="E5704" s="22"/>
      <c r="G5704" s="23"/>
      <c r="H5704" s="24"/>
      <c r="Q5704" s="2"/>
      <c r="R5704" s="2"/>
    </row>
    <row r="5705" spans="1:18" ht="15.75" customHeight="1" x14ac:dyDescent="0.3">
      <c r="A5705" s="11"/>
      <c r="B5705" s="11"/>
      <c r="D5705" s="21"/>
      <c r="E5705" s="22"/>
      <c r="G5705" s="23"/>
      <c r="H5705" s="24"/>
      <c r="Q5705" s="2"/>
      <c r="R5705" s="2"/>
    </row>
    <row r="5706" spans="1:18" ht="15.75" customHeight="1" x14ac:dyDescent="0.3">
      <c r="A5706" s="11"/>
      <c r="B5706" s="11"/>
      <c r="D5706" s="21"/>
      <c r="E5706" s="22"/>
      <c r="G5706" s="23"/>
      <c r="H5706" s="24"/>
      <c r="Q5706" s="2"/>
      <c r="R5706" s="2"/>
    </row>
    <row r="5707" spans="1:18" ht="15.75" customHeight="1" x14ac:dyDescent="0.3">
      <c r="A5707" s="11"/>
      <c r="B5707" s="11"/>
      <c r="D5707" s="21"/>
      <c r="E5707" s="22"/>
      <c r="G5707" s="23"/>
      <c r="H5707" s="24"/>
      <c r="Q5707" s="2"/>
      <c r="R5707" s="2"/>
    </row>
    <row r="5708" spans="1:18" ht="15.75" customHeight="1" x14ac:dyDescent="0.3">
      <c r="A5708" s="11"/>
      <c r="B5708" s="11"/>
      <c r="D5708" s="21"/>
      <c r="E5708" s="22"/>
      <c r="G5708" s="23"/>
      <c r="H5708" s="24"/>
      <c r="Q5708" s="2"/>
      <c r="R5708" s="2"/>
    </row>
    <row r="5709" spans="1:18" ht="15.75" customHeight="1" x14ac:dyDescent="0.3">
      <c r="A5709" s="11"/>
      <c r="B5709" s="11"/>
      <c r="D5709" s="21"/>
      <c r="E5709" s="22"/>
      <c r="G5709" s="23"/>
      <c r="H5709" s="24"/>
      <c r="Q5709" s="2"/>
      <c r="R5709" s="2"/>
    </row>
    <row r="5710" spans="1:18" ht="15.75" customHeight="1" x14ac:dyDescent="0.3">
      <c r="A5710" s="11"/>
      <c r="B5710" s="11"/>
      <c r="D5710" s="21"/>
      <c r="E5710" s="22"/>
      <c r="G5710" s="23"/>
      <c r="H5710" s="24"/>
      <c r="Q5710" s="2"/>
      <c r="R5710" s="2"/>
    </row>
    <row r="5711" spans="1:18" ht="15.75" customHeight="1" x14ac:dyDescent="0.3">
      <c r="A5711" s="11"/>
      <c r="B5711" s="11"/>
      <c r="D5711" s="21"/>
      <c r="E5711" s="22"/>
      <c r="G5711" s="23"/>
      <c r="H5711" s="24"/>
      <c r="Q5711" s="2"/>
      <c r="R5711" s="2"/>
    </row>
    <row r="5712" spans="1:18" ht="15.75" customHeight="1" x14ac:dyDescent="0.3">
      <c r="A5712" s="11"/>
      <c r="B5712" s="11"/>
      <c r="D5712" s="21"/>
      <c r="E5712" s="22"/>
      <c r="G5712" s="23"/>
      <c r="H5712" s="24"/>
      <c r="Q5712" s="2"/>
      <c r="R5712" s="2"/>
    </row>
    <row r="5713" spans="1:18" ht="15.75" customHeight="1" x14ac:dyDescent="0.3">
      <c r="A5713" s="11"/>
      <c r="B5713" s="11"/>
      <c r="D5713" s="21"/>
      <c r="E5713" s="22"/>
      <c r="G5713" s="23"/>
      <c r="H5713" s="24"/>
      <c r="Q5713" s="2"/>
      <c r="R5713" s="2"/>
    </row>
    <row r="5714" spans="1:18" ht="15.75" customHeight="1" x14ac:dyDescent="0.3">
      <c r="A5714" s="11"/>
      <c r="B5714" s="11"/>
      <c r="D5714" s="21"/>
      <c r="E5714" s="22"/>
      <c r="G5714" s="23"/>
      <c r="H5714" s="24"/>
      <c r="Q5714" s="2"/>
      <c r="R5714" s="2"/>
    </row>
    <row r="5715" spans="1:18" ht="15.75" customHeight="1" x14ac:dyDescent="0.3">
      <c r="A5715" s="11"/>
      <c r="B5715" s="11"/>
      <c r="D5715" s="21"/>
      <c r="E5715" s="22"/>
      <c r="G5715" s="23"/>
      <c r="H5715" s="24"/>
      <c r="Q5715" s="2"/>
      <c r="R5715" s="2"/>
    </row>
    <row r="5716" spans="1:18" ht="15.75" customHeight="1" x14ac:dyDescent="0.3">
      <c r="A5716" s="11"/>
      <c r="B5716" s="11"/>
      <c r="D5716" s="21"/>
      <c r="E5716" s="22"/>
      <c r="G5716" s="23"/>
      <c r="H5716" s="24"/>
      <c r="Q5716" s="2"/>
      <c r="R5716" s="2"/>
    </row>
    <row r="5717" spans="1:18" ht="15.75" customHeight="1" x14ac:dyDescent="0.3">
      <c r="A5717" s="11"/>
      <c r="B5717" s="11"/>
      <c r="D5717" s="21"/>
      <c r="E5717" s="22"/>
      <c r="G5717" s="23"/>
      <c r="H5717" s="24"/>
      <c r="Q5717" s="2"/>
      <c r="R5717" s="2"/>
    </row>
    <row r="5718" spans="1:18" ht="15.75" customHeight="1" x14ac:dyDescent="0.3">
      <c r="A5718" s="11"/>
      <c r="B5718" s="11"/>
      <c r="D5718" s="21"/>
      <c r="E5718" s="22"/>
      <c r="G5718" s="23"/>
      <c r="H5718" s="24"/>
      <c r="Q5718" s="2"/>
      <c r="R5718" s="2"/>
    </row>
    <row r="5719" spans="1:18" ht="15.75" customHeight="1" x14ac:dyDescent="0.3">
      <c r="A5719" s="11"/>
      <c r="B5719" s="11"/>
      <c r="D5719" s="21"/>
      <c r="E5719" s="22"/>
      <c r="G5719" s="23"/>
      <c r="H5719" s="24"/>
      <c r="Q5719" s="2"/>
      <c r="R5719" s="2"/>
    </row>
    <row r="5720" spans="1:18" ht="15.75" customHeight="1" x14ac:dyDescent="0.3">
      <c r="A5720" s="11"/>
      <c r="B5720" s="11"/>
      <c r="D5720" s="21"/>
      <c r="E5720" s="22"/>
      <c r="G5720" s="23"/>
      <c r="H5720" s="24"/>
      <c r="Q5720" s="2"/>
      <c r="R5720" s="2"/>
    </row>
    <row r="5721" spans="1:18" ht="15.75" customHeight="1" x14ac:dyDescent="0.3">
      <c r="A5721" s="11"/>
      <c r="B5721" s="11"/>
      <c r="D5721" s="21"/>
      <c r="E5721" s="22"/>
      <c r="G5721" s="23"/>
      <c r="H5721" s="24"/>
      <c r="Q5721" s="2"/>
      <c r="R5721" s="2"/>
    </row>
    <row r="5722" spans="1:18" ht="15.75" customHeight="1" x14ac:dyDescent="0.3">
      <c r="A5722" s="11"/>
      <c r="B5722" s="11"/>
      <c r="D5722" s="21"/>
      <c r="E5722" s="22"/>
      <c r="G5722" s="23"/>
      <c r="H5722" s="24"/>
      <c r="Q5722" s="2"/>
      <c r="R5722" s="2"/>
    </row>
    <row r="5723" spans="1:18" ht="15.75" customHeight="1" x14ac:dyDescent="0.3">
      <c r="A5723" s="11"/>
      <c r="B5723" s="11"/>
      <c r="D5723" s="21"/>
      <c r="E5723" s="22"/>
      <c r="G5723" s="23"/>
      <c r="H5723" s="24"/>
      <c r="Q5723" s="2"/>
      <c r="R5723" s="2"/>
    </row>
    <row r="5724" spans="1:18" ht="15.75" customHeight="1" x14ac:dyDescent="0.3">
      <c r="A5724" s="11"/>
      <c r="B5724" s="11"/>
      <c r="D5724" s="21"/>
      <c r="E5724" s="22"/>
      <c r="G5724" s="23"/>
      <c r="H5724" s="24"/>
      <c r="Q5724" s="2"/>
      <c r="R5724" s="2"/>
    </row>
    <row r="5725" spans="1:18" ht="15.75" customHeight="1" x14ac:dyDescent="0.3">
      <c r="A5725" s="11"/>
      <c r="B5725" s="11"/>
      <c r="D5725" s="21"/>
      <c r="E5725" s="22"/>
      <c r="G5725" s="23"/>
      <c r="H5725" s="24"/>
      <c r="Q5725" s="2"/>
      <c r="R5725" s="2"/>
    </row>
    <row r="5726" spans="1:18" ht="15.75" customHeight="1" x14ac:dyDescent="0.3">
      <c r="A5726" s="11"/>
      <c r="B5726" s="11"/>
      <c r="D5726" s="21"/>
      <c r="E5726" s="22"/>
      <c r="G5726" s="23"/>
      <c r="H5726" s="24"/>
      <c r="Q5726" s="2"/>
      <c r="R5726" s="2"/>
    </row>
    <row r="5727" spans="1:18" ht="15.75" customHeight="1" x14ac:dyDescent="0.3">
      <c r="A5727" s="11"/>
      <c r="B5727" s="11"/>
      <c r="D5727" s="21"/>
      <c r="E5727" s="22"/>
      <c r="G5727" s="23"/>
      <c r="H5727" s="24"/>
      <c r="Q5727" s="2"/>
      <c r="R5727" s="2"/>
    </row>
    <row r="5728" spans="1:18" ht="15.75" customHeight="1" x14ac:dyDescent="0.3">
      <c r="A5728" s="11"/>
      <c r="B5728" s="11"/>
      <c r="D5728" s="21"/>
      <c r="E5728" s="22"/>
      <c r="G5728" s="23"/>
      <c r="H5728" s="24"/>
      <c r="Q5728" s="2"/>
      <c r="R5728" s="2"/>
    </row>
    <row r="5729" spans="1:18" ht="15.75" customHeight="1" x14ac:dyDescent="0.3">
      <c r="A5729" s="11"/>
      <c r="B5729" s="11"/>
      <c r="D5729" s="21"/>
      <c r="E5729" s="22"/>
      <c r="G5729" s="23"/>
      <c r="H5729" s="24"/>
      <c r="Q5729" s="2"/>
      <c r="R5729" s="2"/>
    </row>
    <row r="5730" spans="1:18" ht="15.75" customHeight="1" x14ac:dyDescent="0.3">
      <c r="A5730" s="11"/>
      <c r="B5730" s="11"/>
      <c r="D5730" s="21"/>
      <c r="E5730" s="22"/>
      <c r="G5730" s="23"/>
      <c r="H5730" s="24"/>
      <c r="Q5730" s="2"/>
      <c r="R5730" s="2"/>
    </row>
    <row r="5731" spans="1:18" ht="15.75" customHeight="1" x14ac:dyDescent="0.3">
      <c r="A5731" s="11"/>
      <c r="B5731" s="11"/>
      <c r="D5731" s="21"/>
      <c r="E5731" s="22"/>
      <c r="G5731" s="23"/>
      <c r="H5731" s="24"/>
      <c r="Q5731" s="2"/>
      <c r="R5731" s="2"/>
    </row>
    <row r="5732" spans="1:18" ht="15.75" customHeight="1" x14ac:dyDescent="0.3">
      <c r="A5732" s="11"/>
      <c r="B5732" s="11"/>
      <c r="D5732" s="21"/>
      <c r="E5732" s="22"/>
      <c r="G5732" s="23"/>
      <c r="H5732" s="24"/>
      <c r="Q5732" s="2"/>
      <c r="R5732" s="2"/>
    </row>
    <row r="5733" spans="1:18" ht="15.75" customHeight="1" x14ac:dyDescent="0.3">
      <c r="A5733" s="11"/>
      <c r="B5733" s="11"/>
      <c r="D5733" s="21"/>
      <c r="E5733" s="22"/>
      <c r="G5733" s="23"/>
      <c r="H5733" s="24"/>
      <c r="Q5733" s="2"/>
      <c r="R5733" s="2"/>
    </row>
    <row r="5734" spans="1:18" ht="15.75" customHeight="1" x14ac:dyDescent="0.3">
      <c r="A5734" s="11"/>
      <c r="B5734" s="11"/>
      <c r="D5734" s="21"/>
      <c r="E5734" s="22"/>
      <c r="G5734" s="23"/>
      <c r="H5734" s="24"/>
      <c r="Q5734" s="2"/>
      <c r="R5734" s="2"/>
    </row>
    <row r="5735" spans="1:18" ht="15.75" customHeight="1" x14ac:dyDescent="0.3">
      <c r="A5735" s="11"/>
      <c r="B5735" s="11"/>
      <c r="D5735" s="21"/>
      <c r="E5735" s="22"/>
      <c r="G5735" s="23"/>
      <c r="H5735" s="24"/>
      <c r="Q5735" s="2"/>
      <c r="R5735" s="2"/>
    </row>
    <row r="5736" spans="1:18" ht="15.75" customHeight="1" x14ac:dyDescent="0.3">
      <c r="A5736" s="11"/>
      <c r="B5736" s="11"/>
      <c r="D5736" s="21"/>
      <c r="E5736" s="22"/>
      <c r="G5736" s="23"/>
      <c r="H5736" s="24"/>
      <c r="Q5736" s="2"/>
      <c r="R5736" s="2"/>
    </row>
    <row r="5737" spans="1:18" ht="15.75" customHeight="1" x14ac:dyDescent="0.3">
      <c r="A5737" s="11"/>
      <c r="B5737" s="11"/>
      <c r="D5737" s="21"/>
      <c r="E5737" s="22"/>
      <c r="G5737" s="23"/>
      <c r="H5737" s="24"/>
      <c r="Q5737" s="2"/>
      <c r="R5737" s="2"/>
    </row>
    <row r="5738" spans="1:18" ht="15.75" customHeight="1" x14ac:dyDescent="0.3">
      <c r="A5738" s="11"/>
      <c r="B5738" s="11"/>
      <c r="D5738" s="21"/>
      <c r="E5738" s="22"/>
      <c r="G5738" s="23"/>
      <c r="H5738" s="24"/>
      <c r="Q5738" s="2"/>
      <c r="R5738" s="2"/>
    </row>
    <row r="5739" spans="1:18" ht="15.75" customHeight="1" x14ac:dyDescent="0.3">
      <c r="A5739" s="11"/>
      <c r="B5739" s="11"/>
      <c r="D5739" s="21"/>
      <c r="E5739" s="22"/>
      <c r="G5739" s="23"/>
      <c r="H5739" s="24"/>
      <c r="Q5739" s="2"/>
      <c r="R5739" s="2"/>
    </row>
    <row r="5740" spans="1:18" ht="15.75" customHeight="1" x14ac:dyDescent="0.3">
      <c r="A5740" s="11"/>
      <c r="B5740" s="11"/>
      <c r="D5740" s="21"/>
      <c r="E5740" s="22"/>
      <c r="G5740" s="23"/>
      <c r="H5740" s="24"/>
      <c r="Q5740" s="2"/>
      <c r="R5740" s="2"/>
    </row>
    <row r="5741" spans="1:18" ht="15.75" customHeight="1" x14ac:dyDescent="0.3">
      <c r="A5741" s="11"/>
      <c r="B5741" s="11"/>
      <c r="D5741" s="21"/>
      <c r="E5741" s="22"/>
      <c r="G5741" s="23"/>
      <c r="H5741" s="24"/>
      <c r="Q5741" s="2"/>
      <c r="R5741" s="2"/>
    </row>
    <row r="5742" spans="1:18" ht="15.75" customHeight="1" x14ac:dyDescent="0.3">
      <c r="A5742" s="11"/>
      <c r="B5742" s="11"/>
      <c r="D5742" s="21"/>
      <c r="E5742" s="22"/>
      <c r="G5742" s="23"/>
      <c r="H5742" s="24"/>
      <c r="Q5742" s="2"/>
      <c r="R5742" s="2"/>
    </row>
    <row r="5743" spans="1:18" ht="15.75" customHeight="1" x14ac:dyDescent="0.3">
      <c r="A5743" s="11"/>
      <c r="B5743" s="11"/>
      <c r="D5743" s="21"/>
      <c r="E5743" s="22"/>
      <c r="G5743" s="23"/>
      <c r="H5743" s="24"/>
      <c r="Q5743" s="2"/>
      <c r="R5743" s="2"/>
    </row>
    <row r="5744" spans="1:18" ht="15.75" customHeight="1" x14ac:dyDescent="0.3">
      <c r="A5744" s="11"/>
      <c r="B5744" s="11"/>
      <c r="D5744" s="21"/>
      <c r="E5744" s="22"/>
      <c r="G5744" s="23"/>
      <c r="H5744" s="24"/>
      <c r="Q5744" s="2"/>
      <c r="R5744" s="2"/>
    </row>
    <row r="5745" spans="1:18" ht="15.75" customHeight="1" x14ac:dyDescent="0.3">
      <c r="A5745" s="11"/>
      <c r="B5745" s="11"/>
      <c r="D5745" s="21"/>
      <c r="E5745" s="22"/>
      <c r="G5745" s="23"/>
      <c r="H5745" s="24"/>
      <c r="Q5745" s="2"/>
      <c r="R5745" s="2"/>
    </row>
    <row r="5746" spans="1:18" ht="15.75" customHeight="1" x14ac:dyDescent="0.3">
      <c r="A5746" s="11"/>
      <c r="B5746" s="11"/>
      <c r="D5746" s="21"/>
      <c r="E5746" s="22"/>
      <c r="G5746" s="23"/>
      <c r="H5746" s="24"/>
      <c r="Q5746" s="2"/>
      <c r="R5746" s="2"/>
    </row>
    <row r="5747" spans="1:18" ht="15.75" customHeight="1" x14ac:dyDescent="0.3">
      <c r="A5747" s="11"/>
      <c r="B5747" s="11"/>
      <c r="D5747" s="21"/>
      <c r="E5747" s="22"/>
      <c r="G5747" s="23"/>
      <c r="H5747" s="24"/>
      <c r="Q5747" s="2"/>
      <c r="R5747" s="2"/>
    </row>
    <row r="5748" spans="1:18" ht="15.75" customHeight="1" x14ac:dyDescent="0.3">
      <c r="A5748" s="11"/>
      <c r="B5748" s="11"/>
      <c r="D5748" s="21"/>
      <c r="E5748" s="22"/>
      <c r="G5748" s="23"/>
      <c r="H5748" s="24"/>
      <c r="Q5748" s="2"/>
      <c r="R5748" s="2"/>
    </row>
    <row r="5749" spans="1:18" ht="15.75" customHeight="1" x14ac:dyDescent="0.3">
      <c r="A5749" s="11"/>
      <c r="B5749" s="11"/>
      <c r="D5749" s="21"/>
      <c r="E5749" s="22"/>
      <c r="G5749" s="23"/>
      <c r="H5749" s="24"/>
      <c r="Q5749" s="2"/>
      <c r="R5749" s="2"/>
    </row>
    <row r="5750" spans="1:18" ht="15.75" customHeight="1" x14ac:dyDescent="0.3">
      <c r="A5750" s="11"/>
      <c r="B5750" s="11"/>
      <c r="D5750" s="21"/>
      <c r="E5750" s="22"/>
      <c r="G5750" s="23"/>
      <c r="H5750" s="24"/>
      <c r="Q5750" s="2"/>
      <c r="R5750" s="2"/>
    </row>
    <row r="5751" spans="1:18" ht="15.75" customHeight="1" x14ac:dyDescent="0.3">
      <c r="A5751" s="11"/>
      <c r="B5751" s="11"/>
      <c r="D5751" s="21"/>
      <c r="E5751" s="22"/>
      <c r="G5751" s="23"/>
      <c r="H5751" s="24"/>
      <c r="Q5751" s="2"/>
      <c r="R5751" s="2"/>
    </row>
    <row r="5752" spans="1:18" ht="15.75" customHeight="1" x14ac:dyDescent="0.3">
      <c r="A5752" s="11"/>
      <c r="B5752" s="11"/>
      <c r="D5752" s="21"/>
      <c r="E5752" s="22"/>
      <c r="G5752" s="23"/>
      <c r="H5752" s="24"/>
      <c r="Q5752" s="2"/>
      <c r="R5752" s="2"/>
    </row>
    <row r="5753" spans="1:18" ht="15.75" customHeight="1" x14ac:dyDescent="0.3">
      <c r="A5753" s="11"/>
      <c r="B5753" s="11"/>
      <c r="D5753" s="21"/>
      <c r="E5753" s="22"/>
      <c r="G5753" s="23"/>
      <c r="H5753" s="24"/>
      <c r="Q5753" s="2"/>
      <c r="R5753" s="2"/>
    </row>
    <row r="5754" spans="1:18" ht="15.75" customHeight="1" x14ac:dyDescent="0.3">
      <c r="A5754" s="11"/>
      <c r="B5754" s="11"/>
      <c r="D5754" s="21"/>
      <c r="E5754" s="22"/>
      <c r="G5754" s="23"/>
      <c r="H5754" s="24"/>
      <c r="Q5754" s="2"/>
      <c r="R5754" s="2"/>
    </row>
    <row r="5755" spans="1:18" ht="15.75" customHeight="1" x14ac:dyDescent="0.3">
      <c r="A5755" s="11"/>
      <c r="B5755" s="11"/>
      <c r="D5755" s="21"/>
      <c r="E5755" s="22"/>
      <c r="G5755" s="23"/>
      <c r="H5755" s="24"/>
      <c r="Q5755" s="2"/>
      <c r="R5755" s="2"/>
    </row>
    <row r="5756" spans="1:18" ht="15.75" customHeight="1" x14ac:dyDescent="0.3">
      <c r="A5756" s="11"/>
      <c r="B5756" s="11"/>
      <c r="D5756" s="21"/>
      <c r="E5756" s="22"/>
      <c r="G5756" s="23"/>
      <c r="H5756" s="24"/>
      <c r="Q5756" s="2"/>
      <c r="R5756" s="2"/>
    </row>
    <row r="5757" spans="1:18" ht="15.75" customHeight="1" x14ac:dyDescent="0.3">
      <c r="A5757" s="11"/>
      <c r="B5757" s="11"/>
      <c r="D5757" s="21"/>
      <c r="E5757" s="22"/>
      <c r="G5757" s="23"/>
      <c r="H5757" s="24"/>
      <c r="Q5757" s="2"/>
      <c r="R5757" s="2"/>
    </row>
    <row r="5758" spans="1:18" ht="15.75" customHeight="1" x14ac:dyDescent="0.3">
      <c r="A5758" s="11"/>
      <c r="B5758" s="11"/>
      <c r="D5758" s="21"/>
      <c r="E5758" s="22"/>
      <c r="G5758" s="23"/>
      <c r="H5758" s="24"/>
      <c r="Q5758" s="2"/>
      <c r="R5758" s="2"/>
    </row>
    <row r="5759" spans="1:18" ht="15.75" customHeight="1" x14ac:dyDescent="0.3">
      <c r="A5759" s="11"/>
      <c r="B5759" s="11"/>
      <c r="D5759" s="21"/>
      <c r="E5759" s="22"/>
      <c r="G5759" s="23"/>
      <c r="H5759" s="24"/>
      <c r="Q5759" s="2"/>
      <c r="R5759" s="2"/>
    </row>
    <row r="5760" spans="1:18" ht="15.75" customHeight="1" x14ac:dyDescent="0.3">
      <c r="A5760" s="11"/>
      <c r="B5760" s="11"/>
      <c r="D5760" s="21"/>
      <c r="E5760" s="22"/>
      <c r="G5760" s="23"/>
      <c r="H5760" s="24"/>
      <c r="Q5760" s="2"/>
      <c r="R5760" s="2"/>
    </row>
    <row r="5761" spans="1:18" ht="15.75" customHeight="1" x14ac:dyDescent="0.3">
      <c r="A5761" s="11"/>
      <c r="B5761" s="11"/>
      <c r="D5761" s="21"/>
      <c r="E5761" s="22"/>
      <c r="G5761" s="23"/>
      <c r="H5761" s="24"/>
      <c r="Q5761" s="2"/>
      <c r="R5761" s="2"/>
    </row>
    <row r="5762" spans="1:18" ht="15.75" customHeight="1" x14ac:dyDescent="0.3">
      <c r="A5762" s="11"/>
      <c r="B5762" s="11"/>
      <c r="D5762" s="21"/>
      <c r="E5762" s="22"/>
      <c r="G5762" s="23"/>
      <c r="H5762" s="24"/>
      <c r="Q5762" s="2"/>
      <c r="R5762" s="2"/>
    </row>
    <row r="5763" spans="1:18" ht="15.75" customHeight="1" x14ac:dyDescent="0.3">
      <c r="A5763" s="11"/>
      <c r="B5763" s="11"/>
      <c r="D5763" s="21"/>
      <c r="E5763" s="22"/>
      <c r="G5763" s="23"/>
      <c r="H5763" s="24"/>
      <c r="Q5763" s="2"/>
      <c r="R5763" s="2"/>
    </row>
    <row r="5764" spans="1:18" ht="15.75" customHeight="1" x14ac:dyDescent="0.3">
      <c r="A5764" s="11"/>
      <c r="B5764" s="11"/>
      <c r="D5764" s="21"/>
      <c r="E5764" s="22"/>
      <c r="G5764" s="23"/>
      <c r="H5764" s="24"/>
      <c r="Q5764" s="2"/>
      <c r="R5764" s="2"/>
    </row>
    <row r="5765" spans="1:18" ht="15.75" customHeight="1" x14ac:dyDescent="0.3">
      <c r="A5765" s="11"/>
      <c r="B5765" s="11"/>
      <c r="D5765" s="21"/>
      <c r="E5765" s="22"/>
      <c r="G5765" s="23"/>
      <c r="H5765" s="24"/>
      <c r="Q5765" s="2"/>
      <c r="R5765" s="2"/>
    </row>
    <row r="5766" spans="1:18" ht="15.75" customHeight="1" x14ac:dyDescent="0.3">
      <c r="A5766" s="11"/>
      <c r="B5766" s="11"/>
      <c r="D5766" s="21"/>
      <c r="E5766" s="22"/>
      <c r="G5766" s="23"/>
      <c r="H5766" s="24"/>
      <c r="Q5766" s="2"/>
      <c r="R5766" s="2"/>
    </row>
    <row r="5767" spans="1:18" ht="15.75" customHeight="1" x14ac:dyDescent="0.3">
      <c r="A5767" s="11"/>
      <c r="B5767" s="11"/>
      <c r="D5767" s="21"/>
      <c r="E5767" s="22"/>
      <c r="G5767" s="23"/>
      <c r="H5767" s="24"/>
      <c r="Q5767" s="2"/>
      <c r="R5767" s="2"/>
    </row>
    <row r="5768" spans="1:18" ht="15.75" customHeight="1" x14ac:dyDescent="0.3">
      <c r="A5768" s="11"/>
      <c r="B5768" s="11"/>
      <c r="D5768" s="21"/>
      <c r="E5768" s="22"/>
      <c r="G5768" s="23"/>
      <c r="H5768" s="24"/>
      <c r="Q5768" s="2"/>
      <c r="R5768" s="2"/>
    </row>
    <row r="5769" spans="1:18" ht="15.75" customHeight="1" x14ac:dyDescent="0.3">
      <c r="A5769" s="11"/>
      <c r="B5769" s="11"/>
      <c r="D5769" s="21"/>
      <c r="E5769" s="22"/>
      <c r="G5769" s="23"/>
      <c r="H5769" s="24"/>
      <c r="Q5769" s="2"/>
      <c r="R5769" s="2"/>
    </row>
    <row r="5770" spans="1:18" ht="15.75" customHeight="1" x14ac:dyDescent="0.3">
      <c r="A5770" s="11"/>
      <c r="B5770" s="11"/>
      <c r="D5770" s="21"/>
      <c r="E5770" s="22"/>
      <c r="G5770" s="23"/>
      <c r="H5770" s="24"/>
      <c r="Q5770" s="2"/>
      <c r="R5770" s="2"/>
    </row>
    <row r="5771" spans="1:18" ht="15.75" customHeight="1" x14ac:dyDescent="0.3">
      <c r="A5771" s="11"/>
      <c r="B5771" s="11"/>
      <c r="D5771" s="21"/>
      <c r="E5771" s="22"/>
      <c r="G5771" s="23"/>
      <c r="H5771" s="24"/>
      <c r="Q5771" s="2"/>
      <c r="R5771" s="2"/>
    </row>
    <row r="5772" spans="1:18" ht="15.75" customHeight="1" x14ac:dyDescent="0.3">
      <c r="A5772" s="11"/>
      <c r="B5772" s="11"/>
      <c r="D5772" s="21"/>
      <c r="E5772" s="22"/>
      <c r="G5772" s="23"/>
      <c r="H5772" s="24"/>
      <c r="Q5772" s="2"/>
      <c r="R5772" s="2"/>
    </row>
    <row r="5773" spans="1:18" ht="15.75" customHeight="1" x14ac:dyDescent="0.3">
      <c r="A5773" s="11"/>
      <c r="B5773" s="11"/>
      <c r="D5773" s="21"/>
      <c r="E5773" s="22"/>
      <c r="G5773" s="23"/>
      <c r="H5773" s="24"/>
      <c r="Q5773" s="2"/>
      <c r="R5773" s="2"/>
    </row>
    <row r="5774" spans="1:18" ht="15.75" customHeight="1" x14ac:dyDescent="0.3">
      <c r="A5774" s="11"/>
      <c r="B5774" s="11"/>
      <c r="D5774" s="21"/>
      <c r="E5774" s="22"/>
      <c r="G5774" s="23"/>
      <c r="H5774" s="24"/>
      <c r="Q5774" s="2"/>
      <c r="R5774" s="2"/>
    </row>
    <row r="5775" spans="1:18" ht="15.75" customHeight="1" x14ac:dyDescent="0.3">
      <c r="A5775" s="11"/>
      <c r="B5775" s="11"/>
      <c r="D5775" s="21"/>
      <c r="E5775" s="22"/>
      <c r="G5775" s="23"/>
      <c r="H5775" s="24"/>
      <c r="Q5775" s="2"/>
      <c r="R5775" s="2"/>
    </row>
    <row r="5776" spans="1:18" ht="15.75" customHeight="1" x14ac:dyDescent="0.3">
      <c r="A5776" s="11"/>
      <c r="B5776" s="11"/>
      <c r="D5776" s="21"/>
      <c r="E5776" s="22"/>
      <c r="G5776" s="23"/>
      <c r="H5776" s="24"/>
      <c r="Q5776" s="2"/>
      <c r="R5776" s="2"/>
    </row>
    <row r="5777" spans="1:18" ht="15.75" customHeight="1" x14ac:dyDescent="0.3">
      <c r="A5777" s="11"/>
      <c r="B5777" s="11"/>
      <c r="D5777" s="21"/>
      <c r="E5777" s="22"/>
      <c r="G5777" s="23"/>
      <c r="H5777" s="24"/>
      <c r="Q5777" s="2"/>
      <c r="R5777" s="2"/>
    </row>
    <row r="5778" spans="1:18" ht="15.75" customHeight="1" x14ac:dyDescent="0.3">
      <c r="A5778" s="11"/>
      <c r="B5778" s="11"/>
      <c r="D5778" s="21"/>
      <c r="E5778" s="22"/>
      <c r="G5778" s="23"/>
      <c r="H5778" s="24"/>
      <c r="Q5778" s="2"/>
      <c r="R5778" s="2"/>
    </row>
    <row r="5779" spans="1:18" ht="15.75" customHeight="1" x14ac:dyDescent="0.3">
      <c r="A5779" s="11"/>
      <c r="B5779" s="11"/>
      <c r="D5779" s="21"/>
      <c r="E5779" s="22"/>
      <c r="G5779" s="23"/>
      <c r="H5779" s="24"/>
      <c r="Q5779" s="2"/>
      <c r="R5779" s="2"/>
    </row>
    <row r="5780" spans="1:18" ht="15.75" customHeight="1" x14ac:dyDescent="0.3">
      <c r="A5780" s="11"/>
      <c r="B5780" s="11"/>
      <c r="D5780" s="21"/>
      <c r="E5780" s="22"/>
      <c r="G5780" s="23"/>
      <c r="H5780" s="24"/>
      <c r="Q5780" s="2"/>
      <c r="R5780" s="2"/>
    </row>
    <row r="5781" spans="1:18" ht="15.75" customHeight="1" x14ac:dyDescent="0.3">
      <c r="A5781" s="11"/>
      <c r="B5781" s="11"/>
      <c r="D5781" s="21"/>
      <c r="E5781" s="22"/>
      <c r="G5781" s="23"/>
      <c r="H5781" s="24"/>
      <c r="Q5781" s="2"/>
      <c r="R5781" s="2"/>
    </row>
    <row r="5782" spans="1:18" ht="15.75" customHeight="1" x14ac:dyDescent="0.3">
      <c r="A5782" s="11"/>
      <c r="B5782" s="11"/>
      <c r="D5782" s="21"/>
      <c r="E5782" s="22"/>
      <c r="G5782" s="23"/>
      <c r="H5782" s="24"/>
      <c r="Q5782" s="2"/>
      <c r="R5782" s="2"/>
    </row>
    <row r="5783" spans="1:18" ht="15.75" customHeight="1" x14ac:dyDescent="0.3">
      <c r="A5783" s="11"/>
      <c r="B5783" s="11"/>
      <c r="D5783" s="21"/>
      <c r="E5783" s="22"/>
      <c r="G5783" s="23"/>
      <c r="H5783" s="24"/>
      <c r="Q5783" s="2"/>
      <c r="R5783" s="2"/>
    </row>
    <row r="5784" spans="1:18" ht="15.75" customHeight="1" x14ac:dyDescent="0.3">
      <c r="A5784" s="11"/>
      <c r="B5784" s="11"/>
      <c r="D5784" s="21"/>
      <c r="E5784" s="22"/>
      <c r="G5784" s="23"/>
      <c r="H5784" s="24"/>
      <c r="Q5784" s="2"/>
      <c r="R5784" s="2"/>
    </row>
    <row r="5785" spans="1:18" ht="15.75" customHeight="1" x14ac:dyDescent="0.3">
      <c r="A5785" s="11"/>
      <c r="B5785" s="11"/>
      <c r="D5785" s="21"/>
      <c r="E5785" s="22"/>
      <c r="G5785" s="23"/>
      <c r="H5785" s="24"/>
      <c r="Q5785" s="2"/>
      <c r="R5785" s="2"/>
    </row>
    <row r="5786" spans="1:18" ht="15.75" customHeight="1" x14ac:dyDescent="0.3">
      <c r="A5786" s="11"/>
      <c r="B5786" s="11"/>
      <c r="D5786" s="21"/>
      <c r="E5786" s="22"/>
      <c r="G5786" s="23"/>
      <c r="H5786" s="24"/>
      <c r="Q5786" s="2"/>
      <c r="R5786" s="2"/>
    </row>
    <row r="5787" spans="1:18" ht="15.75" customHeight="1" x14ac:dyDescent="0.3">
      <c r="A5787" s="11"/>
      <c r="B5787" s="11"/>
      <c r="D5787" s="21"/>
      <c r="E5787" s="22"/>
      <c r="G5787" s="23"/>
      <c r="H5787" s="24"/>
      <c r="Q5787" s="2"/>
      <c r="R5787" s="2"/>
    </row>
    <row r="5788" spans="1:18" ht="15.75" customHeight="1" x14ac:dyDescent="0.3">
      <c r="A5788" s="11"/>
      <c r="B5788" s="11"/>
      <c r="D5788" s="21"/>
      <c r="E5788" s="22"/>
      <c r="G5788" s="23"/>
      <c r="H5788" s="24"/>
      <c r="Q5788" s="2"/>
      <c r="R5788" s="2"/>
    </row>
    <row r="5789" spans="1:18" ht="15.75" customHeight="1" x14ac:dyDescent="0.3">
      <c r="A5789" s="11"/>
      <c r="B5789" s="11"/>
      <c r="D5789" s="21"/>
      <c r="E5789" s="22"/>
      <c r="G5789" s="23"/>
      <c r="H5789" s="24"/>
      <c r="Q5789" s="2"/>
      <c r="R5789" s="2"/>
    </row>
    <row r="5790" spans="1:18" ht="15.75" customHeight="1" x14ac:dyDescent="0.3">
      <c r="A5790" s="11"/>
      <c r="B5790" s="11"/>
      <c r="D5790" s="21"/>
      <c r="E5790" s="22"/>
      <c r="G5790" s="23"/>
      <c r="H5790" s="24"/>
      <c r="Q5790" s="2"/>
      <c r="R5790" s="2"/>
    </row>
    <row r="5791" spans="1:18" ht="15.75" customHeight="1" x14ac:dyDescent="0.3">
      <c r="A5791" s="11"/>
      <c r="B5791" s="11"/>
      <c r="D5791" s="21"/>
      <c r="E5791" s="22"/>
      <c r="G5791" s="23"/>
      <c r="H5791" s="24"/>
      <c r="Q5791" s="2"/>
      <c r="R5791" s="2"/>
    </row>
    <row r="5792" spans="1:18" ht="15.75" customHeight="1" x14ac:dyDescent="0.3">
      <c r="A5792" s="11"/>
      <c r="B5792" s="11"/>
      <c r="D5792" s="21"/>
      <c r="E5792" s="22"/>
      <c r="G5792" s="23"/>
      <c r="H5792" s="24"/>
      <c r="Q5792" s="2"/>
      <c r="R5792" s="2"/>
    </row>
    <row r="5793" spans="1:18" ht="15.75" customHeight="1" x14ac:dyDescent="0.3">
      <c r="A5793" s="11"/>
      <c r="B5793" s="11"/>
      <c r="D5793" s="21"/>
      <c r="E5793" s="22"/>
      <c r="G5793" s="23"/>
      <c r="H5793" s="24"/>
      <c r="Q5793" s="2"/>
      <c r="R5793" s="2"/>
    </row>
    <row r="5794" spans="1:18" ht="15.75" customHeight="1" x14ac:dyDescent="0.3">
      <c r="A5794" s="11"/>
      <c r="B5794" s="11"/>
      <c r="D5794" s="21"/>
      <c r="E5794" s="22"/>
      <c r="G5794" s="23"/>
      <c r="H5794" s="24"/>
      <c r="Q5794" s="2"/>
      <c r="R5794" s="2"/>
    </row>
    <row r="5795" spans="1:18" ht="15.75" customHeight="1" x14ac:dyDescent="0.3">
      <c r="A5795" s="11"/>
      <c r="B5795" s="11"/>
      <c r="D5795" s="21"/>
      <c r="E5795" s="22"/>
      <c r="G5795" s="23"/>
      <c r="H5795" s="24"/>
      <c r="Q5795" s="2"/>
      <c r="R5795" s="2"/>
    </row>
    <row r="5796" spans="1:18" ht="15.75" customHeight="1" x14ac:dyDescent="0.3">
      <c r="A5796" s="11"/>
      <c r="B5796" s="11"/>
      <c r="D5796" s="21"/>
      <c r="E5796" s="22"/>
      <c r="G5796" s="23"/>
      <c r="H5796" s="24"/>
      <c r="Q5796" s="2"/>
      <c r="R5796" s="2"/>
    </row>
    <row r="5797" spans="1:18" ht="15.75" customHeight="1" x14ac:dyDescent="0.3">
      <c r="A5797" s="11"/>
      <c r="B5797" s="11"/>
      <c r="D5797" s="21"/>
      <c r="E5797" s="22"/>
      <c r="G5797" s="23"/>
      <c r="H5797" s="24"/>
      <c r="Q5797" s="2"/>
      <c r="R5797" s="2"/>
    </row>
    <row r="5798" spans="1:18" ht="15.75" customHeight="1" x14ac:dyDescent="0.3">
      <c r="A5798" s="11"/>
      <c r="B5798" s="11"/>
      <c r="D5798" s="21"/>
      <c r="E5798" s="22"/>
      <c r="G5798" s="23"/>
      <c r="H5798" s="24"/>
      <c r="Q5798" s="2"/>
      <c r="R5798" s="2"/>
    </row>
    <row r="5799" spans="1:18" ht="15.75" customHeight="1" x14ac:dyDescent="0.3">
      <c r="A5799" s="11"/>
      <c r="B5799" s="11"/>
      <c r="D5799" s="21"/>
      <c r="E5799" s="22"/>
      <c r="G5799" s="23"/>
      <c r="H5799" s="24"/>
      <c r="Q5799" s="2"/>
      <c r="R5799" s="2"/>
    </row>
    <row r="5800" spans="1:18" ht="15.75" customHeight="1" x14ac:dyDescent="0.3">
      <c r="A5800" s="11"/>
      <c r="B5800" s="11"/>
      <c r="D5800" s="21"/>
      <c r="E5800" s="22"/>
      <c r="G5800" s="23"/>
      <c r="H5800" s="24"/>
      <c r="Q5800" s="2"/>
      <c r="R5800" s="2"/>
    </row>
    <row r="5801" spans="1:18" ht="15.75" customHeight="1" x14ac:dyDescent="0.3">
      <c r="A5801" s="11"/>
      <c r="B5801" s="11"/>
      <c r="D5801" s="21"/>
      <c r="E5801" s="22"/>
      <c r="G5801" s="23"/>
      <c r="H5801" s="24"/>
      <c r="Q5801" s="2"/>
      <c r="R5801" s="2"/>
    </row>
    <row r="5802" spans="1:18" ht="15.75" customHeight="1" x14ac:dyDescent="0.3">
      <c r="A5802" s="11"/>
      <c r="B5802" s="11"/>
      <c r="D5802" s="21"/>
      <c r="E5802" s="22"/>
      <c r="G5802" s="23"/>
      <c r="H5802" s="24"/>
      <c r="Q5802" s="2"/>
      <c r="R5802" s="2"/>
    </row>
    <row r="5803" spans="1:18" ht="15.75" customHeight="1" x14ac:dyDescent="0.3">
      <c r="A5803" s="11"/>
      <c r="B5803" s="11"/>
      <c r="D5803" s="21"/>
      <c r="E5803" s="22"/>
      <c r="G5803" s="23"/>
      <c r="H5803" s="24"/>
      <c r="Q5803" s="2"/>
      <c r="R5803" s="2"/>
    </row>
    <row r="5804" spans="1:18" ht="15.75" customHeight="1" x14ac:dyDescent="0.3">
      <c r="A5804" s="11"/>
      <c r="B5804" s="11"/>
      <c r="D5804" s="21"/>
      <c r="E5804" s="22"/>
      <c r="G5804" s="23"/>
      <c r="H5804" s="24"/>
      <c r="Q5804" s="2"/>
      <c r="R5804" s="2"/>
    </row>
    <row r="5805" spans="1:18" ht="15.75" customHeight="1" x14ac:dyDescent="0.3">
      <c r="A5805" s="11"/>
      <c r="B5805" s="11"/>
      <c r="D5805" s="21"/>
      <c r="E5805" s="22"/>
      <c r="G5805" s="23"/>
      <c r="H5805" s="24"/>
      <c r="Q5805" s="2"/>
      <c r="R5805" s="2"/>
    </row>
    <row r="5806" spans="1:18" ht="15.75" customHeight="1" x14ac:dyDescent="0.3">
      <c r="A5806" s="11"/>
      <c r="B5806" s="11"/>
      <c r="D5806" s="21"/>
      <c r="E5806" s="22"/>
      <c r="G5806" s="23"/>
      <c r="H5806" s="24"/>
      <c r="Q5806" s="2"/>
      <c r="R5806" s="2"/>
    </row>
    <row r="5807" spans="1:18" ht="15.75" customHeight="1" x14ac:dyDescent="0.3">
      <c r="A5807" s="11"/>
      <c r="B5807" s="11"/>
      <c r="D5807" s="21"/>
      <c r="E5807" s="22"/>
      <c r="G5807" s="23"/>
      <c r="H5807" s="24"/>
      <c r="Q5807" s="2"/>
      <c r="R5807" s="2"/>
    </row>
    <row r="5808" spans="1:18" ht="15.75" customHeight="1" x14ac:dyDescent="0.3">
      <c r="A5808" s="11"/>
      <c r="B5808" s="11"/>
      <c r="D5808" s="21"/>
      <c r="E5808" s="22"/>
      <c r="G5808" s="23"/>
      <c r="H5808" s="24"/>
      <c r="Q5808" s="2"/>
      <c r="R5808" s="2"/>
    </row>
    <row r="5809" spans="1:18" ht="15.75" customHeight="1" x14ac:dyDescent="0.3">
      <c r="A5809" s="11"/>
      <c r="B5809" s="11"/>
      <c r="D5809" s="21"/>
      <c r="E5809" s="22"/>
      <c r="G5809" s="23"/>
      <c r="H5809" s="24"/>
      <c r="Q5809" s="2"/>
      <c r="R5809" s="2"/>
    </row>
    <row r="5810" spans="1:18" ht="15.75" customHeight="1" x14ac:dyDescent="0.3">
      <c r="A5810" s="11"/>
      <c r="B5810" s="11"/>
      <c r="D5810" s="21"/>
      <c r="E5810" s="22"/>
      <c r="G5810" s="23"/>
      <c r="H5810" s="24"/>
      <c r="Q5810" s="2"/>
      <c r="R5810" s="2"/>
    </row>
    <row r="5811" spans="1:18" ht="15.75" customHeight="1" x14ac:dyDescent="0.3">
      <c r="A5811" s="11"/>
      <c r="B5811" s="11"/>
      <c r="D5811" s="21"/>
      <c r="E5811" s="22"/>
      <c r="G5811" s="23"/>
      <c r="H5811" s="24"/>
      <c r="Q5811" s="2"/>
      <c r="R5811" s="2"/>
    </row>
    <row r="5812" spans="1:18" ht="15.75" customHeight="1" x14ac:dyDescent="0.3">
      <c r="A5812" s="11"/>
      <c r="B5812" s="11"/>
      <c r="D5812" s="21"/>
      <c r="E5812" s="22"/>
      <c r="G5812" s="23"/>
      <c r="H5812" s="24"/>
      <c r="Q5812" s="2"/>
      <c r="R5812" s="2"/>
    </row>
    <row r="5813" spans="1:18" ht="15.75" customHeight="1" x14ac:dyDescent="0.3">
      <c r="A5813" s="11"/>
      <c r="B5813" s="11"/>
      <c r="D5813" s="21"/>
      <c r="E5813" s="22"/>
      <c r="G5813" s="23"/>
      <c r="H5813" s="24"/>
      <c r="Q5813" s="2"/>
      <c r="R5813" s="2"/>
    </row>
    <row r="5814" spans="1:18" ht="15.75" customHeight="1" x14ac:dyDescent="0.3">
      <c r="A5814" s="11"/>
      <c r="B5814" s="11"/>
      <c r="D5814" s="21"/>
      <c r="E5814" s="22"/>
      <c r="G5814" s="23"/>
      <c r="H5814" s="24"/>
      <c r="Q5814" s="2"/>
      <c r="R5814" s="2"/>
    </row>
    <row r="5815" spans="1:18" ht="15.75" customHeight="1" x14ac:dyDescent="0.3">
      <c r="A5815" s="11"/>
      <c r="B5815" s="11"/>
      <c r="D5815" s="21"/>
      <c r="E5815" s="22"/>
      <c r="G5815" s="23"/>
      <c r="H5815" s="24"/>
      <c r="Q5815" s="2"/>
      <c r="R5815" s="2"/>
    </row>
    <row r="5816" spans="1:18" ht="15.75" customHeight="1" x14ac:dyDescent="0.3">
      <c r="A5816" s="11"/>
      <c r="B5816" s="11"/>
      <c r="D5816" s="21"/>
      <c r="E5816" s="22"/>
      <c r="G5816" s="23"/>
      <c r="H5816" s="24"/>
      <c r="Q5816" s="2"/>
      <c r="R5816" s="2"/>
    </row>
    <row r="5817" spans="1:18" ht="15.75" customHeight="1" x14ac:dyDescent="0.3">
      <c r="A5817" s="11"/>
      <c r="B5817" s="11"/>
      <c r="D5817" s="21"/>
      <c r="E5817" s="22"/>
      <c r="G5817" s="23"/>
      <c r="H5817" s="24"/>
      <c r="Q5817" s="2"/>
      <c r="R5817" s="2"/>
    </row>
    <row r="5818" spans="1:18" ht="15.75" customHeight="1" x14ac:dyDescent="0.3">
      <c r="A5818" s="11"/>
      <c r="B5818" s="11"/>
      <c r="D5818" s="21"/>
      <c r="E5818" s="22"/>
      <c r="G5818" s="23"/>
      <c r="H5818" s="24"/>
      <c r="Q5818" s="2"/>
      <c r="R5818" s="2"/>
    </row>
    <row r="5819" spans="1:18" ht="15.75" customHeight="1" x14ac:dyDescent="0.3">
      <c r="A5819" s="11"/>
      <c r="B5819" s="11"/>
      <c r="D5819" s="21"/>
      <c r="E5819" s="22"/>
      <c r="G5819" s="23"/>
      <c r="H5819" s="24"/>
      <c r="Q5819" s="2"/>
      <c r="R5819" s="2"/>
    </row>
    <row r="5820" spans="1:18" ht="15.75" customHeight="1" x14ac:dyDescent="0.3">
      <c r="A5820" s="11"/>
      <c r="B5820" s="11"/>
      <c r="D5820" s="21"/>
      <c r="E5820" s="22"/>
      <c r="G5820" s="23"/>
      <c r="H5820" s="24"/>
      <c r="Q5820" s="2"/>
      <c r="R5820" s="2"/>
    </row>
    <row r="5821" spans="1:18" ht="15.75" customHeight="1" x14ac:dyDescent="0.3">
      <c r="A5821" s="11"/>
      <c r="B5821" s="11"/>
      <c r="D5821" s="21"/>
      <c r="E5821" s="22"/>
      <c r="G5821" s="23"/>
      <c r="H5821" s="24"/>
      <c r="Q5821" s="2"/>
      <c r="R5821" s="2"/>
    </row>
    <row r="5822" spans="1:18" ht="15.75" customHeight="1" x14ac:dyDescent="0.3">
      <c r="A5822" s="11"/>
      <c r="B5822" s="11"/>
      <c r="D5822" s="21"/>
      <c r="E5822" s="22"/>
      <c r="G5822" s="23"/>
      <c r="H5822" s="24"/>
      <c r="Q5822" s="2"/>
      <c r="R5822" s="2"/>
    </row>
    <row r="5823" spans="1:18" ht="15.75" customHeight="1" x14ac:dyDescent="0.3">
      <c r="A5823" s="11"/>
      <c r="B5823" s="11"/>
      <c r="D5823" s="21"/>
      <c r="E5823" s="22"/>
      <c r="G5823" s="23"/>
      <c r="H5823" s="24"/>
      <c r="Q5823" s="2"/>
      <c r="R5823" s="2"/>
    </row>
    <row r="5824" spans="1:18" ht="15.75" customHeight="1" x14ac:dyDescent="0.3">
      <c r="A5824" s="11"/>
      <c r="B5824" s="11"/>
      <c r="D5824" s="21"/>
      <c r="E5824" s="22"/>
      <c r="G5824" s="23"/>
      <c r="H5824" s="24"/>
      <c r="Q5824" s="2"/>
      <c r="R5824" s="2"/>
    </row>
    <row r="5825" spans="1:18" ht="15.75" customHeight="1" x14ac:dyDescent="0.3">
      <c r="A5825" s="11"/>
      <c r="B5825" s="11"/>
      <c r="D5825" s="21"/>
      <c r="E5825" s="22"/>
      <c r="G5825" s="23"/>
      <c r="H5825" s="24"/>
      <c r="Q5825" s="2"/>
      <c r="R5825" s="2"/>
    </row>
    <row r="5826" spans="1:18" ht="15.75" customHeight="1" x14ac:dyDescent="0.3">
      <c r="A5826" s="11"/>
      <c r="B5826" s="11"/>
      <c r="D5826" s="21"/>
      <c r="E5826" s="22"/>
      <c r="G5826" s="23"/>
      <c r="H5826" s="24"/>
      <c r="Q5826" s="2"/>
      <c r="R5826" s="2"/>
    </row>
    <row r="5827" spans="1:18" ht="15.75" customHeight="1" x14ac:dyDescent="0.3">
      <c r="A5827" s="11"/>
      <c r="B5827" s="11"/>
      <c r="D5827" s="21"/>
      <c r="E5827" s="22"/>
      <c r="G5827" s="23"/>
      <c r="H5827" s="24"/>
      <c r="Q5827" s="2"/>
      <c r="R5827" s="2"/>
    </row>
    <row r="5828" spans="1:18" ht="15.75" customHeight="1" x14ac:dyDescent="0.3">
      <c r="A5828" s="11"/>
      <c r="B5828" s="11"/>
      <c r="D5828" s="21"/>
      <c r="E5828" s="22"/>
      <c r="G5828" s="23"/>
      <c r="H5828" s="24"/>
      <c r="Q5828" s="2"/>
      <c r="R5828" s="2"/>
    </row>
    <row r="5829" spans="1:18" ht="15.75" customHeight="1" x14ac:dyDescent="0.3">
      <c r="A5829" s="11"/>
      <c r="B5829" s="11"/>
      <c r="D5829" s="21"/>
      <c r="E5829" s="22"/>
      <c r="G5829" s="23"/>
      <c r="H5829" s="24"/>
      <c r="Q5829" s="2"/>
      <c r="R5829" s="2"/>
    </row>
    <row r="5830" spans="1:18" ht="15.75" customHeight="1" x14ac:dyDescent="0.3">
      <c r="A5830" s="11"/>
      <c r="B5830" s="11"/>
      <c r="D5830" s="21"/>
      <c r="E5830" s="22"/>
      <c r="G5830" s="23"/>
      <c r="H5830" s="24"/>
      <c r="Q5830" s="2"/>
      <c r="R5830" s="2"/>
    </row>
    <row r="5831" spans="1:18" ht="15.75" customHeight="1" x14ac:dyDescent="0.3">
      <c r="A5831" s="11"/>
      <c r="B5831" s="11"/>
      <c r="D5831" s="21"/>
      <c r="E5831" s="22"/>
      <c r="G5831" s="23"/>
      <c r="H5831" s="24"/>
      <c r="Q5831" s="2"/>
      <c r="R5831" s="2"/>
    </row>
    <row r="5832" spans="1:18" ht="15.75" customHeight="1" x14ac:dyDescent="0.3">
      <c r="A5832" s="11"/>
      <c r="B5832" s="11"/>
      <c r="D5832" s="21"/>
      <c r="E5832" s="22"/>
      <c r="G5832" s="23"/>
      <c r="H5832" s="24"/>
      <c r="Q5832" s="2"/>
      <c r="R5832" s="2"/>
    </row>
    <row r="5833" spans="1:18" ht="15.75" customHeight="1" x14ac:dyDescent="0.3">
      <c r="A5833" s="11"/>
      <c r="B5833" s="11"/>
      <c r="D5833" s="21"/>
      <c r="E5833" s="22"/>
      <c r="G5833" s="23"/>
      <c r="H5833" s="24"/>
      <c r="Q5833" s="2"/>
      <c r="R5833" s="2"/>
    </row>
    <row r="5834" spans="1:18" ht="15.75" customHeight="1" x14ac:dyDescent="0.3">
      <c r="A5834" s="11"/>
      <c r="B5834" s="11"/>
      <c r="D5834" s="21"/>
      <c r="E5834" s="22"/>
      <c r="G5834" s="23"/>
      <c r="H5834" s="24"/>
      <c r="Q5834" s="2"/>
      <c r="R5834" s="2"/>
    </row>
    <row r="5835" spans="1:18" ht="15.75" customHeight="1" x14ac:dyDescent="0.3">
      <c r="A5835" s="11"/>
      <c r="B5835" s="11"/>
      <c r="D5835" s="21"/>
      <c r="E5835" s="22"/>
      <c r="G5835" s="23"/>
      <c r="H5835" s="24"/>
      <c r="Q5835" s="2"/>
      <c r="R5835" s="2"/>
    </row>
    <row r="5836" spans="1:18" ht="15.75" customHeight="1" x14ac:dyDescent="0.3">
      <c r="A5836" s="11"/>
      <c r="B5836" s="11"/>
      <c r="D5836" s="21"/>
      <c r="E5836" s="22"/>
      <c r="G5836" s="23"/>
      <c r="H5836" s="24"/>
      <c r="Q5836" s="2"/>
      <c r="R5836" s="2"/>
    </row>
    <row r="5837" spans="1:18" ht="15.75" customHeight="1" x14ac:dyDescent="0.3">
      <c r="A5837" s="11"/>
      <c r="B5837" s="11"/>
      <c r="D5837" s="21"/>
      <c r="E5837" s="22"/>
      <c r="G5837" s="23"/>
      <c r="H5837" s="24"/>
      <c r="Q5837" s="2"/>
      <c r="R5837" s="2"/>
    </row>
    <row r="5838" spans="1:18" ht="15.75" customHeight="1" x14ac:dyDescent="0.3">
      <c r="A5838" s="11"/>
      <c r="B5838" s="11"/>
      <c r="D5838" s="21"/>
      <c r="E5838" s="22"/>
      <c r="G5838" s="23"/>
      <c r="H5838" s="24"/>
      <c r="Q5838" s="2"/>
      <c r="R5838" s="2"/>
    </row>
    <row r="5839" spans="1:18" ht="15.75" customHeight="1" x14ac:dyDescent="0.3">
      <c r="A5839" s="11"/>
      <c r="B5839" s="11"/>
      <c r="D5839" s="21"/>
      <c r="E5839" s="22"/>
      <c r="G5839" s="23"/>
      <c r="H5839" s="24"/>
      <c r="Q5839" s="2"/>
      <c r="R5839" s="2"/>
    </row>
    <row r="5840" spans="1:18" ht="15.75" customHeight="1" x14ac:dyDescent="0.3">
      <c r="A5840" s="11"/>
      <c r="B5840" s="11"/>
      <c r="D5840" s="21"/>
      <c r="E5840" s="22"/>
      <c r="G5840" s="23"/>
      <c r="H5840" s="24"/>
      <c r="Q5840" s="2"/>
      <c r="R5840" s="2"/>
    </row>
    <row r="5841" spans="1:18" ht="15.75" customHeight="1" x14ac:dyDescent="0.3">
      <c r="A5841" s="11"/>
      <c r="B5841" s="11"/>
      <c r="D5841" s="21"/>
      <c r="E5841" s="22"/>
      <c r="G5841" s="23"/>
      <c r="H5841" s="24"/>
      <c r="Q5841" s="2"/>
      <c r="R5841" s="2"/>
    </row>
    <row r="5842" spans="1:18" ht="15.75" customHeight="1" x14ac:dyDescent="0.3">
      <c r="A5842" s="11"/>
      <c r="B5842" s="11"/>
      <c r="D5842" s="21"/>
      <c r="E5842" s="22"/>
      <c r="G5842" s="23"/>
      <c r="H5842" s="24"/>
      <c r="Q5842" s="2"/>
      <c r="R5842" s="2"/>
    </row>
    <row r="5843" spans="1:18" ht="15.75" customHeight="1" x14ac:dyDescent="0.3">
      <c r="A5843" s="11"/>
      <c r="B5843" s="11"/>
      <c r="D5843" s="21"/>
      <c r="E5843" s="22"/>
      <c r="G5843" s="23"/>
      <c r="H5843" s="24"/>
      <c r="Q5843" s="2"/>
      <c r="R5843" s="2"/>
    </row>
    <row r="5844" spans="1:18" ht="15.75" customHeight="1" x14ac:dyDescent="0.3">
      <c r="A5844" s="11"/>
      <c r="B5844" s="11"/>
      <c r="D5844" s="21"/>
      <c r="E5844" s="22"/>
      <c r="G5844" s="23"/>
      <c r="H5844" s="24"/>
      <c r="Q5844" s="2"/>
      <c r="R5844" s="2"/>
    </row>
    <row r="5845" spans="1:18" ht="15.75" customHeight="1" x14ac:dyDescent="0.3">
      <c r="A5845" s="11"/>
      <c r="B5845" s="11"/>
      <c r="D5845" s="21"/>
      <c r="E5845" s="22"/>
      <c r="G5845" s="23"/>
      <c r="H5845" s="24"/>
      <c r="Q5845" s="2"/>
      <c r="R5845" s="2"/>
    </row>
    <row r="5846" spans="1:18" ht="15.75" customHeight="1" x14ac:dyDescent="0.3">
      <c r="A5846" s="11"/>
      <c r="B5846" s="11"/>
      <c r="D5846" s="21"/>
      <c r="E5846" s="22"/>
      <c r="G5846" s="23"/>
      <c r="H5846" s="24"/>
      <c r="Q5846" s="2"/>
      <c r="R5846" s="2"/>
    </row>
    <row r="5847" spans="1:18" ht="15.75" customHeight="1" x14ac:dyDescent="0.3">
      <c r="A5847" s="11"/>
      <c r="B5847" s="11"/>
      <c r="D5847" s="21"/>
      <c r="E5847" s="22"/>
      <c r="G5847" s="23"/>
      <c r="H5847" s="24"/>
      <c r="Q5847" s="2"/>
      <c r="R5847" s="2"/>
    </row>
    <row r="5848" spans="1:18" ht="15.75" customHeight="1" x14ac:dyDescent="0.3">
      <c r="A5848" s="11"/>
      <c r="B5848" s="11"/>
      <c r="D5848" s="21"/>
      <c r="E5848" s="22"/>
      <c r="G5848" s="23"/>
      <c r="H5848" s="24"/>
      <c r="Q5848" s="2"/>
      <c r="R5848" s="2"/>
    </row>
    <row r="5849" spans="1:18" ht="15.75" customHeight="1" x14ac:dyDescent="0.3">
      <c r="A5849" s="11"/>
      <c r="B5849" s="11"/>
      <c r="D5849" s="21"/>
      <c r="E5849" s="22"/>
      <c r="G5849" s="23"/>
      <c r="H5849" s="24"/>
      <c r="Q5849" s="2"/>
      <c r="R5849" s="2"/>
    </row>
    <row r="5850" spans="1:18" ht="15.75" customHeight="1" x14ac:dyDescent="0.3">
      <c r="A5850" s="11"/>
      <c r="B5850" s="11"/>
      <c r="D5850" s="21"/>
      <c r="E5850" s="22"/>
      <c r="G5850" s="23"/>
      <c r="H5850" s="24"/>
      <c r="Q5850" s="2"/>
      <c r="R5850" s="2"/>
    </row>
    <row r="5851" spans="1:18" ht="15.75" customHeight="1" x14ac:dyDescent="0.3">
      <c r="A5851" s="11"/>
      <c r="B5851" s="11"/>
      <c r="D5851" s="21"/>
      <c r="E5851" s="22"/>
      <c r="G5851" s="23"/>
      <c r="H5851" s="24"/>
      <c r="Q5851" s="2"/>
      <c r="R5851" s="2"/>
    </row>
    <row r="5852" spans="1:18" ht="15.75" customHeight="1" x14ac:dyDescent="0.3">
      <c r="A5852" s="11"/>
      <c r="B5852" s="11"/>
      <c r="D5852" s="21"/>
      <c r="E5852" s="22"/>
      <c r="G5852" s="23"/>
      <c r="H5852" s="24"/>
      <c r="Q5852" s="2"/>
      <c r="R5852" s="2"/>
    </row>
    <row r="5853" spans="1:18" ht="15.75" customHeight="1" x14ac:dyDescent="0.3">
      <c r="A5853" s="11"/>
      <c r="B5853" s="11"/>
      <c r="D5853" s="21"/>
      <c r="E5853" s="22"/>
      <c r="G5853" s="23"/>
      <c r="H5853" s="24"/>
      <c r="Q5853" s="2"/>
      <c r="R5853" s="2"/>
    </row>
    <row r="5854" spans="1:18" ht="15.75" customHeight="1" x14ac:dyDescent="0.3">
      <c r="A5854" s="11"/>
      <c r="B5854" s="11"/>
      <c r="D5854" s="21"/>
      <c r="E5854" s="22"/>
      <c r="G5854" s="23"/>
      <c r="H5854" s="24"/>
      <c r="Q5854" s="2"/>
      <c r="R5854" s="2"/>
    </row>
    <row r="5855" spans="1:18" ht="15.75" customHeight="1" x14ac:dyDescent="0.3">
      <c r="A5855" s="11"/>
      <c r="B5855" s="11"/>
      <c r="D5855" s="21"/>
      <c r="E5855" s="22"/>
      <c r="G5855" s="23"/>
      <c r="H5855" s="24"/>
      <c r="Q5855" s="2"/>
      <c r="R5855" s="2"/>
    </row>
    <row r="5856" spans="1:18" ht="15.75" customHeight="1" x14ac:dyDescent="0.3">
      <c r="A5856" s="11"/>
      <c r="B5856" s="11"/>
      <c r="D5856" s="21"/>
      <c r="E5856" s="22"/>
      <c r="G5856" s="23"/>
      <c r="H5856" s="24"/>
      <c r="Q5856" s="2"/>
      <c r="R5856" s="2"/>
    </row>
    <row r="5857" spans="1:18" ht="15.75" customHeight="1" x14ac:dyDescent="0.3">
      <c r="A5857" s="11"/>
      <c r="B5857" s="11"/>
      <c r="D5857" s="21"/>
      <c r="E5857" s="22"/>
      <c r="G5857" s="23"/>
      <c r="H5857" s="24"/>
      <c r="Q5857" s="2"/>
      <c r="R5857" s="2"/>
    </row>
    <row r="5858" spans="1:18" ht="15.75" customHeight="1" x14ac:dyDescent="0.3">
      <c r="A5858" s="11"/>
      <c r="B5858" s="11"/>
      <c r="D5858" s="21"/>
      <c r="E5858" s="22"/>
      <c r="G5858" s="23"/>
      <c r="H5858" s="24"/>
      <c r="Q5858" s="2"/>
      <c r="R5858" s="2"/>
    </row>
    <row r="5859" spans="1:18" ht="15.75" customHeight="1" x14ac:dyDescent="0.3">
      <c r="A5859" s="11"/>
      <c r="B5859" s="11"/>
      <c r="D5859" s="21"/>
      <c r="E5859" s="22"/>
      <c r="G5859" s="23"/>
      <c r="H5859" s="24"/>
      <c r="Q5859" s="2"/>
      <c r="R5859" s="2"/>
    </row>
    <row r="5860" spans="1:18" ht="15.75" customHeight="1" x14ac:dyDescent="0.3">
      <c r="A5860" s="11"/>
      <c r="B5860" s="11"/>
      <c r="D5860" s="21"/>
      <c r="E5860" s="22"/>
      <c r="G5860" s="23"/>
      <c r="H5860" s="24"/>
      <c r="Q5860" s="2"/>
      <c r="R5860" s="2"/>
    </row>
    <row r="5861" spans="1:18" ht="15.75" customHeight="1" x14ac:dyDescent="0.3">
      <c r="A5861" s="11"/>
      <c r="B5861" s="11"/>
      <c r="D5861" s="21"/>
      <c r="E5861" s="22"/>
      <c r="G5861" s="23"/>
      <c r="H5861" s="24"/>
      <c r="Q5861" s="2"/>
      <c r="R5861" s="2"/>
    </row>
    <row r="5862" spans="1:18" ht="15.75" customHeight="1" x14ac:dyDescent="0.3">
      <c r="A5862" s="11"/>
      <c r="B5862" s="11"/>
      <c r="D5862" s="21"/>
      <c r="E5862" s="22"/>
      <c r="G5862" s="23"/>
      <c r="H5862" s="24"/>
      <c r="Q5862" s="2"/>
      <c r="R5862" s="2"/>
    </row>
    <row r="5863" spans="1:18" ht="15.75" customHeight="1" x14ac:dyDescent="0.3">
      <c r="A5863" s="11"/>
      <c r="B5863" s="11"/>
      <c r="D5863" s="21"/>
      <c r="E5863" s="22"/>
      <c r="G5863" s="23"/>
      <c r="H5863" s="24"/>
      <c r="Q5863" s="2"/>
      <c r="R5863" s="2"/>
    </row>
    <row r="5864" spans="1:18" ht="15.75" customHeight="1" x14ac:dyDescent="0.3">
      <c r="A5864" s="11"/>
      <c r="B5864" s="11"/>
      <c r="D5864" s="21"/>
      <c r="E5864" s="22"/>
      <c r="G5864" s="23"/>
      <c r="H5864" s="24"/>
      <c r="Q5864" s="2"/>
      <c r="R5864" s="2"/>
    </row>
    <row r="5865" spans="1:18" ht="15.75" customHeight="1" x14ac:dyDescent="0.3">
      <c r="A5865" s="11"/>
      <c r="B5865" s="11"/>
      <c r="D5865" s="21"/>
      <c r="E5865" s="22"/>
      <c r="G5865" s="23"/>
      <c r="H5865" s="24"/>
      <c r="Q5865" s="2"/>
      <c r="R5865" s="2"/>
    </row>
    <row r="5866" spans="1:18" ht="15.75" customHeight="1" x14ac:dyDescent="0.3">
      <c r="A5866" s="11"/>
      <c r="B5866" s="11"/>
      <c r="D5866" s="21"/>
      <c r="E5866" s="22"/>
      <c r="G5866" s="23"/>
      <c r="H5866" s="24"/>
      <c r="Q5866" s="2"/>
      <c r="R5866" s="2"/>
    </row>
    <row r="5867" spans="1:18" ht="15.75" customHeight="1" x14ac:dyDescent="0.3">
      <c r="A5867" s="11"/>
      <c r="B5867" s="11"/>
      <c r="D5867" s="21"/>
      <c r="E5867" s="22"/>
      <c r="G5867" s="23"/>
      <c r="H5867" s="24"/>
      <c r="Q5867" s="2"/>
      <c r="R5867" s="2"/>
    </row>
    <row r="5868" spans="1:18" ht="15.75" customHeight="1" x14ac:dyDescent="0.3">
      <c r="A5868" s="11"/>
      <c r="B5868" s="11"/>
      <c r="D5868" s="21"/>
      <c r="E5868" s="22"/>
      <c r="G5868" s="23"/>
      <c r="H5868" s="24"/>
      <c r="Q5868" s="2"/>
      <c r="R5868" s="2"/>
    </row>
    <row r="5869" spans="1:18" ht="15.75" customHeight="1" x14ac:dyDescent="0.3">
      <c r="A5869" s="11"/>
      <c r="B5869" s="11"/>
      <c r="D5869" s="21"/>
      <c r="E5869" s="22"/>
      <c r="G5869" s="23"/>
      <c r="H5869" s="24"/>
      <c r="Q5869" s="2"/>
      <c r="R5869" s="2"/>
    </row>
    <row r="5870" spans="1:18" ht="15.75" customHeight="1" x14ac:dyDescent="0.3">
      <c r="A5870" s="11"/>
      <c r="B5870" s="11"/>
      <c r="D5870" s="21"/>
      <c r="E5870" s="22"/>
      <c r="G5870" s="23"/>
      <c r="H5870" s="24"/>
      <c r="Q5870" s="2"/>
      <c r="R5870" s="2"/>
    </row>
    <row r="5871" spans="1:18" ht="15.75" customHeight="1" x14ac:dyDescent="0.3">
      <c r="A5871" s="11"/>
      <c r="B5871" s="11"/>
      <c r="D5871" s="21"/>
      <c r="E5871" s="22"/>
      <c r="G5871" s="23"/>
      <c r="H5871" s="24"/>
      <c r="Q5871" s="2"/>
      <c r="R5871" s="2"/>
    </row>
    <row r="5872" spans="1:18" ht="15.75" customHeight="1" x14ac:dyDescent="0.3">
      <c r="A5872" s="11"/>
      <c r="B5872" s="11"/>
      <c r="D5872" s="21"/>
      <c r="E5872" s="22"/>
      <c r="G5872" s="23"/>
      <c r="H5872" s="24"/>
      <c r="Q5872" s="2"/>
      <c r="R5872" s="2"/>
    </row>
    <row r="5873" spans="1:18" ht="15.75" customHeight="1" x14ac:dyDescent="0.3">
      <c r="A5873" s="11"/>
      <c r="B5873" s="11"/>
      <c r="D5873" s="21"/>
      <c r="E5873" s="22"/>
      <c r="G5873" s="23"/>
      <c r="H5873" s="24"/>
      <c r="Q5873" s="2"/>
      <c r="R5873" s="2"/>
    </row>
    <row r="5874" spans="1:18" ht="15.75" customHeight="1" x14ac:dyDescent="0.3">
      <c r="A5874" s="11"/>
      <c r="B5874" s="11"/>
      <c r="D5874" s="21"/>
      <c r="E5874" s="22"/>
      <c r="G5874" s="23"/>
      <c r="H5874" s="24"/>
      <c r="Q5874" s="2"/>
      <c r="R5874" s="2"/>
    </row>
    <row r="5875" spans="1:18" ht="15.75" customHeight="1" x14ac:dyDescent="0.3">
      <c r="A5875" s="11"/>
      <c r="B5875" s="11"/>
      <c r="D5875" s="21"/>
      <c r="E5875" s="22"/>
      <c r="G5875" s="23"/>
      <c r="H5875" s="24"/>
      <c r="Q5875" s="2"/>
      <c r="R5875" s="2"/>
    </row>
    <row r="5876" spans="1:18" ht="15.75" customHeight="1" x14ac:dyDescent="0.3">
      <c r="A5876" s="11"/>
      <c r="B5876" s="11"/>
      <c r="D5876" s="21"/>
      <c r="E5876" s="22"/>
      <c r="G5876" s="23"/>
      <c r="H5876" s="24"/>
      <c r="Q5876" s="2"/>
      <c r="R5876" s="2"/>
    </row>
    <row r="5877" spans="1:18" ht="15.75" customHeight="1" x14ac:dyDescent="0.3">
      <c r="A5877" s="11"/>
      <c r="B5877" s="11"/>
      <c r="D5877" s="21"/>
      <c r="E5877" s="22"/>
      <c r="G5877" s="23"/>
      <c r="H5877" s="24"/>
      <c r="Q5877" s="2"/>
      <c r="R5877" s="2"/>
    </row>
    <row r="5878" spans="1:18" ht="15.75" customHeight="1" x14ac:dyDescent="0.3">
      <c r="A5878" s="11"/>
      <c r="B5878" s="11"/>
      <c r="D5878" s="21"/>
      <c r="E5878" s="22"/>
      <c r="G5878" s="23"/>
      <c r="H5878" s="24"/>
      <c r="Q5878" s="2"/>
      <c r="R5878" s="2"/>
    </row>
    <row r="5879" spans="1:18" ht="15.75" customHeight="1" x14ac:dyDescent="0.3">
      <c r="A5879" s="11"/>
      <c r="B5879" s="11"/>
      <c r="D5879" s="21"/>
      <c r="E5879" s="22"/>
      <c r="G5879" s="23"/>
      <c r="H5879" s="24"/>
      <c r="Q5879" s="2"/>
      <c r="R5879" s="2"/>
    </row>
    <row r="5880" spans="1:18" ht="15.75" customHeight="1" x14ac:dyDescent="0.3">
      <c r="A5880" s="11"/>
      <c r="B5880" s="11"/>
      <c r="D5880" s="21"/>
      <c r="E5880" s="22"/>
      <c r="G5880" s="23"/>
      <c r="H5880" s="24"/>
      <c r="Q5880" s="2"/>
      <c r="R5880" s="2"/>
    </row>
    <row r="5881" spans="1:18" ht="15.75" customHeight="1" x14ac:dyDescent="0.3">
      <c r="A5881" s="11"/>
      <c r="B5881" s="11"/>
      <c r="D5881" s="21"/>
      <c r="E5881" s="22"/>
      <c r="G5881" s="23"/>
      <c r="H5881" s="24"/>
      <c r="Q5881" s="2"/>
      <c r="R5881" s="2"/>
    </row>
    <row r="5882" spans="1:18" ht="15.75" customHeight="1" x14ac:dyDescent="0.3">
      <c r="A5882" s="11"/>
      <c r="B5882" s="11"/>
      <c r="D5882" s="21"/>
      <c r="E5882" s="22"/>
      <c r="G5882" s="23"/>
      <c r="H5882" s="24"/>
      <c r="Q5882" s="2"/>
      <c r="R5882" s="2"/>
    </row>
    <row r="5883" spans="1:18" ht="15.75" customHeight="1" x14ac:dyDescent="0.3">
      <c r="A5883" s="11"/>
      <c r="B5883" s="11"/>
      <c r="D5883" s="21"/>
      <c r="E5883" s="22"/>
      <c r="G5883" s="23"/>
      <c r="H5883" s="24"/>
      <c r="Q5883" s="2"/>
      <c r="R5883" s="2"/>
    </row>
    <row r="5884" spans="1:18" ht="15.75" customHeight="1" x14ac:dyDescent="0.3">
      <c r="A5884" s="11"/>
      <c r="B5884" s="11"/>
      <c r="D5884" s="21"/>
      <c r="E5884" s="22"/>
      <c r="G5884" s="23"/>
      <c r="H5884" s="24"/>
      <c r="Q5884" s="2"/>
      <c r="R5884" s="2"/>
    </row>
    <row r="5885" spans="1:18" ht="15.75" customHeight="1" x14ac:dyDescent="0.3">
      <c r="A5885" s="11"/>
      <c r="B5885" s="11"/>
      <c r="D5885" s="21"/>
      <c r="E5885" s="22"/>
      <c r="G5885" s="23"/>
      <c r="H5885" s="24"/>
      <c r="Q5885" s="2"/>
      <c r="R5885" s="2"/>
    </row>
    <row r="5886" spans="1:18" ht="15.75" customHeight="1" x14ac:dyDescent="0.3">
      <c r="A5886" s="11"/>
      <c r="B5886" s="11"/>
      <c r="D5886" s="21"/>
      <c r="E5886" s="22"/>
      <c r="G5886" s="23"/>
      <c r="H5886" s="24"/>
      <c r="Q5886" s="2"/>
      <c r="R5886" s="2"/>
    </row>
    <row r="5887" spans="1:18" ht="15.75" customHeight="1" x14ac:dyDescent="0.3">
      <c r="A5887" s="11"/>
      <c r="B5887" s="11"/>
      <c r="D5887" s="21"/>
      <c r="E5887" s="22"/>
      <c r="G5887" s="23"/>
      <c r="H5887" s="24"/>
      <c r="Q5887" s="2"/>
      <c r="R5887" s="2"/>
    </row>
    <row r="5888" spans="1:18" ht="15.75" customHeight="1" x14ac:dyDescent="0.3">
      <c r="A5888" s="11"/>
      <c r="B5888" s="11"/>
      <c r="D5888" s="21"/>
      <c r="E5888" s="22"/>
      <c r="G5888" s="23"/>
      <c r="H5888" s="24"/>
      <c r="Q5888" s="2"/>
      <c r="R5888" s="2"/>
    </row>
    <row r="5889" spans="1:18" ht="15.75" customHeight="1" x14ac:dyDescent="0.3">
      <c r="A5889" s="11"/>
      <c r="B5889" s="11"/>
      <c r="D5889" s="21"/>
      <c r="E5889" s="22"/>
      <c r="G5889" s="23"/>
      <c r="H5889" s="24"/>
      <c r="Q5889" s="2"/>
      <c r="R5889" s="2"/>
    </row>
    <row r="5890" spans="1:18" ht="15.75" customHeight="1" x14ac:dyDescent="0.3">
      <c r="A5890" s="11"/>
      <c r="B5890" s="11"/>
      <c r="D5890" s="21"/>
      <c r="E5890" s="22"/>
      <c r="G5890" s="23"/>
      <c r="H5890" s="24"/>
      <c r="Q5890" s="2"/>
      <c r="R5890" s="2"/>
    </row>
    <row r="5891" spans="1:18" ht="15.75" customHeight="1" x14ac:dyDescent="0.3">
      <c r="A5891" s="11"/>
      <c r="B5891" s="11"/>
      <c r="D5891" s="21"/>
      <c r="E5891" s="22"/>
      <c r="G5891" s="23"/>
      <c r="H5891" s="24"/>
      <c r="Q5891" s="2"/>
      <c r="R5891" s="2"/>
    </row>
    <row r="5892" spans="1:18" ht="15.75" customHeight="1" x14ac:dyDescent="0.3">
      <c r="A5892" s="11"/>
      <c r="B5892" s="11"/>
      <c r="D5892" s="21"/>
      <c r="E5892" s="22"/>
      <c r="G5892" s="23"/>
      <c r="H5892" s="24"/>
      <c r="Q5892" s="2"/>
      <c r="R5892" s="2"/>
    </row>
    <row r="5893" spans="1:18" ht="15.75" customHeight="1" x14ac:dyDescent="0.3">
      <c r="A5893" s="11"/>
      <c r="B5893" s="11"/>
      <c r="D5893" s="21"/>
      <c r="E5893" s="22"/>
      <c r="G5893" s="23"/>
      <c r="H5893" s="24"/>
      <c r="Q5893" s="2"/>
      <c r="R5893" s="2"/>
    </row>
    <row r="5894" spans="1:18" ht="15.75" customHeight="1" x14ac:dyDescent="0.3">
      <c r="A5894" s="11"/>
      <c r="B5894" s="11"/>
      <c r="D5894" s="21"/>
      <c r="E5894" s="22"/>
      <c r="G5894" s="23"/>
      <c r="H5894" s="24"/>
      <c r="Q5894" s="2"/>
      <c r="R5894" s="2"/>
    </row>
    <row r="5895" spans="1:18" ht="15.75" customHeight="1" x14ac:dyDescent="0.3">
      <c r="A5895" s="11"/>
      <c r="B5895" s="11"/>
      <c r="D5895" s="21"/>
      <c r="E5895" s="22"/>
      <c r="G5895" s="23"/>
      <c r="H5895" s="24"/>
      <c r="Q5895" s="2"/>
      <c r="R5895" s="2"/>
    </row>
    <row r="5896" spans="1:18" ht="15.75" customHeight="1" x14ac:dyDescent="0.3">
      <c r="A5896" s="11"/>
      <c r="B5896" s="11"/>
      <c r="D5896" s="21"/>
      <c r="E5896" s="22"/>
      <c r="G5896" s="23"/>
      <c r="H5896" s="24"/>
      <c r="Q5896" s="2"/>
      <c r="R5896" s="2"/>
    </row>
    <row r="5897" spans="1:18" ht="15.75" customHeight="1" x14ac:dyDescent="0.3">
      <c r="A5897" s="11"/>
      <c r="B5897" s="11"/>
      <c r="D5897" s="21"/>
      <c r="E5897" s="22"/>
      <c r="G5897" s="23"/>
      <c r="H5897" s="24"/>
      <c r="Q5897" s="2"/>
      <c r="R5897" s="2"/>
    </row>
    <row r="5898" spans="1:18" ht="15.75" customHeight="1" x14ac:dyDescent="0.3">
      <c r="A5898" s="11"/>
      <c r="B5898" s="11"/>
      <c r="D5898" s="21"/>
      <c r="E5898" s="22"/>
      <c r="G5898" s="23"/>
      <c r="H5898" s="24"/>
      <c r="Q5898" s="2"/>
      <c r="R5898" s="2"/>
    </row>
    <row r="5899" spans="1:18" ht="15.75" customHeight="1" x14ac:dyDescent="0.3">
      <c r="A5899" s="11"/>
      <c r="B5899" s="11"/>
      <c r="D5899" s="21"/>
      <c r="E5899" s="22"/>
      <c r="G5899" s="23"/>
      <c r="H5899" s="24"/>
      <c r="Q5899" s="2"/>
      <c r="R5899" s="2"/>
    </row>
    <row r="5900" spans="1:18" ht="15.75" customHeight="1" x14ac:dyDescent="0.3">
      <c r="A5900" s="11"/>
      <c r="B5900" s="11"/>
      <c r="D5900" s="21"/>
      <c r="E5900" s="22"/>
      <c r="G5900" s="23"/>
      <c r="H5900" s="24"/>
      <c r="Q5900" s="2"/>
      <c r="R5900" s="2"/>
    </row>
    <row r="5901" spans="1:18" ht="15.75" customHeight="1" x14ac:dyDescent="0.3">
      <c r="A5901" s="11"/>
      <c r="B5901" s="11"/>
      <c r="D5901" s="21"/>
      <c r="E5901" s="22"/>
      <c r="G5901" s="23"/>
      <c r="H5901" s="24"/>
      <c r="Q5901" s="2"/>
      <c r="R5901" s="2"/>
    </row>
    <row r="5902" spans="1:18" ht="15.75" customHeight="1" x14ac:dyDescent="0.3">
      <c r="A5902" s="11"/>
      <c r="B5902" s="11"/>
      <c r="D5902" s="21"/>
      <c r="E5902" s="22"/>
      <c r="G5902" s="23"/>
      <c r="H5902" s="24"/>
      <c r="Q5902" s="2"/>
      <c r="R5902" s="2"/>
    </row>
    <row r="5903" spans="1:18" ht="15.75" customHeight="1" x14ac:dyDescent="0.3">
      <c r="A5903" s="11"/>
      <c r="B5903" s="11"/>
      <c r="D5903" s="21"/>
      <c r="E5903" s="22"/>
      <c r="G5903" s="23"/>
      <c r="H5903" s="24"/>
      <c r="Q5903" s="2"/>
      <c r="R5903" s="2"/>
    </row>
    <row r="5904" spans="1:18" ht="15.75" customHeight="1" x14ac:dyDescent="0.3">
      <c r="A5904" s="11"/>
      <c r="B5904" s="11"/>
      <c r="D5904" s="21"/>
      <c r="E5904" s="22"/>
      <c r="G5904" s="23"/>
      <c r="H5904" s="24"/>
      <c r="Q5904" s="2"/>
      <c r="R5904" s="2"/>
    </row>
    <row r="5905" spans="1:18" ht="15.75" customHeight="1" x14ac:dyDescent="0.3">
      <c r="A5905" s="11"/>
      <c r="B5905" s="11"/>
      <c r="D5905" s="21"/>
      <c r="E5905" s="22"/>
      <c r="G5905" s="23"/>
      <c r="H5905" s="24"/>
      <c r="Q5905" s="2"/>
      <c r="R5905" s="2"/>
    </row>
    <row r="5906" spans="1:18" ht="15.75" customHeight="1" x14ac:dyDescent="0.3">
      <c r="A5906" s="11"/>
      <c r="B5906" s="11"/>
      <c r="D5906" s="21"/>
      <c r="E5906" s="22"/>
      <c r="G5906" s="23"/>
      <c r="H5906" s="24"/>
      <c r="Q5906" s="2"/>
      <c r="R5906" s="2"/>
    </row>
    <row r="5907" spans="1:18" ht="15.75" customHeight="1" x14ac:dyDescent="0.3">
      <c r="A5907" s="11"/>
      <c r="B5907" s="11"/>
      <c r="D5907" s="21"/>
      <c r="E5907" s="22"/>
      <c r="G5907" s="23"/>
      <c r="H5907" s="24"/>
      <c r="Q5907" s="2"/>
      <c r="R5907" s="2"/>
    </row>
    <row r="5908" spans="1:18" ht="15.75" customHeight="1" x14ac:dyDescent="0.3">
      <c r="A5908" s="11"/>
      <c r="B5908" s="11"/>
      <c r="D5908" s="21"/>
      <c r="E5908" s="22"/>
      <c r="G5908" s="23"/>
      <c r="H5908" s="24"/>
      <c r="Q5908" s="2"/>
      <c r="R5908" s="2"/>
    </row>
    <row r="5909" spans="1:18" ht="15.75" customHeight="1" x14ac:dyDescent="0.3">
      <c r="A5909" s="11"/>
      <c r="B5909" s="11"/>
      <c r="D5909" s="21"/>
      <c r="E5909" s="22"/>
      <c r="G5909" s="23"/>
      <c r="H5909" s="24"/>
      <c r="Q5909" s="2"/>
      <c r="R5909" s="2"/>
    </row>
    <row r="5910" spans="1:18" ht="15.75" customHeight="1" x14ac:dyDescent="0.3">
      <c r="A5910" s="11"/>
      <c r="B5910" s="11"/>
      <c r="D5910" s="21"/>
      <c r="E5910" s="22"/>
      <c r="G5910" s="23"/>
      <c r="H5910" s="24"/>
      <c r="Q5910" s="2"/>
      <c r="R5910" s="2"/>
    </row>
    <row r="5911" spans="1:18" ht="15.75" customHeight="1" x14ac:dyDescent="0.3">
      <c r="A5911" s="11"/>
      <c r="B5911" s="11"/>
      <c r="D5911" s="21"/>
      <c r="E5911" s="22"/>
      <c r="G5911" s="23"/>
      <c r="H5911" s="24"/>
      <c r="Q5911" s="2"/>
      <c r="R5911" s="2"/>
    </row>
    <row r="5912" spans="1:18" ht="15.75" customHeight="1" x14ac:dyDescent="0.3">
      <c r="A5912" s="11"/>
      <c r="B5912" s="11"/>
      <c r="D5912" s="21"/>
      <c r="E5912" s="22"/>
      <c r="G5912" s="23"/>
      <c r="H5912" s="24"/>
      <c r="Q5912" s="2"/>
      <c r="R5912" s="2"/>
    </row>
    <row r="5913" spans="1:18" ht="15.75" customHeight="1" x14ac:dyDescent="0.3">
      <c r="A5913" s="11"/>
      <c r="B5913" s="11"/>
      <c r="D5913" s="21"/>
      <c r="E5913" s="22"/>
      <c r="G5913" s="23"/>
      <c r="H5913" s="24"/>
      <c r="Q5913" s="2"/>
      <c r="R5913" s="2"/>
    </row>
    <row r="5914" spans="1:18" ht="15.75" customHeight="1" x14ac:dyDescent="0.3">
      <c r="A5914" s="11"/>
      <c r="B5914" s="11"/>
      <c r="D5914" s="21"/>
      <c r="E5914" s="22"/>
      <c r="G5914" s="23"/>
      <c r="H5914" s="24"/>
      <c r="Q5914" s="2"/>
      <c r="R5914" s="2"/>
    </row>
    <row r="5915" spans="1:18" ht="15.75" customHeight="1" x14ac:dyDescent="0.3">
      <c r="A5915" s="11"/>
      <c r="B5915" s="11"/>
      <c r="D5915" s="21"/>
      <c r="E5915" s="22"/>
      <c r="G5915" s="23"/>
      <c r="H5915" s="24"/>
      <c r="Q5915" s="2"/>
      <c r="R5915" s="2"/>
    </row>
    <row r="5916" spans="1:18" ht="15.75" customHeight="1" x14ac:dyDescent="0.3">
      <c r="A5916" s="11"/>
      <c r="B5916" s="11"/>
      <c r="D5916" s="21"/>
      <c r="E5916" s="22"/>
      <c r="G5916" s="23"/>
      <c r="H5916" s="24"/>
      <c r="Q5916" s="2"/>
      <c r="R5916" s="2"/>
    </row>
    <row r="5917" spans="1:18" ht="15.75" customHeight="1" x14ac:dyDescent="0.3">
      <c r="A5917" s="11"/>
      <c r="B5917" s="11"/>
      <c r="D5917" s="21"/>
      <c r="E5917" s="22"/>
      <c r="G5917" s="23"/>
      <c r="H5917" s="24"/>
      <c r="Q5917" s="2"/>
      <c r="R5917" s="2"/>
    </row>
    <row r="5918" spans="1:18" ht="15.75" customHeight="1" x14ac:dyDescent="0.3">
      <c r="A5918" s="11"/>
      <c r="B5918" s="11"/>
      <c r="D5918" s="21"/>
      <c r="E5918" s="22"/>
      <c r="G5918" s="23"/>
      <c r="H5918" s="24"/>
      <c r="Q5918" s="2"/>
      <c r="R5918" s="2"/>
    </row>
    <row r="5919" spans="1:18" ht="15.75" customHeight="1" x14ac:dyDescent="0.3">
      <c r="A5919" s="11"/>
      <c r="B5919" s="11"/>
      <c r="D5919" s="21"/>
      <c r="E5919" s="22"/>
      <c r="G5919" s="23"/>
      <c r="H5919" s="24"/>
      <c r="Q5919" s="2"/>
      <c r="R5919" s="2"/>
    </row>
    <row r="5920" spans="1:18" ht="15.75" customHeight="1" x14ac:dyDescent="0.3">
      <c r="A5920" s="11"/>
      <c r="B5920" s="11"/>
      <c r="D5920" s="21"/>
      <c r="E5920" s="22"/>
      <c r="G5920" s="23"/>
      <c r="H5920" s="24"/>
      <c r="Q5920" s="2"/>
      <c r="R5920" s="2"/>
    </row>
    <row r="5921" spans="1:18" ht="15.75" customHeight="1" x14ac:dyDescent="0.3">
      <c r="A5921" s="11"/>
      <c r="B5921" s="11"/>
      <c r="D5921" s="21"/>
      <c r="E5921" s="22"/>
      <c r="G5921" s="23"/>
      <c r="H5921" s="24"/>
      <c r="Q5921" s="2"/>
      <c r="R5921" s="2"/>
    </row>
    <row r="5922" spans="1:18" ht="15.75" customHeight="1" x14ac:dyDescent="0.3">
      <c r="A5922" s="11"/>
      <c r="B5922" s="11"/>
      <c r="D5922" s="21"/>
      <c r="E5922" s="22"/>
      <c r="G5922" s="23"/>
      <c r="H5922" s="24"/>
      <c r="Q5922" s="2"/>
      <c r="R5922" s="2"/>
    </row>
    <row r="5923" spans="1:18" ht="15.75" customHeight="1" x14ac:dyDescent="0.3">
      <c r="A5923" s="11"/>
      <c r="B5923" s="11"/>
      <c r="D5923" s="21"/>
      <c r="E5923" s="22"/>
      <c r="G5923" s="23"/>
      <c r="H5923" s="24"/>
      <c r="Q5923" s="2"/>
      <c r="R5923" s="2"/>
    </row>
    <row r="5924" spans="1:18" ht="15.75" customHeight="1" x14ac:dyDescent="0.3">
      <c r="A5924" s="11"/>
      <c r="B5924" s="11"/>
      <c r="D5924" s="21"/>
      <c r="E5924" s="22"/>
      <c r="G5924" s="23"/>
      <c r="H5924" s="24"/>
      <c r="Q5924" s="2"/>
      <c r="R5924" s="2"/>
    </row>
    <row r="5925" spans="1:18" ht="15.75" customHeight="1" x14ac:dyDescent="0.3">
      <c r="A5925" s="11"/>
      <c r="B5925" s="11"/>
      <c r="D5925" s="21"/>
      <c r="E5925" s="22"/>
      <c r="G5925" s="23"/>
      <c r="H5925" s="24"/>
      <c r="Q5925" s="2"/>
      <c r="R5925" s="2"/>
    </row>
    <row r="5926" spans="1:18" ht="15.75" customHeight="1" x14ac:dyDescent="0.3">
      <c r="A5926" s="11"/>
      <c r="B5926" s="11"/>
      <c r="D5926" s="21"/>
      <c r="E5926" s="22"/>
      <c r="G5926" s="23"/>
      <c r="H5926" s="24"/>
      <c r="Q5926" s="2"/>
      <c r="R5926" s="2"/>
    </row>
    <row r="5927" spans="1:18" ht="15.75" customHeight="1" x14ac:dyDescent="0.3">
      <c r="A5927" s="11"/>
      <c r="B5927" s="11"/>
      <c r="D5927" s="21"/>
      <c r="E5927" s="22"/>
      <c r="G5927" s="23"/>
      <c r="H5927" s="24"/>
      <c r="Q5927" s="2"/>
      <c r="R5927" s="2"/>
    </row>
    <row r="5928" spans="1:18" ht="15.75" customHeight="1" x14ac:dyDescent="0.3">
      <c r="A5928" s="11"/>
      <c r="B5928" s="11"/>
      <c r="D5928" s="21"/>
      <c r="E5928" s="22"/>
      <c r="G5928" s="23"/>
      <c r="H5928" s="24"/>
      <c r="Q5928" s="2"/>
      <c r="R5928" s="2"/>
    </row>
    <row r="5929" spans="1:18" ht="15.75" customHeight="1" x14ac:dyDescent="0.3">
      <c r="A5929" s="11"/>
      <c r="B5929" s="11"/>
      <c r="D5929" s="21"/>
      <c r="E5929" s="22"/>
      <c r="G5929" s="23"/>
      <c r="H5929" s="24"/>
      <c r="Q5929" s="2"/>
      <c r="R5929" s="2"/>
    </row>
    <row r="5930" spans="1:18" ht="15.75" customHeight="1" x14ac:dyDescent="0.3">
      <c r="A5930" s="11"/>
      <c r="B5930" s="11"/>
      <c r="D5930" s="21"/>
      <c r="E5930" s="22"/>
      <c r="G5930" s="23"/>
      <c r="H5930" s="24"/>
      <c r="Q5930" s="2"/>
      <c r="R5930" s="2"/>
    </row>
    <row r="5931" spans="1:18" ht="15.75" customHeight="1" x14ac:dyDescent="0.3">
      <c r="A5931" s="11"/>
      <c r="B5931" s="11"/>
      <c r="D5931" s="21"/>
      <c r="E5931" s="22"/>
      <c r="G5931" s="23"/>
      <c r="H5931" s="24"/>
      <c r="Q5931" s="2"/>
      <c r="R5931" s="2"/>
    </row>
    <row r="5932" spans="1:18" ht="15.75" customHeight="1" x14ac:dyDescent="0.3">
      <c r="A5932" s="11"/>
      <c r="B5932" s="11"/>
      <c r="D5932" s="21"/>
      <c r="E5932" s="22"/>
      <c r="G5932" s="23"/>
      <c r="H5932" s="24"/>
      <c r="Q5932" s="2"/>
      <c r="R5932" s="2"/>
    </row>
    <row r="5933" spans="1:18" ht="15.75" customHeight="1" x14ac:dyDescent="0.3">
      <c r="A5933" s="11"/>
      <c r="B5933" s="11"/>
      <c r="D5933" s="21"/>
      <c r="E5933" s="22"/>
      <c r="G5933" s="23"/>
      <c r="H5933" s="24"/>
      <c r="Q5933" s="2"/>
      <c r="R5933" s="2"/>
    </row>
    <row r="5934" spans="1:18" ht="15.75" customHeight="1" x14ac:dyDescent="0.3">
      <c r="A5934" s="11"/>
      <c r="B5934" s="11"/>
      <c r="D5934" s="21"/>
      <c r="E5934" s="22"/>
      <c r="G5934" s="23"/>
      <c r="H5934" s="24"/>
      <c r="Q5934" s="2"/>
      <c r="R5934" s="2"/>
    </row>
    <row r="5935" spans="1:18" ht="15.75" customHeight="1" x14ac:dyDescent="0.3">
      <c r="A5935" s="11"/>
      <c r="B5935" s="11"/>
      <c r="D5935" s="21"/>
      <c r="E5935" s="22"/>
      <c r="G5935" s="23"/>
      <c r="H5935" s="24"/>
      <c r="Q5935" s="2"/>
      <c r="R5935" s="2"/>
    </row>
    <row r="5936" spans="1:18" ht="15.75" customHeight="1" x14ac:dyDescent="0.3">
      <c r="A5936" s="11"/>
      <c r="B5936" s="11"/>
      <c r="D5936" s="21"/>
      <c r="E5936" s="22"/>
      <c r="G5936" s="23"/>
      <c r="H5936" s="24"/>
      <c r="Q5936" s="2"/>
      <c r="R5936" s="2"/>
    </row>
    <row r="5937" spans="1:18" ht="15.75" customHeight="1" x14ac:dyDescent="0.3">
      <c r="A5937" s="11"/>
      <c r="B5937" s="11"/>
      <c r="D5937" s="21"/>
      <c r="E5937" s="22"/>
      <c r="G5937" s="23"/>
      <c r="H5937" s="24"/>
      <c r="Q5937" s="2"/>
      <c r="R5937" s="2"/>
    </row>
    <row r="5938" spans="1:18" ht="15.75" customHeight="1" x14ac:dyDescent="0.3">
      <c r="A5938" s="11"/>
      <c r="B5938" s="11"/>
      <c r="D5938" s="21"/>
      <c r="E5938" s="22"/>
      <c r="G5938" s="23"/>
      <c r="H5938" s="24"/>
      <c r="Q5938" s="2"/>
      <c r="R5938" s="2"/>
    </row>
    <row r="5939" spans="1:18" ht="15.75" customHeight="1" x14ac:dyDescent="0.3">
      <c r="A5939" s="11"/>
      <c r="B5939" s="11"/>
      <c r="D5939" s="21"/>
      <c r="E5939" s="22"/>
      <c r="G5939" s="23"/>
      <c r="H5939" s="24"/>
      <c r="Q5939" s="2"/>
      <c r="R5939" s="2"/>
    </row>
    <row r="5940" spans="1:18" ht="15.75" customHeight="1" x14ac:dyDescent="0.3">
      <c r="A5940" s="11"/>
      <c r="B5940" s="11"/>
      <c r="D5940" s="21"/>
      <c r="E5940" s="22"/>
      <c r="G5940" s="23"/>
      <c r="H5940" s="24"/>
      <c r="Q5940" s="2"/>
      <c r="R5940" s="2"/>
    </row>
    <row r="5941" spans="1:18" ht="15.75" customHeight="1" x14ac:dyDescent="0.3">
      <c r="A5941" s="11"/>
      <c r="B5941" s="11"/>
      <c r="D5941" s="21"/>
      <c r="E5941" s="22"/>
      <c r="G5941" s="23"/>
      <c r="H5941" s="24"/>
      <c r="Q5941" s="2"/>
      <c r="R5941" s="2"/>
    </row>
    <row r="5942" spans="1:18" ht="15.75" customHeight="1" x14ac:dyDescent="0.3">
      <c r="A5942" s="11"/>
      <c r="B5942" s="11"/>
      <c r="D5942" s="21"/>
      <c r="E5942" s="22"/>
      <c r="G5942" s="23"/>
      <c r="H5942" s="24"/>
      <c r="Q5942" s="2"/>
      <c r="R5942" s="2"/>
    </row>
    <row r="5943" spans="1:18" ht="15.75" customHeight="1" x14ac:dyDescent="0.3">
      <c r="A5943" s="11"/>
      <c r="B5943" s="11"/>
      <c r="D5943" s="21"/>
      <c r="E5943" s="22"/>
      <c r="G5943" s="23"/>
      <c r="H5943" s="24"/>
      <c r="Q5943" s="2"/>
      <c r="R5943" s="2"/>
    </row>
    <row r="5944" spans="1:18" ht="15.75" customHeight="1" x14ac:dyDescent="0.3">
      <c r="A5944" s="11"/>
      <c r="B5944" s="11"/>
      <c r="D5944" s="21"/>
      <c r="E5944" s="22"/>
      <c r="G5944" s="23"/>
      <c r="H5944" s="24"/>
      <c r="Q5944" s="2"/>
      <c r="R5944" s="2"/>
    </row>
    <row r="5945" spans="1:18" ht="15.75" customHeight="1" x14ac:dyDescent="0.3">
      <c r="A5945" s="11"/>
      <c r="B5945" s="11"/>
      <c r="D5945" s="21"/>
      <c r="E5945" s="22"/>
      <c r="G5945" s="23"/>
      <c r="H5945" s="24"/>
      <c r="Q5945" s="2"/>
      <c r="R5945" s="2"/>
    </row>
    <row r="5946" spans="1:18" ht="15.75" customHeight="1" x14ac:dyDescent="0.3">
      <c r="A5946" s="11"/>
      <c r="B5946" s="11"/>
      <c r="D5946" s="21"/>
      <c r="E5946" s="22"/>
      <c r="G5946" s="23"/>
      <c r="H5946" s="24"/>
      <c r="Q5946" s="2"/>
      <c r="R5946" s="2"/>
    </row>
    <row r="5947" spans="1:18" ht="15.75" customHeight="1" x14ac:dyDescent="0.3">
      <c r="A5947" s="11"/>
      <c r="B5947" s="11"/>
      <c r="D5947" s="21"/>
      <c r="E5947" s="22"/>
      <c r="G5947" s="23"/>
      <c r="H5947" s="24"/>
      <c r="Q5947" s="2"/>
      <c r="R5947" s="2"/>
    </row>
    <row r="5948" spans="1:18" ht="15.75" customHeight="1" x14ac:dyDescent="0.3">
      <c r="A5948" s="11"/>
      <c r="B5948" s="11"/>
      <c r="D5948" s="21"/>
      <c r="E5948" s="22"/>
      <c r="G5948" s="23"/>
      <c r="H5948" s="24"/>
      <c r="Q5948" s="2"/>
      <c r="R5948" s="2"/>
    </row>
    <row r="5949" spans="1:18" ht="15.75" customHeight="1" x14ac:dyDescent="0.3">
      <c r="A5949" s="11"/>
      <c r="B5949" s="11"/>
      <c r="D5949" s="21"/>
      <c r="E5949" s="22"/>
      <c r="G5949" s="23"/>
      <c r="H5949" s="24"/>
      <c r="Q5949" s="2"/>
      <c r="R5949" s="2"/>
    </row>
    <row r="5950" spans="1:18" ht="15.75" customHeight="1" x14ac:dyDescent="0.3">
      <c r="A5950" s="11"/>
      <c r="B5950" s="11"/>
      <c r="D5950" s="21"/>
      <c r="E5950" s="22"/>
      <c r="G5950" s="23"/>
      <c r="H5950" s="24"/>
      <c r="Q5950" s="2"/>
      <c r="R5950" s="2"/>
    </row>
    <row r="5951" spans="1:18" ht="15.75" customHeight="1" x14ac:dyDescent="0.3">
      <c r="A5951" s="11"/>
      <c r="B5951" s="11"/>
      <c r="D5951" s="21"/>
      <c r="E5951" s="22"/>
      <c r="G5951" s="23"/>
      <c r="H5951" s="24"/>
      <c r="Q5951" s="2"/>
      <c r="R5951" s="2"/>
    </row>
    <row r="5952" spans="1:18" ht="15.75" customHeight="1" x14ac:dyDescent="0.3">
      <c r="A5952" s="11"/>
      <c r="B5952" s="11"/>
      <c r="D5952" s="21"/>
      <c r="E5952" s="22"/>
      <c r="G5952" s="23"/>
      <c r="H5952" s="24"/>
      <c r="Q5952" s="2"/>
      <c r="R5952" s="2"/>
    </row>
    <row r="5953" spans="1:18" ht="15.75" customHeight="1" x14ac:dyDescent="0.3">
      <c r="A5953" s="11"/>
      <c r="B5953" s="11"/>
      <c r="D5953" s="21"/>
      <c r="E5953" s="22"/>
      <c r="G5953" s="23"/>
      <c r="H5953" s="24"/>
      <c r="Q5953" s="2"/>
      <c r="R5953" s="2"/>
    </row>
    <row r="5954" spans="1:18" ht="15.75" customHeight="1" x14ac:dyDescent="0.3">
      <c r="A5954" s="11"/>
      <c r="B5954" s="11"/>
      <c r="D5954" s="21"/>
      <c r="E5954" s="22"/>
      <c r="G5954" s="23"/>
      <c r="H5954" s="24"/>
      <c r="Q5954" s="2"/>
      <c r="R5954" s="2"/>
    </row>
    <row r="5955" spans="1:18" ht="15.75" customHeight="1" x14ac:dyDescent="0.3">
      <c r="A5955" s="11"/>
      <c r="B5955" s="11"/>
      <c r="D5955" s="21"/>
      <c r="E5955" s="22"/>
      <c r="G5955" s="23"/>
      <c r="H5955" s="24"/>
      <c r="Q5955" s="2"/>
      <c r="R5955" s="2"/>
    </row>
    <row r="5956" spans="1:18" ht="15.75" customHeight="1" x14ac:dyDescent="0.3">
      <c r="A5956" s="11"/>
      <c r="B5956" s="11"/>
      <c r="D5956" s="21"/>
      <c r="E5956" s="22"/>
      <c r="G5956" s="23"/>
      <c r="H5956" s="24"/>
      <c r="Q5956" s="2"/>
      <c r="R5956" s="2"/>
    </row>
    <row r="5957" spans="1:18" ht="15.75" customHeight="1" x14ac:dyDescent="0.3">
      <c r="A5957" s="11"/>
      <c r="B5957" s="11"/>
      <c r="D5957" s="21"/>
      <c r="E5957" s="22"/>
      <c r="G5957" s="23"/>
      <c r="H5957" s="24"/>
      <c r="Q5957" s="2"/>
      <c r="R5957" s="2"/>
    </row>
    <row r="5958" spans="1:18" ht="15.75" customHeight="1" x14ac:dyDescent="0.3">
      <c r="A5958" s="11"/>
      <c r="B5958" s="11"/>
      <c r="D5958" s="21"/>
      <c r="E5958" s="22"/>
      <c r="G5958" s="23"/>
      <c r="H5958" s="24"/>
      <c r="Q5958" s="2"/>
      <c r="R5958" s="2"/>
    </row>
    <row r="5959" spans="1:18" ht="15.75" customHeight="1" x14ac:dyDescent="0.3">
      <c r="A5959" s="11"/>
      <c r="B5959" s="11"/>
      <c r="D5959" s="21"/>
      <c r="E5959" s="22"/>
      <c r="G5959" s="23"/>
      <c r="H5959" s="24"/>
      <c r="Q5959" s="2"/>
      <c r="R5959" s="2"/>
    </row>
    <row r="5960" spans="1:18" ht="15.75" customHeight="1" x14ac:dyDescent="0.3">
      <c r="A5960" s="11"/>
      <c r="B5960" s="11"/>
      <c r="D5960" s="21"/>
      <c r="E5960" s="22"/>
      <c r="G5960" s="23"/>
      <c r="H5960" s="24"/>
      <c r="Q5960" s="2"/>
      <c r="R5960" s="2"/>
    </row>
    <row r="5961" spans="1:18" ht="15.75" customHeight="1" x14ac:dyDescent="0.3">
      <c r="A5961" s="11"/>
      <c r="B5961" s="11"/>
      <c r="D5961" s="21"/>
      <c r="E5961" s="22"/>
      <c r="G5961" s="23"/>
      <c r="H5961" s="24"/>
      <c r="Q5961" s="2"/>
      <c r="R5961" s="2"/>
    </row>
    <row r="5962" spans="1:18" ht="15.75" customHeight="1" x14ac:dyDescent="0.3">
      <c r="A5962" s="11"/>
      <c r="B5962" s="11"/>
      <c r="D5962" s="21"/>
      <c r="E5962" s="22"/>
      <c r="G5962" s="23"/>
      <c r="H5962" s="24"/>
      <c r="Q5962" s="2"/>
      <c r="R5962" s="2"/>
    </row>
    <row r="5963" spans="1:18" ht="15.75" customHeight="1" x14ac:dyDescent="0.3">
      <c r="A5963" s="11"/>
      <c r="B5963" s="11"/>
      <c r="D5963" s="21"/>
      <c r="E5963" s="22"/>
      <c r="G5963" s="23"/>
      <c r="H5963" s="24"/>
      <c r="Q5963" s="2"/>
      <c r="R5963" s="2"/>
    </row>
    <row r="5964" spans="1:18" ht="15.75" customHeight="1" x14ac:dyDescent="0.3">
      <c r="A5964" s="11"/>
      <c r="B5964" s="11"/>
      <c r="D5964" s="21"/>
      <c r="E5964" s="22"/>
      <c r="G5964" s="23"/>
      <c r="H5964" s="24"/>
      <c r="Q5964" s="2"/>
      <c r="R5964" s="2"/>
    </row>
    <row r="5965" spans="1:18" ht="15.75" customHeight="1" x14ac:dyDescent="0.3">
      <c r="A5965" s="11"/>
      <c r="B5965" s="11"/>
      <c r="D5965" s="21"/>
      <c r="E5965" s="22"/>
      <c r="G5965" s="23"/>
      <c r="H5965" s="24"/>
      <c r="Q5965" s="2"/>
      <c r="R5965" s="2"/>
    </row>
    <row r="5966" spans="1:18" ht="15.75" customHeight="1" x14ac:dyDescent="0.3">
      <c r="A5966" s="11"/>
      <c r="B5966" s="11"/>
      <c r="D5966" s="21"/>
      <c r="E5966" s="22"/>
      <c r="G5966" s="23"/>
      <c r="H5966" s="24"/>
      <c r="Q5966" s="2"/>
      <c r="R5966" s="2"/>
    </row>
    <row r="5967" spans="1:18" ht="15.75" customHeight="1" x14ac:dyDescent="0.3">
      <c r="A5967" s="11"/>
      <c r="B5967" s="11"/>
      <c r="D5967" s="21"/>
      <c r="E5967" s="22"/>
      <c r="G5967" s="23"/>
      <c r="H5967" s="24"/>
      <c r="Q5967" s="2"/>
      <c r="R5967" s="2"/>
    </row>
    <row r="5968" spans="1:18" ht="15.75" customHeight="1" x14ac:dyDescent="0.3">
      <c r="A5968" s="11"/>
      <c r="B5968" s="11"/>
      <c r="D5968" s="21"/>
      <c r="E5968" s="22"/>
      <c r="G5968" s="23"/>
      <c r="H5968" s="24"/>
      <c r="Q5968" s="2"/>
      <c r="R5968" s="2"/>
    </row>
    <row r="5969" spans="1:18" ht="15.75" customHeight="1" x14ac:dyDescent="0.3">
      <c r="A5969" s="11"/>
      <c r="B5969" s="11"/>
      <c r="D5969" s="21"/>
      <c r="E5969" s="22"/>
      <c r="G5969" s="23"/>
      <c r="H5969" s="24"/>
      <c r="Q5969" s="2"/>
      <c r="R5969" s="2"/>
    </row>
    <row r="5970" spans="1:18" ht="15.75" customHeight="1" x14ac:dyDescent="0.3">
      <c r="A5970" s="11"/>
      <c r="B5970" s="11"/>
      <c r="D5970" s="21"/>
      <c r="E5970" s="22"/>
      <c r="G5970" s="23"/>
      <c r="H5970" s="24"/>
      <c r="Q5970" s="2"/>
      <c r="R5970" s="2"/>
    </row>
    <row r="5971" spans="1:18" ht="15.75" customHeight="1" x14ac:dyDescent="0.3">
      <c r="A5971" s="11"/>
      <c r="B5971" s="11"/>
      <c r="D5971" s="21"/>
      <c r="E5971" s="22"/>
      <c r="G5971" s="23"/>
      <c r="H5971" s="24"/>
      <c r="Q5971" s="2"/>
      <c r="R5971" s="2"/>
    </row>
    <row r="5972" spans="1:18" ht="15.75" customHeight="1" x14ac:dyDescent="0.3">
      <c r="A5972" s="11"/>
      <c r="B5972" s="11"/>
      <c r="D5972" s="21"/>
      <c r="E5972" s="22"/>
      <c r="G5972" s="23"/>
      <c r="H5972" s="24"/>
      <c r="Q5972" s="2"/>
      <c r="R5972" s="2"/>
    </row>
    <row r="5973" spans="1:18" ht="15.75" customHeight="1" x14ac:dyDescent="0.3">
      <c r="A5973" s="11"/>
      <c r="B5973" s="11"/>
      <c r="D5973" s="21"/>
      <c r="E5973" s="22"/>
      <c r="G5973" s="23"/>
      <c r="H5973" s="24"/>
      <c r="Q5973" s="2"/>
      <c r="R5973" s="2"/>
    </row>
    <row r="5974" spans="1:18" ht="15.75" customHeight="1" x14ac:dyDescent="0.3">
      <c r="A5974" s="11"/>
      <c r="B5974" s="11"/>
      <c r="D5974" s="21"/>
      <c r="E5974" s="22"/>
      <c r="G5974" s="23"/>
      <c r="H5974" s="24"/>
      <c r="Q5974" s="2"/>
      <c r="R5974" s="2"/>
    </row>
    <row r="5975" spans="1:18" ht="15.75" customHeight="1" x14ac:dyDescent="0.3">
      <c r="A5975" s="11"/>
      <c r="B5975" s="11"/>
      <c r="D5975" s="21"/>
      <c r="E5975" s="22"/>
      <c r="G5975" s="23"/>
      <c r="H5975" s="24"/>
      <c r="Q5975" s="2"/>
      <c r="R5975" s="2"/>
    </row>
    <row r="5976" spans="1:18" ht="15.75" customHeight="1" x14ac:dyDescent="0.3">
      <c r="A5976" s="11"/>
      <c r="B5976" s="11"/>
      <c r="D5976" s="21"/>
      <c r="E5976" s="22"/>
      <c r="G5976" s="23"/>
      <c r="H5976" s="24"/>
      <c r="Q5976" s="2"/>
      <c r="R5976" s="2"/>
    </row>
    <row r="5977" spans="1:18" ht="15.75" customHeight="1" x14ac:dyDescent="0.3">
      <c r="A5977" s="11"/>
      <c r="B5977" s="11"/>
      <c r="D5977" s="21"/>
      <c r="E5977" s="22"/>
      <c r="G5977" s="23"/>
      <c r="H5977" s="24"/>
      <c r="Q5977" s="2"/>
      <c r="R5977" s="2"/>
    </row>
    <row r="5978" spans="1:18" ht="15.75" customHeight="1" x14ac:dyDescent="0.3">
      <c r="A5978" s="11"/>
      <c r="B5978" s="11"/>
      <c r="D5978" s="21"/>
      <c r="E5978" s="22"/>
      <c r="G5978" s="23"/>
      <c r="H5978" s="24"/>
      <c r="Q5978" s="2"/>
      <c r="R5978" s="2"/>
    </row>
    <row r="5979" spans="1:18" ht="15.75" customHeight="1" x14ac:dyDescent="0.3">
      <c r="A5979" s="11"/>
      <c r="B5979" s="11"/>
      <c r="D5979" s="21"/>
      <c r="E5979" s="22"/>
      <c r="G5979" s="23"/>
      <c r="H5979" s="24"/>
      <c r="Q5979" s="2"/>
      <c r="R5979" s="2"/>
    </row>
    <row r="5980" spans="1:18" ht="15.75" customHeight="1" x14ac:dyDescent="0.3">
      <c r="A5980" s="11"/>
      <c r="B5980" s="11"/>
      <c r="D5980" s="21"/>
      <c r="E5980" s="22"/>
      <c r="G5980" s="23"/>
      <c r="H5980" s="24"/>
      <c r="Q5980" s="2"/>
      <c r="R5980" s="2"/>
    </row>
    <row r="5981" spans="1:18" ht="15.75" customHeight="1" x14ac:dyDescent="0.3">
      <c r="A5981" s="11"/>
      <c r="B5981" s="11"/>
      <c r="D5981" s="21"/>
      <c r="E5981" s="22"/>
      <c r="G5981" s="23"/>
      <c r="H5981" s="24"/>
      <c r="Q5981" s="2"/>
      <c r="R5981" s="2"/>
    </row>
  </sheetData>
  <mergeCells count="12">
    <mergeCell ref="P2:P3"/>
    <mergeCell ref="D2:D3"/>
    <mergeCell ref="E2:E3"/>
    <mergeCell ref="G2:G3"/>
    <mergeCell ref="H2:H3"/>
    <mergeCell ref="I2:I3"/>
    <mergeCell ref="J2:J3"/>
    <mergeCell ref="K2:K3"/>
    <mergeCell ref="O2:O3"/>
    <mergeCell ref="L2:L3"/>
    <mergeCell ref="M2:M3"/>
    <mergeCell ref="N2:N3"/>
  </mergeCells>
  <conditionalFormatting sqref="Q689 Q671 Q665 Q611 Q605 Q599 Q593 Q587 Q581 Q575 Q569 Q563 Q557 Q551 Q545 Q539 Q533 Q527 Q521 Q515 Q509 Q503 Q497 Q491 Q485 Q479 Q473 Q467 Q461 Q455 Q449 Q437:R437 Q431:R431 Q425:R425 Q419:R419 Q413:R413 Q407:R407 Q401:R401 Q395:R395 Q389:R389 R386:R387 Q383 J740:J741 D740:D741 J737:J738 J734:J735 D734:D735 J731:J732 J728:J729 D728:D729 J725:J726 J722:J723 D722:D723 J719:J720 J716:J717 D716:D717 J713:J714 J710:J711 D710:D711 J707:J708 J704:J705 D704:D705 J701:J702 J698:J699 D698:D699 J695:J696 D692:D693 J692:J693 J689:J690 J686:J687 D686:D687 J683:J684 J680:J681 D680:D681 J677:J678 J674:J675 D674:D675 J671:J672 J668:J669 D668:D669 J665:J666 J662:J663 D662:D663 J659:J660 J656:J657 D656:D657 J653:J654 J650:J651 D650:D651 J647:J648 J644:J645 D644:D645 J641:J642 J638:J639 D638:D639 J635:J636 J632:J633 D632:D633 J629:J630 J626:J627 D626:D627 J623:J624 J620:J621 D620:D621 J617:J618 J614:J615 D614:D615 J611:J612 J608:J609 D608:D609 J605:J606 J602:J603 D602:D603 J599:J600 J596:J597 D596:D597 J593:J594 J590:J591 D590:D591 J587:J588 J584:J585 D584:D585 J581:J582 J578:J579 D578:D579 J575:J576 J572:J573 D572:D573 J569:J570 J566:J567 D566:D567 J563:J564 J560:J561 D560:D561 J557:J558 J554:J555 D554:D555 J551:J552 J548:J549 D548:D549 J545:J546 J542:J543 D542:D543 J539:J540 J536:J537 D536:D537 J533:J534 J530:J531 D530:D531 J527:J528 J524:J525 D524:D525 J521:J522 J518:J519 D518:D519 J515:J516 J512:J513 D512:D513 J509:J510 J506:J507 D506:D507 J503:J504 J500:J501 D500:D501 J497:J498 J494:J495 D494:D495 J491:J492 J488:J489 D488:D489 J485:J486 J482:J483 D482:D483 J479:J480 J476:J477 D476:D477 J473:J474 J470:J471 D470:D471 J467:J468 J464:J465 D464:D465 J461:J462 J458:J459 D458:D459 J455:J456 J452:J453 D452:D453 J449:J450 J446:J447 D446:D447 J443:J444 R443:R444 J440:J441 D440:D441 J437:J438 J434:J435 D434:D435 J431:J432 J428:J429 D428:D429 J425:J426 J422:J423 D422:D423 J419:J420 J416:J417 D416:D417 J413:J414 D410:D411 J410:J411 J407:J408 J404:J405 D404:D405 J401:J402 J398:J399 D398:D399 J395:J396 J392:J393 D392:D393 J389:J390 J386:J387 D386:D387 J383:J384 D380:D381 J380:J381">
    <cfRule type="expression" dxfId="91" priority="2641">
      <formula>$E380="faop"</formula>
    </cfRule>
    <cfRule type="expression" dxfId="90" priority="2642">
      <formula>$E380="eosp"</formula>
    </cfRule>
  </conditionalFormatting>
  <conditionalFormatting sqref="Q443">
    <cfRule type="expression" dxfId="89" priority="2287">
      <formula>$E443="faop"</formula>
    </cfRule>
    <cfRule type="expression" dxfId="88" priority="2288">
      <formula>$E443="eosp"</formula>
    </cfRule>
  </conditionalFormatting>
  <conditionalFormatting sqref="Q444">
    <cfRule type="expression" dxfId="87" priority="2285">
      <formula>$E444="faop"</formula>
    </cfRule>
    <cfRule type="expression" dxfId="86" priority="2286">
      <formula>$E444="eosp"</formula>
    </cfRule>
  </conditionalFormatting>
  <conditionalFormatting sqref="Q450">
    <cfRule type="expression" dxfId="85" priority="2245">
      <formula>$E450="faop"</formula>
    </cfRule>
    <cfRule type="expression" dxfId="84" priority="2246">
      <formula>$E450="eosp"</formula>
    </cfRule>
  </conditionalFormatting>
  <conditionalFormatting sqref="Q456">
    <cfRule type="expression" dxfId="83" priority="2205">
      <formula>$E456="faop"</formula>
    </cfRule>
    <cfRule type="expression" dxfId="82" priority="2206">
      <formula>$E456="eosp"</formula>
    </cfRule>
  </conditionalFormatting>
  <conditionalFormatting sqref="Q462">
    <cfRule type="expression" dxfId="81" priority="2175">
      <formula>$E462="faop"</formula>
    </cfRule>
    <cfRule type="expression" dxfId="80" priority="2176">
      <formula>$E462="eosp"</formula>
    </cfRule>
  </conditionalFormatting>
  <conditionalFormatting sqref="Q468">
    <cfRule type="expression" dxfId="79" priority="2141">
      <formula>$E468="faop"</formula>
    </cfRule>
    <cfRule type="expression" dxfId="78" priority="2142">
      <formula>$E468="eosp"</formula>
    </cfRule>
  </conditionalFormatting>
  <conditionalFormatting sqref="Q474">
    <cfRule type="expression" dxfId="77" priority="2065">
      <formula>$E474="faop"</formula>
    </cfRule>
    <cfRule type="expression" dxfId="76" priority="2066">
      <formula>$E474="eosp"</formula>
    </cfRule>
  </conditionalFormatting>
  <conditionalFormatting sqref="Q480">
    <cfRule type="expression" dxfId="75" priority="2033">
      <formula>$E480="faop"</formula>
    </cfRule>
    <cfRule type="expression" dxfId="74" priority="2034">
      <formula>$E480="eosp"</formula>
    </cfRule>
  </conditionalFormatting>
  <conditionalFormatting sqref="Q486">
    <cfRule type="expression" dxfId="73" priority="1999">
      <formula>$E486="faop"</formula>
    </cfRule>
    <cfRule type="expression" dxfId="72" priority="2000">
      <formula>$E486="eosp"</formula>
    </cfRule>
  </conditionalFormatting>
  <conditionalFormatting sqref="Q492">
    <cfRule type="expression" dxfId="71" priority="1961">
      <formula>$E492="faop"</formula>
    </cfRule>
    <cfRule type="expression" dxfId="70" priority="1962">
      <formula>$E492="eosp"</formula>
    </cfRule>
  </conditionalFormatting>
  <conditionalFormatting sqref="Q498">
    <cfRule type="expression" dxfId="69" priority="1931">
      <formula>$E498="faop"</formula>
    </cfRule>
    <cfRule type="expression" dxfId="68" priority="1932">
      <formula>$E498="eosp"</formula>
    </cfRule>
  </conditionalFormatting>
  <conditionalFormatting sqref="Q504">
    <cfRule type="expression" dxfId="67" priority="1901">
      <formula>$E504="faop"</formula>
    </cfRule>
    <cfRule type="expression" dxfId="66" priority="1902">
      <formula>$E504="eosp"</formula>
    </cfRule>
  </conditionalFormatting>
  <conditionalFormatting sqref="Q510">
    <cfRule type="expression" dxfId="65" priority="1871">
      <formula>$E510="faop"</formula>
    </cfRule>
    <cfRule type="expression" dxfId="64" priority="1872">
      <formula>$E510="eosp"</formula>
    </cfRule>
  </conditionalFormatting>
  <conditionalFormatting sqref="Q516">
    <cfRule type="expression" dxfId="63" priority="1841">
      <formula>$E516="faop"</formula>
    </cfRule>
    <cfRule type="expression" dxfId="62" priority="1842">
      <formula>$E516="eosp"</formula>
    </cfRule>
  </conditionalFormatting>
  <conditionalFormatting sqref="Q522">
    <cfRule type="expression" dxfId="61" priority="1811">
      <formula>$E522="faop"</formula>
    </cfRule>
    <cfRule type="expression" dxfId="60" priority="1812">
      <formula>$E522="eosp"</formula>
    </cfRule>
  </conditionalFormatting>
  <conditionalFormatting sqref="Q528">
    <cfRule type="expression" dxfId="59" priority="1781">
      <formula>$E528="faop"</formula>
    </cfRule>
    <cfRule type="expression" dxfId="58" priority="1782">
      <formula>$E528="eosp"</formula>
    </cfRule>
  </conditionalFormatting>
  <conditionalFormatting sqref="Q534">
    <cfRule type="expression" dxfId="57" priority="1751">
      <formula>$E534="faop"</formula>
    </cfRule>
    <cfRule type="expression" dxfId="56" priority="1752">
      <formula>$E534="eosp"</formula>
    </cfRule>
  </conditionalFormatting>
  <conditionalFormatting sqref="Q540">
    <cfRule type="expression" dxfId="55" priority="1673">
      <formula>$E540="faop"</formula>
    </cfRule>
    <cfRule type="expression" dxfId="54" priority="1674">
      <formula>$E540="eosp"</formula>
    </cfRule>
  </conditionalFormatting>
  <conditionalFormatting sqref="Q546">
    <cfRule type="expression" dxfId="53" priority="1623">
      <formula>$E546="faop"</formula>
    </cfRule>
    <cfRule type="expression" dxfId="52" priority="1624">
      <formula>$E546="eosp"</formula>
    </cfRule>
  </conditionalFormatting>
  <conditionalFormatting sqref="Q552">
    <cfRule type="expression" dxfId="51" priority="1589">
      <formula>$E552="faop"</formula>
    </cfRule>
    <cfRule type="expression" dxfId="50" priority="1590">
      <formula>$E552="eosp"</formula>
    </cfRule>
  </conditionalFormatting>
  <conditionalFormatting sqref="Q558">
    <cfRule type="expression" dxfId="49" priority="1555">
      <formula>$E558="faop"</formula>
    </cfRule>
    <cfRule type="expression" dxfId="48" priority="1556">
      <formula>$E558="eosp"</formula>
    </cfRule>
  </conditionalFormatting>
  <conditionalFormatting sqref="Q564">
    <cfRule type="expression" dxfId="47" priority="1487">
      <formula>$E564="faop"</formula>
    </cfRule>
    <cfRule type="expression" dxfId="46" priority="1488">
      <formula>$E564="eosp"</formula>
    </cfRule>
  </conditionalFormatting>
  <conditionalFormatting sqref="Q570">
    <cfRule type="expression" dxfId="45" priority="1385">
      <formula>$E570="faop"</formula>
    </cfRule>
    <cfRule type="expression" dxfId="44" priority="1386">
      <formula>$E570="eosp"</formula>
    </cfRule>
  </conditionalFormatting>
  <conditionalFormatting sqref="Q576">
    <cfRule type="expression" dxfId="43" priority="1343">
      <formula>$E576="faop"</formula>
    </cfRule>
    <cfRule type="expression" dxfId="42" priority="1344">
      <formula>$E576="eosp"</formula>
    </cfRule>
  </conditionalFormatting>
  <conditionalFormatting sqref="Q582">
    <cfRule type="expression" dxfId="41" priority="1305">
      <formula>$E582="faop"</formula>
    </cfRule>
    <cfRule type="expression" dxfId="40" priority="1306">
      <formula>$E582="eosp"</formula>
    </cfRule>
  </conditionalFormatting>
  <conditionalFormatting sqref="Q588">
    <cfRule type="expression" dxfId="39" priority="1275">
      <formula>$E588="faop"</formula>
    </cfRule>
    <cfRule type="expression" dxfId="38" priority="1276">
      <formula>$E588="eosp"</formula>
    </cfRule>
  </conditionalFormatting>
  <conditionalFormatting sqref="Q594">
    <cfRule type="expression" dxfId="37" priority="1237">
      <formula>$E594="faop"</formula>
    </cfRule>
    <cfRule type="expression" dxfId="36" priority="1238">
      <formula>$E594="eosp"</formula>
    </cfRule>
  </conditionalFormatting>
  <conditionalFormatting sqref="Q600">
    <cfRule type="expression" dxfId="35" priority="1207">
      <formula>$E600="faop"</formula>
    </cfRule>
    <cfRule type="expression" dxfId="34" priority="1208">
      <formula>$E600="eosp"</formula>
    </cfRule>
  </conditionalFormatting>
  <conditionalFormatting sqref="Q606">
    <cfRule type="expression" dxfId="33" priority="1177">
      <formula>$E606="faop"</formula>
    </cfRule>
    <cfRule type="expression" dxfId="32" priority="1178">
      <formula>$E606="eosp"</formula>
    </cfRule>
  </conditionalFormatting>
  <conditionalFormatting sqref="Q612">
    <cfRule type="expression" dxfId="31" priority="1147">
      <formula>$E612="faop"</formula>
    </cfRule>
    <cfRule type="expression" dxfId="30" priority="1148">
      <formula>$E612="eosp"</formula>
    </cfRule>
  </conditionalFormatting>
  <conditionalFormatting sqref="Q618">
    <cfRule type="expression" dxfId="29" priority="1117">
      <formula>$E618="faop"</formula>
    </cfRule>
    <cfRule type="expression" dxfId="28" priority="1118">
      <formula>$E618="eosp"</formula>
    </cfRule>
  </conditionalFormatting>
  <conditionalFormatting sqref="Q666">
    <cfRule type="expression" dxfId="27" priority="861">
      <formula>$E666="faop"</formula>
    </cfRule>
    <cfRule type="expression" dxfId="26" priority="862">
      <formula>$E666="eosp"</formula>
    </cfRule>
  </conditionalFormatting>
  <conditionalFormatting sqref="Q672">
    <cfRule type="expression" dxfId="25" priority="831">
      <formula>$E672="faop"</formula>
    </cfRule>
    <cfRule type="expression" dxfId="24" priority="832">
      <formula>$E672="eosp"</formula>
    </cfRule>
  </conditionalFormatting>
  <conditionalFormatting sqref="Q678">
    <cfRule type="expression" dxfId="23" priority="801">
      <formula>$E678="faop"</formula>
    </cfRule>
    <cfRule type="expression" dxfId="22" priority="802">
      <formula>$E678="eosp"</formula>
    </cfRule>
  </conditionalFormatting>
  <conditionalFormatting sqref="Q690">
    <cfRule type="expression" dxfId="21" priority="727">
      <formula>$E690="faop"</formula>
    </cfRule>
    <cfRule type="expression" dxfId="20" priority="728">
      <formula>$E690="eosp"</formula>
    </cfRule>
  </conditionalFormatting>
  <conditionalFormatting sqref="Q696">
    <cfRule type="expression" dxfId="19" priority="697">
      <formula>$E696="faop"</formula>
    </cfRule>
    <cfRule type="expression" dxfId="18" priority="698">
      <formula>$E696="eosp"</formula>
    </cfRule>
  </conditionalFormatting>
  <conditionalFormatting sqref="Q390:R390">
    <cfRule type="expression" dxfId="17" priority="2573">
      <formula>$E390="faop"</formula>
    </cfRule>
    <cfRule type="expression" dxfId="16" priority="2574">
      <formula>$E390="eosp"</formula>
    </cfRule>
  </conditionalFormatting>
  <conditionalFormatting sqref="Q396:R396">
    <cfRule type="expression" dxfId="15" priority="2541">
      <formula>$E396="faop"</formula>
    </cfRule>
    <cfRule type="expression" dxfId="14" priority="2542">
      <formula>$E396="eosp"</formula>
    </cfRule>
  </conditionalFormatting>
  <conditionalFormatting sqref="Q402:R402">
    <cfRule type="expression" dxfId="13" priority="2507">
      <formula>$E402="faop"</formula>
    </cfRule>
    <cfRule type="expression" dxfId="12" priority="2508">
      <formula>$E402="eosp"</formula>
    </cfRule>
  </conditionalFormatting>
  <conditionalFormatting sqref="Q408:R408">
    <cfRule type="expression" dxfId="11" priority="2477">
      <formula>$E408="faop"</formula>
    </cfRule>
    <cfRule type="expression" dxfId="10" priority="2478">
      <formula>$E408="eosp"</formula>
    </cfRule>
  </conditionalFormatting>
  <conditionalFormatting sqref="Q414:R414">
    <cfRule type="expression" dxfId="9" priority="2447">
      <formula>$E414="faop"</formula>
    </cfRule>
    <cfRule type="expression" dxfId="8" priority="2448">
      <formula>$E414="eosp"</formula>
    </cfRule>
  </conditionalFormatting>
  <conditionalFormatting sqref="Q420:R420">
    <cfRule type="expression" dxfId="7" priority="2415">
      <formula>$E420="faop"</formula>
    </cfRule>
    <cfRule type="expression" dxfId="6" priority="2416">
      <formula>$E420="eosp"</formula>
    </cfRule>
  </conditionalFormatting>
  <conditionalFormatting sqref="Q426:R426">
    <cfRule type="expression" dxfId="5" priority="2385">
      <formula>$E426="faop"</formula>
    </cfRule>
    <cfRule type="expression" dxfId="4" priority="2386">
      <formula>$E426="eosp"</formula>
    </cfRule>
  </conditionalFormatting>
  <conditionalFormatting sqref="Q432:R432">
    <cfRule type="expression" dxfId="3" priority="2345">
      <formula>$E432="faop"</formula>
    </cfRule>
    <cfRule type="expression" dxfId="2" priority="2346">
      <formula>$E432="eosp"</formula>
    </cfRule>
  </conditionalFormatting>
  <conditionalFormatting sqref="Q438:R438">
    <cfRule type="expression" dxfId="1" priority="2315">
      <formula>$E438="faop"</formula>
    </cfRule>
    <cfRule type="expression" dxfId="0" priority="2316">
      <formula>$E438="eosp"</formula>
    </cfRule>
  </conditionalFormatting>
  <pageMargins left="0.25" right="0.09" top="1" bottom="1" header="0.5" footer="0.5"/>
  <pageSetup orientation="portrait" horizontalDpi="360" verticalDpi="36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Time,fuel &amp; waterROB</dc:subject>
  <dc:creator>Chief Engineer</dc:creator>
  <cp:lastModifiedBy>app</cp:lastModifiedBy>
  <cp:lastPrinted>2019-11-13T04:20:14Z</cp:lastPrinted>
  <dcterms:created xsi:type="dcterms:W3CDTF">1999-07-17T11:12:11Z</dcterms:created>
  <dcterms:modified xsi:type="dcterms:W3CDTF">2026-06-04T03:29:23Z</dcterms:modified>
</cp:coreProperties>
</file>